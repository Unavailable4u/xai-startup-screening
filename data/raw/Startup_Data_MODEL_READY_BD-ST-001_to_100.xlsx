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ulh\Downloads\"/>
    </mc:Choice>
  </mc:AlternateContent>
  <xr:revisionPtr revIDLastSave="0" documentId="8_{FC6B9A61-81C3-4D7D-8D05-D363E07D4184}" xr6:coauthVersionLast="47" xr6:coauthVersionMax="47" xr10:uidLastSave="{00000000-0000-0000-0000-000000000000}"/>
  <bookViews>
    <workbookView xWindow="-108" yWindow="-108" windowWidth="23256" windowHeight="12456" tabRatio="500" firstSheet="1" activeTab="3" xr2:uid="{00000000-000D-0000-FFFF-FFFF00000000}"/>
  </bookViews>
  <sheets>
    <sheet name="Model_Ready_Startups" sheetId="3" r:id="rId1"/>
    <sheet name="ML_Matrix_Imputed" sheetId="4" r:id="rId2"/>
    <sheet name="Founders_Clean" sheetId="5" r:id="rId3"/>
    <sheet name="Investments_Clean" sheetId="6" r:id="rId4"/>
    <sheet name="Macro_Lookup" sheetId="7" r:id="rId5"/>
    <sheet name="Data_Dictionary" sheetId="8" r:id="rId6"/>
    <sheet name="Add_Rejected_Template" sheetId="9" r:id="rId7"/>
    <sheet name="Version_Log" sheetId="10" r:id="rId8"/>
  </sheets>
  <definedNames>
    <definedName name="_xlnm._FilterDatabase" localSheetId="5" hidden="1">Data_Dictionary!$A$1:$E$131</definedName>
    <definedName name="_xlnm._FilterDatabase" localSheetId="2" hidden="1">Founders_Clean!$A$1:$R$159</definedName>
    <definedName name="_xlnm._FilterDatabase" localSheetId="3" hidden="1">Investments_Clean!$A$1:$Z$150</definedName>
    <definedName name="_xlnm._FilterDatabase" localSheetId="4" hidden="1">Macro_Lookup!$A$1:$E$31</definedName>
    <definedName name="_xlnm._FilterDatabase" localSheetId="1" hidden="1">ML_Matrix_Imputed!$A$1:$BD$101</definedName>
    <definedName name="_xlnm._FilterDatabase" localSheetId="0" hidden="1">Model_Ready_Startups!$A$1:$CG$101</definedName>
    <definedName name="_xlnm._FilterDatabase" localSheetId="7" hidden="1">Version_Log!$A$1:$B$8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F101" i="3" l="1"/>
  <c r="CE101" i="3"/>
  <c r="CD101" i="3"/>
  <c r="CC101" i="3"/>
  <c r="BL101" i="3"/>
  <c r="BR101" i="3" s="1"/>
  <c r="AF101" i="3"/>
  <c r="M101" i="3"/>
  <c r="N101" i="3" s="1"/>
  <c r="CF100" i="3"/>
  <c r="CE100" i="3"/>
  <c r="CD100" i="3"/>
  <c r="CC100" i="3"/>
  <c r="BQ100" i="3"/>
  <c r="BM100" i="3"/>
  <c r="BL100" i="3"/>
  <c r="BR100" i="3" s="1"/>
  <c r="BF100" i="3"/>
  <c r="AF100" i="3"/>
  <c r="M100" i="3"/>
  <c r="N100" i="3" s="1"/>
  <c r="CF99" i="3"/>
  <c r="CE99" i="3"/>
  <c r="CD99" i="3"/>
  <c r="CC99" i="3"/>
  <c r="BR99" i="3"/>
  <c r="BQ99" i="3"/>
  <c r="BP99" i="3"/>
  <c r="BM99" i="3"/>
  <c r="BL99" i="3"/>
  <c r="BN99" i="3" s="1"/>
  <c r="BF99" i="3"/>
  <c r="AF99" i="3"/>
  <c r="AG99" i="3" s="1"/>
  <c r="N99" i="3"/>
  <c r="M99" i="3"/>
  <c r="CF98" i="3"/>
  <c r="CE98" i="3"/>
  <c r="CD98" i="3"/>
  <c r="CC98" i="3"/>
  <c r="BP98" i="3"/>
  <c r="BO98" i="3"/>
  <c r="BN98" i="3"/>
  <c r="BL98" i="3"/>
  <c r="AF98" i="3"/>
  <c r="N98" i="3"/>
  <c r="M98" i="3"/>
  <c r="BF98" i="3" s="1"/>
  <c r="CF97" i="3"/>
  <c r="CE97" i="3"/>
  <c r="CD97" i="3"/>
  <c r="CC97" i="3"/>
  <c r="BQ97" i="3"/>
  <c r="BP97" i="3"/>
  <c r="BM97" i="3"/>
  <c r="BL97" i="3"/>
  <c r="BF97" i="3"/>
  <c r="AF97" i="3"/>
  <c r="N97" i="3"/>
  <c r="M97" i="3"/>
  <c r="CF96" i="3"/>
  <c r="CE96" i="3"/>
  <c r="CD96" i="3"/>
  <c r="CC96" i="3"/>
  <c r="BR96" i="3"/>
  <c r="BQ96" i="3"/>
  <c r="BP96" i="3"/>
  <c r="BM96" i="3"/>
  <c r="BL96" i="3"/>
  <c r="BF96" i="3"/>
  <c r="AH96" i="3"/>
  <c r="AG96" i="3"/>
  <c r="AI96" i="3" s="1"/>
  <c r="AF96" i="3"/>
  <c r="N96" i="3"/>
  <c r="M96" i="3"/>
  <c r="CF95" i="3"/>
  <c r="CE95" i="3"/>
  <c r="CD95" i="3"/>
  <c r="CC95" i="3"/>
  <c r="BP95" i="3"/>
  <c r="BO95" i="3"/>
  <c r="BN95" i="3"/>
  <c r="BM95" i="3"/>
  <c r="BL95" i="3"/>
  <c r="BR95" i="3" s="1"/>
  <c r="AF95" i="3"/>
  <c r="M95" i="3"/>
  <c r="CF94" i="3"/>
  <c r="CE94" i="3"/>
  <c r="CD94" i="3"/>
  <c r="CC94" i="3"/>
  <c r="BL94" i="3"/>
  <c r="BF94" i="3"/>
  <c r="AF94" i="3"/>
  <c r="N94" i="3"/>
  <c r="M94" i="3"/>
  <c r="CF93" i="3"/>
  <c r="CE93" i="3"/>
  <c r="CD93" i="3"/>
  <c r="CC93" i="3"/>
  <c r="BL93" i="3"/>
  <c r="BR93" i="3" s="1"/>
  <c r="BF93" i="3"/>
  <c r="AF93" i="3"/>
  <c r="N93" i="3"/>
  <c r="M93" i="3"/>
  <c r="CF92" i="3"/>
  <c r="CE92" i="3"/>
  <c r="CD92" i="3"/>
  <c r="CC92" i="3"/>
  <c r="BL92" i="3"/>
  <c r="BN92" i="3" s="1"/>
  <c r="AF92" i="3"/>
  <c r="M92" i="3"/>
  <c r="BF92" i="3" s="1"/>
  <c r="CF91" i="3"/>
  <c r="CE91" i="3"/>
  <c r="CD91" i="3"/>
  <c r="CC91" i="3"/>
  <c r="BQ91" i="3"/>
  <c r="BP91" i="3"/>
  <c r="BM91" i="3"/>
  <c r="BL91" i="3"/>
  <c r="BF91" i="3"/>
  <c r="AF91" i="3"/>
  <c r="N91" i="3"/>
  <c r="M91" i="3"/>
  <c r="CF90" i="3"/>
  <c r="CE90" i="3"/>
  <c r="CD90" i="3"/>
  <c r="CC90" i="3"/>
  <c r="BQ90" i="3"/>
  <c r="BL90" i="3"/>
  <c r="BM90" i="3" s="1"/>
  <c r="BF90" i="3"/>
  <c r="AF90" i="3"/>
  <c r="N90" i="3"/>
  <c r="M90" i="3"/>
  <c r="CF89" i="3"/>
  <c r="CE89" i="3"/>
  <c r="CD89" i="3"/>
  <c r="CC89" i="3"/>
  <c r="BQ89" i="3"/>
  <c r="BM89" i="3"/>
  <c r="BL89" i="3"/>
  <c r="AF89" i="3"/>
  <c r="N89" i="3"/>
  <c r="M89" i="3"/>
  <c r="BF89" i="3" s="1"/>
  <c r="CF88" i="3"/>
  <c r="CE88" i="3"/>
  <c r="CD88" i="3"/>
  <c r="CC88" i="3"/>
  <c r="BP88" i="3"/>
  <c r="BM88" i="3"/>
  <c r="BL88" i="3"/>
  <c r="BF88" i="3"/>
  <c r="AF88" i="3"/>
  <c r="N88" i="3"/>
  <c r="M88" i="3"/>
  <c r="CF87" i="3"/>
  <c r="CE87" i="3"/>
  <c r="CD87" i="3"/>
  <c r="CC87" i="3"/>
  <c r="BR87" i="3"/>
  <c r="BQ87" i="3"/>
  <c r="BP87" i="3"/>
  <c r="BL87" i="3"/>
  <c r="BF87" i="3"/>
  <c r="AF87" i="3"/>
  <c r="N87" i="3"/>
  <c r="M87" i="3"/>
  <c r="CF86" i="3"/>
  <c r="CE86" i="3"/>
  <c r="CD86" i="3"/>
  <c r="CC86" i="3"/>
  <c r="BP86" i="3"/>
  <c r="BL86" i="3"/>
  <c r="AF86" i="3"/>
  <c r="N86" i="3"/>
  <c r="M86" i="3"/>
  <c r="BF86" i="3" s="1"/>
  <c r="CF85" i="3"/>
  <c r="CE85" i="3"/>
  <c r="CD85" i="3"/>
  <c r="CC85" i="3"/>
  <c r="BL85" i="3"/>
  <c r="BF85" i="3"/>
  <c r="AF85" i="3"/>
  <c r="N85" i="3"/>
  <c r="M85" i="3"/>
  <c r="CF84" i="3"/>
  <c r="CE84" i="3"/>
  <c r="CD84" i="3"/>
  <c r="CC84" i="3"/>
  <c r="BR84" i="3"/>
  <c r="BQ84" i="3"/>
  <c r="BP84" i="3"/>
  <c r="BM84" i="3"/>
  <c r="BL84" i="3"/>
  <c r="BF84" i="3"/>
  <c r="AF84" i="3"/>
  <c r="AH84" i="3" s="1"/>
  <c r="N84" i="3"/>
  <c r="M84" i="3"/>
  <c r="CF83" i="3"/>
  <c r="CE83" i="3"/>
  <c r="CD83" i="3"/>
  <c r="CC83" i="3"/>
  <c r="BO83" i="3"/>
  <c r="BL83" i="3"/>
  <c r="BR83" i="3" s="1"/>
  <c r="AF83" i="3"/>
  <c r="M83" i="3"/>
  <c r="CF82" i="3"/>
  <c r="CE82" i="3"/>
  <c r="CD82" i="3"/>
  <c r="CC82" i="3"/>
  <c r="BL82" i="3"/>
  <c r="BF82" i="3"/>
  <c r="AF82" i="3"/>
  <c r="N82" i="3"/>
  <c r="M82" i="3"/>
  <c r="CF81" i="3"/>
  <c r="CE81" i="3"/>
  <c r="CD81" i="3"/>
  <c r="CC81" i="3"/>
  <c r="BR81" i="3"/>
  <c r="BL81" i="3"/>
  <c r="BF81" i="3"/>
  <c r="AH81" i="3"/>
  <c r="AF81" i="3"/>
  <c r="AG81" i="3" s="1"/>
  <c r="AI81" i="3" s="1"/>
  <c r="N81" i="3"/>
  <c r="M81" i="3"/>
  <c r="CF80" i="3"/>
  <c r="CE80" i="3"/>
  <c r="CD80" i="3"/>
  <c r="CC80" i="3"/>
  <c r="BQ80" i="3"/>
  <c r="BP80" i="3"/>
  <c r="BO80" i="3"/>
  <c r="BN80" i="3"/>
  <c r="BL80" i="3"/>
  <c r="BR80" i="3" s="1"/>
  <c r="AF80" i="3"/>
  <c r="N80" i="3"/>
  <c r="M80" i="3"/>
  <c r="BF80" i="3" s="1"/>
  <c r="CF79" i="3"/>
  <c r="CE79" i="3"/>
  <c r="CD79" i="3"/>
  <c r="CC79" i="3"/>
  <c r="BQ79" i="3"/>
  <c r="BL79" i="3"/>
  <c r="BM79" i="3" s="1"/>
  <c r="BF79" i="3"/>
  <c r="AF79" i="3"/>
  <c r="N79" i="3"/>
  <c r="M79" i="3"/>
  <c r="CF78" i="3"/>
  <c r="CE78" i="3"/>
  <c r="CD78" i="3"/>
  <c r="CC78" i="3"/>
  <c r="BR78" i="3"/>
  <c r="BQ78" i="3"/>
  <c r="BP78" i="3"/>
  <c r="BM78" i="3"/>
  <c r="BL78" i="3"/>
  <c r="BF78" i="3"/>
  <c r="AH78" i="3"/>
  <c r="AG78" i="3"/>
  <c r="AI78" i="3" s="1"/>
  <c r="AF78" i="3"/>
  <c r="N78" i="3"/>
  <c r="M78" i="3"/>
  <c r="CF77" i="3"/>
  <c r="CE77" i="3"/>
  <c r="CD77" i="3"/>
  <c r="CC77" i="3"/>
  <c r="BQ77" i="3"/>
  <c r="BP77" i="3"/>
  <c r="BO77" i="3"/>
  <c r="BN77" i="3"/>
  <c r="BM77" i="3"/>
  <c r="BL77" i="3"/>
  <c r="BR77" i="3" s="1"/>
  <c r="BF77" i="3"/>
  <c r="AI77" i="3"/>
  <c r="AF77" i="3"/>
  <c r="N77" i="3"/>
  <c r="M77" i="3"/>
  <c r="CF76" i="3"/>
  <c r="CE76" i="3"/>
  <c r="CD76" i="3"/>
  <c r="CC76" i="3"/>
  <c r="BQ76" i="3"/>
  <c r="BL76" i="3"/>
  <c r="BF76" i="3"/>
  <c r="AF76" i="3"/>
  <c r="N76" i="3"/>
  <c r="M76" i="3"/>
  <c r="CF75" i="3"/>
  <c r="CE75" i="3"/>
  <c r="CD75" i="3"/>
  <c r="CC75" i="3"/>
  <c r="BR75" i="3"/>
  <c r="BQ75" i="3"/>
  <c r="BP75" i="3"/>
  <c r="BM75" i="3"/>
  <c r="BL75" i="3"/>
  <c r="BF75" i="3"/>
  <c r="AH75" i="3"/>
  <c r="AG75" i="3"/>
  <c r="AI75" i="3" s="1"/>
  <c r="AF75" i="3"/>
  <c r="N75" i="3"/>
  <c r="M75" i="3"/>
  <c r="CF74" i="3"/>
  <c r="CE74" i="3"/>
  <c r="CD74" i="3"/>
  <c r="CC74" i="3"/>
  <c r="BQ74" i="3"/>
  <c r="BN74" i="3"/>
  <c r="BM74" i="3"/>
  <c r="BL74" i="3"/>
  <c r="BR74" i="3" s="1"/>
  <c r="BF74" i="3"/>
  <c r="AI74" i="3"/>
  <c r="AF74" i="3"/>
  <c r="N74" i="3"/>
  <c r="M74" i="3"/>
  <c r="CF73" i="3"/>
  <c r="CE73" i="3"/>
  <c r="CD73" i="3"/>
  <c r="CC73" i="3"/>
  <c r="BQ73" i="3"/>
  <c r="BL73" i="3"/>
  <c r="BF73" i="3"/>
  <c r="AF73" i="3"/>
  <c r="N73" i="3"/>
  <c r="M73" i="3"/>
  <c r="CF72" i="3"/>
  <c r="CE72" i="3"/>
  <c r="CD72" i="3"/>
  <c r="CC72" i="3"/>
  <c r="BR72" i="3"/>
  <c r="BQ72" i="3"/>
  <c r="BP72" i="3"/>
  <c r="BM72" i="3"/>
  <c r="BL72" i="3"/>
  <c r="BF72" i="3"/>
  <c r="AH72" i="3"/>
  <c r="AG72" i="3"/>
  <c r="AF72" i="3"/>
  <c r="AI72" i="3" s="1"/>
  <c r="N72" i="3"/>
  <c r="M72" i="3"/>
  <c r="CF71" i="3"/>
  <c r="CE71" i="3"/>
  <c r="CD71" i="3"/>
  <c r="CC71" i="3"/>
  <c r="BQ71" i="3"/>
  <c r="BN71" i="3"/>
  <c r="BM71" i="3"/>
  <c r="BL71" i="3"/>
  <c r="BR71" i="3" s="1"/>
  <c r="AF71" i="3"/>
  <c r="M71" i="3"/>
  <c r="BF71" i="3" s="1"/>
  <c r="CF70" i="3"/>
  <c r="CE70" i="3"/>
  <c r="CD70" i="3"/>
  <c r="CC70" i="3"/>
  <c r="BQ70" i="3"/>
  <c r="BP70" i="3"/>
  <c r="BM70" i="3"/>
  <c r="BL70" i="3"/>
  <c r="BF70" i="3"/>
  <c r="AF70" i="3"/>
  <c r="N70" i="3"/>
  <c r="M70" i="3"/>
  <c r="CF69" i="3"/>
  <c r="CE69" i="3"/>
  <c r="CD69" i="3"/>
  <c r="CC69" i="3"/>
  <c r="BL69" i="3"/>
  <c r="BF69" i="3"/>
  <c r="AF69" i="3"/>
  <c r="N69" i="3"/>
  <c r="M69" i="3"/>
  <c r="CF68" i="3"/>
  <c r="CE68" i="3"/>
  <c r="CD68" i="3"/>
  <c r="CC68" i="3"/>
  <c r="BL68" i="3"/>
  <c r="AF68" i="3"/>
  <c r="M68" i="3"/>
  <c r="BF68" i="3" s="1"/>
  <c r="CF67" i="3"/>
  <c r="CE67" i="3"/>
  <c r="CD67" i="3"/>
  <c r="CC67" i="3"/>
  <c r="BP67" i="3"/>
  <c r="BM67" i="3"/>
  <c r="BL67" i="3"/>
  <c r="BF67" i="3"/>
  <c r="AF67" i="3"/>
  <c r="N67" i="3"/>
  <c r="M67" i="3"/>
  <c r="CF66" i="3"/>
  <c r="CE66" i="3"/>
  <c r="CD66" i="3"/>
  <c r="CC66" i="3"/>
  <c r="BM66" i="3"/>
  <c r="BL66" i="3"/>
  <c r="BF66" i="3"/>
  <c r="AF66" i="3"/>
  <c r="AH66" i="3" s="1"/>
  <c r="N66" i="3"/>
  <c r="M66" i="3"/>
  <c r="CF65" i="3"/>
  <c r="CE65" i="3"/>
  <c r="CD65" i="3"/>
  <c r="CC65" i="3"/>
  <c r="BQ65" i="3"/>
  <c r="BO65" i="3"/>
  <c r="BL65" i="3"/>
  <c r="BR65" i="3" s="1"/>
  <c r="BF65" i="3"/>
  <c r="AF65" i="3"/>
  <c r="M65" i="3"/>
  <c r="N65" i="3" s="1"/>
  <c r="CF64" i="3"/>
  <c r="CE64" i="3"/>
  <c r="CD64" i="3"/>
  <c r="CC64" i="3"/>
  <c r="BP64" i="3"/>
  <c r="BM64" i="3"/>
  <c r="BL64" i="3"/>
  <c r="BF64" i="3"/>
  <c r="AF64" i="3"/>
  <c r="N64" i="3"/>
  <c r="M64" i="3"/>
  <c r="CF63" i="3"/>
  <c r="CE63" i="3"/>
  <c r="CD63" i="3"/>
  <c r="CC63" i="3"/>
  <c r="BL63" i="3"/>
  <c r="BF63" i="3"/>
  <c r="AF63" i="3"/>
  <c r="AH63" i="3" s="1"/>
  <c r="N63" i="3"/>
  <c r="M63" i="3"/>
  <c r="CF62" i="3"/>
  <c r="CE62" i="3"/>
  <c r="CD62" i="3"/>
  <c r="CC62" i="3"/>
  <c r="BQ62" i="3"/>
  <c r="BO62" i="3"/>
  <c r="BL62" i="3"/>
  <c r="BR62" i="3" s="1"/>
  <c r="BF62" i="3"/>
  <c r="AF62" i="3"/>
  <c r="M62" i="3"/>
  <c r="N62" i="3" s="1"/>
  <c r="CF61" i="3"/>
  <c r="CE61" i="3"/>
  <c r="CD61" i="3"/>
  <c r="CC61" i="3"/>
  <c r="BP61" i="3"/>
  <c r="BM61" i="3"/>
  <c r="BL61" i="3"/>
  <c r="BF61" i="3"/>
  <c r="AF61" i="3"/>
  <c r="N61" i="3"/>
  <c r="M61" i="3"/>
  <c r="CF60" i="3"/>
  <c r="CE60" i="3"/>
  <c r="CD60" i="3"/>
  <c r="CC60" i="3"/>
  <c r="BL60" i="3"/>
  <c r="BF60" i="3"/>
  <c r="AF60" i="3"/>
  <c r="AH60" i="3" s="1"/>
  <c r="N60" i="3"/>
  <c r="M60" i="3"/>
  <c r="CF59" i="3"/>
  <c r="CE59" i="3"/>
  <c r="CD59" i="3"/>
  <c r="CC59" i="3"/>
  <c r="BQ59" i="3"/>
  <c r="BL59" i="3"/>
  <c r="AF59" i="3"/>
  <c r="AG59" i="3" s="1"/>
  <c r="M59" i="3"/>
  <c r="BF59" i="3" s="1"/>
  <c r="CF58" i="3"/>
  <c r="CE58" i="3"/>
  <c r="CD58" i="3"/>
  <c r="CC58" i="3"/>
  <c r="BP58" i="3"/>
  <c r="BO58" i="3"/>
  <c r="BM58" i="3"/>
  <c r="BL58" i="3"/>
  <c r="BF58" i="3"/>
  <c r="AF58" i="3"/>
  <c r="M58" i="3"/>
  <c r="N58" i="3" s="1"/>
  <c r="CF57" i="3"/>
  <c r="CE57" i="3"/>
  <c r="CD57" i="3"/>
  <c r="CC57" i="3"/>
  <c r="BP57" i="3"/>
  <c r="BO57" i="3"/>
  <c r="BL57" i="3"/>
  <c r="AH57" i="3"/>
  <c r="AI57" i="3" s="1"/>
  <c r="AG57" i="3"/>
  <c r="AF57" i="3"/>
  <c r="M57" i="3"/>
  <c r="CF56" i="3"/>
  <c r="CE56" i="3"/>
  <c r="CD56" i="3"/>
  <c r="CC56" i="3"/>
  <c r="BO56" i="3"/>
  <c r="BN56" i="3"/>
  <c r="BM56" i="3"/>
  <c r="BL56" i="3"/>
  <c r="BR56" i="3" s="1"/>
  <c r="BF56" i="3"/>
  <c r="AH56" i="3"/>
  <c r="AI56" i="3" s="1"/>
  <c r="AF56" i="3"/>
  <c r="AG56" i="3" s="1"/>
  <c r="N56" i="3"/>
  <c r="M56" i="3"/>
  <c r="CF55" i="3"/>
  <c r="CE55" i="3"/>
  <c r="CD55" i="3"/>
  <c r="CC55" i="3"/>
  <c r="BL55" i="3"/>
  <c r="BO55" i="3" s="1"/>
  <c r="BF55" i="3"/>
  <c r="AF55" i="3"/>
  <c r="N55" i="3"/>
  <c r="M55" i="3"/>
  <c r="CF54" i="3"/>
  <c r="CE54" i="3"/>
  <c r="CD54" i="3"/>
  <c r="CC54" i="3"/>
  <c r="BL54" i="3"/>
  <c r="BQ54" i="3" s="1"/>
  <c r="AH54" i="3"/>
  <c r="AF54" i="3"/>
  <c r="M54" i="3"/>
  <c r="CF53" i="3"/>
  <c r="CE53" i="3"/>
  <c r="CD53" i="3"/>
  <c r="CC53" i="3"/>
  <c r="BL53" i="3"/>
  <c r="BO53" i="3" s="1"/>
  <c r="BF53" i="3"/>
  <c r="AF53" i="3"/>
  <c r="N53" i="3"/>
  <c r="M53" i="3"/>
  <c r="CF52" i="3"/>
  <c r="CE52" i="3"/>
  <c r="CD52" i="3"/>
  <c r="CC52" i="3"/>
  <c r="BQ52" i="3"/>
  <c r="BP52" i="3"/>
  <c r="BO52" i="3"/>
  <c r="BL52" i="3"/>
  <c r="BF52" i="3"/>
  <c r="AF52" i="3"/>
  <c r="N52" i="3"/>
  <c r="M52" i="3"/>
  <c r="CF51" i="3"/>
  <c r="CE51" i="3"/>
  <c r="CD51" i="3"/>
  <c r="CC51" i="3"/>
  <c r="BL51" i="3"/>
  <c r="BQ51" i="3" s="1"/>
  <c r="AJ51" i="3"/>
  <c r="AI51" i="3"/>
  <c r="AK51" i="3" s="1"/>
  <c r="AH51" i="3"/>
  <c r="AF51" i="3"/>
  <c r="AG51" i="3" s="1"/>
  <c r="M51" i="3"/>
  <c r="BF51" i="3" s="1"/>
  <c r="CF50" i="3"/>
  <c r="CE50" i="3"/>
  <c r="CD50" i="3"/>
  <c r="CC50" i="3"/>
  <c r="BQ50" i="3"/>
  <c r="BP50" i="3"/>
  <c r="BO50" i="3"/>
  <c r="BN50" i="3"/>
  <c r="BL50" i="3"/>
  <c r="BR50" i="3" s="1"/>
  <c r="AF50" i="3"/>
  <c r="M50" i="3"/>
  <c r="N50" i="3" s="1"/>
  <c r="CF49" i="3"/>
  <c r="CE49" i="3"/>
  <c r="CD49" i="3"/>
  <c r="CC49" i="3"/>
  <c r="BP49" i="3"/>
  <c r="BO49" i="3"/>
  <c r="BM49" i="3"/>
  <c r="BL49" i="3"/>
  <c r="BF49" i="3"/>
  <c r="AF49" i="3"/>
  <c r="M49" i="3"/>
  <c r="N49" i="3" s="1"/>
  <c r="CF48" i="3"/>
  <c r="CE48" i="3"/>
  <c r="CD48" i="3"/>
  <c r="CC48" i="3"/>
  <c r="BL48" i="3"/>
  <c r="BQ48" i="3" s="1"/>
  <c r="AH48" i="3"/>
  <c r="AI48" i="3" s="1"/>
  <c r="AG48" i="3"/>
  <c r="AF48" i="3"/>
  <c r="M48" i="3"/>
  <c r="BF48" i="3" s="1"/>
  <c r="CF47" i="3"/>
  <c r="CE47" i="3"/>
  <c r="CD47" i="3"/>
  <c r="CC47" i="3"/>
  <c r="BO47" i="3"/>
  <c r="BN47" i="3"/>
  <c r="BM47" i="3"/>
  <c r="BL47" i="3"/>
  <c r="BR47" i="3" s="1"/>
  <c r="BF47" i="3"/>
  <c r="AH47" i="3"/>
  <c r="AI47" i="3" s="1"/>
  <c r="AK47" i="3" s="1"/>
  <c r="AF47" i="3"/>
  <c r="AG47" i="3" s="1"/>
  <c r="N47" i="3"/>
  <c r="M47" i="3"/>
  <c r="CF46" i="3"/>
  <c r="CE46" i="3"/>
  <c r="CD46" i="3"/>
  <c r="CC46" i="3"/>
  <c r="BP46" i="3"/>
  <c r="BO46" i="3"/>
  <c r="BM46" i="3"/>
  <c r="BL46" i="3"/>
  <c r="BF46" i="3"/>
  <c r="AH46" i="3"/>
  <c r="AF46" i="3"/>
  <c r="M46" i="3"/>
  <c r="N46" i="3" s="1"/>
  <c r="CF45" i="3"/>
  <c r="CE45" i="3"/>
  <c r="CD45" i="3"/>
  <c r="CC45" i="3"/>
  <c r="BQ45" i="3"/>
  <c r="BM45" i="3"/>
  <c r="BL45" i="3"/>
  <c r="AH45" i="3"/>
  <c r="AI45" i="3" s="1"/>
  <c r="AG45" i="3"/>
  <c r="AF45" i="3"/>
  <c r="M45" i="3"/>
  <c r="CF44" i="3"/>
  <c r="CE44" i="3"/>
  <c r="CD44" i="3"/>
  <c r="CC44" i="3"/>
  <c r="BO44" i="3"/>
  <c r="BN44" i="3"/>
  <c r="BL44" i="3"/>
  <c r="BF44" i="3"/>
  <c r="AF44" i="3"/>
  <c r="N44" i="3"/>
  <c r="M44" i="3"/>
  <c r="CF43" i="3"/>
  <c r="CE43" i="3"/>
  <c r="CD43" i="3"/>
  <c r="CC43" i="3"/>
  <c r="BQ43" i="3"/>
  <c r="BP43" i="3"/>
  <c r="BO43" i="3"/>
  <c r="BL43" i="3"/>
  <c r="AF43" i="3"/>
  <c r="AH43" i="3" s="1"/>
  <c r="M43" i="3"/>
  <c r="BF43" i="3" s="1"/>
  <c r="CF42" i="3"/>
  <c r="CE42" i="3"/>
  <c r="CD42" i="3"/>
  <c r="CC42" i="3"/>
  <c r="BR42" i="3"/>
  <c r="BQ42" i="3"/>
  <c r="BL42" i="3"/>
  <c r="AH42" i="3"/>
  <c r="AF42" i="3"/>
  <c r="AG42" i="3" s="1"/>
  <c r="AI42" i="3" s="1"/>
  <c r="AK42" i="3" s="1"/>
  <c r="M42" i="3"/>
  <c r="BF42" i="3" s="1"/>
  <c r="CF41" i="3"/>
  <c r="CE41" i="3"/>
  <c r="CD41" i="3"/>
  <c r="CC41" i="3"/>
  <c r="BQ41" i="3"/>
  <c r="BP41" i="3"/>
  <c r="BO41" i="3"/>
  <c r="BN41" i="3"/>
  <c r="BL41" i="3"/>
  <c r="BR41" i="3" s="1"/>
  <c r="BF41" i="3"/>
  <c r="AF41" i="3"/>
  <c r="N41" i="3"/>
  <c r="M41" i="3"/>
  <c r="CF40" i="3"/>
  <c r="CE40" i="3"/>
  <c r="CD40" i="3"/>
  <c r="CC40" i="3"/>
  <c r="BP40" i="3"/>
  <c r="BO40" i="3"/>
  <c r="BL40" i="3"/>
  <c r="BF40" i="3"/>
  <c r="AF40" i="3"/>
  <c r="M40" i="3"/>
  <c r="N40" i="3" s="1"/>
  <c r="CF39" i="3"/>
  <c r="CE39" i="3"/>
  <c r="CD39" i="3"/>
  <c r="CC39" i="3"/>
  <c r="BL39" i="3"/>
  <c r="BO39" i="3" s="1"/>
  <c r="AI39" i="3"/>
  <c r="AH39" i="3"/>
  <c r="AF39" i="3"/>
  <c r="AG39" i="3" s="1"/>
  <c r="N39" i="3"/>
  <c r="M39" i="3"/>
  <c r="BF39" i="3" s="1"/>
  <c r="CF38" i="3"/>
  <c r="CE38" i="3"/>
  <c r="CD38" i="3"/>
  <c r="CC38" i="3"/>
  <c r="BO38" i="3"/>
  <c r="BN38" i="3"/>
  <c r="BL38" i="3"/>
  <c r="BR38" i="3" s="1"/>
  <c r="BF38" i="3"/>
  <c r="AH38" i="3"/>
  <c r="AI38" i="3" s="1"/>
  <c r="AF38" i="3"/>
  <c r="AG38" i="3" s="1"/>
  <c r="M38" i="3"/>
  <c r="N38" i="3" s="1"/>
  <c r="CF37" i="3"/>
  <c r="CE37" i="3"/>
  <c r="CD37" i="3"/>
  <c r="CC37" i="3"/>
  <c r="BR37" i="3"/>
  <c r="BQ37" i="3"/>
  <c r="BP37" i="3"/>
  <c r="BO37" i="3"/>
  <c r="BN37" i="3"/>
  <c r="BM37" i="3"/>
  <c r="BL37" i="3"/>
  <c r="AF37" i="3"/>
  <c r="M37" i="3"/>
  <c r="CF36" i="3"/>
  <c r="CE36" i="3"/>
  <c r="CD36" i="3"/>
  <c r="CC36" i="3"/>
  <c r="BR36" i="3"/>
  <c r="BL36" i="3"/>
  <c r="BN36" i="3" s="1"/>
  <c r="BF36" i="3"/>
  <c r="AF36" i="3"/>
  <c r="M36" i="3"/>
  <c r="N36" i="3" s="1"/>
  <c r="CF35" i="3"/>
  <c r="CE35" i="3"/>
  <c r="CD35" i="3"/>
  <c r="CC35" i="3"/>
  <c r="BR35" i="3"/>
  <c r="BQ35" i="3"/>
  <c r="BN35" i="3"/>
  <c r="BM35" i="3"/>
  <c r="BL35" i="3"/>
  <c r="BP35" i="3" s="1"/>
  <c r="BF35" i="3"/>
  <c r="AH35" i="3"/>
  <c r="AI35" i="3" s="1"/>
  <c r="AJ35" i="3" s="1"/>
  <c r="AG35" i="3"/>
  <c r="AF35" i="3"/>
  <c r="M35" i="3"/>
  <c r="N35" i="3" s="1"/>
  <c r="CF34" i="3"/>
  <c r="CE34" i="3"/>
  <c r="CD34" i="3"/>
  <c r="CC34" i="3"/>
  <c r="BR34" i="3"/>
  <c r="BQ34" i="3"/>
  <c r="BP34" i="3"/>
  <c r="BO34" i="3"/>
  <c r="BN34" i="3"/>
  <c r="BM34" i="3"/>
  <c r="BL34" i="3"/>
  <c r="AF34" i="3"/>
  <c r="M34" i="3"/>
  <c r="BF34" i="3" s="1"/>
  <c r="CF33" i="3"/>
  <c r="CE33" i="3"/>
  <c r="CD33" i="3"/>
  <c r="CC33" i="3"/>
  <c r="BL33" i="3"/>
  <c r="BF33" i="3"/>
  <c r="AG33" i="3"/>
  <c r="AF33" i="3"/>
  <c r="M33" i="3"/>
  <c r="N33" i="3" s="1"/>
  <c r="CF32" i="3"/>
  <c r="CE32" i="3"/>
  <c r="CD32" i="3"/>
  <c r="CC32" i="3"/>
  <c r="BR32" i="3"/>
  <c r="BQ32" i="3"/>
  <c r="BN32" i="3"/>
  <c r="BM32" i="3"/>
  <c r="BL32" i="3"/>
  <c r="BP32" i="3" s="1"/>
  <c r="BF32" i="3"/>
  <c r="AF32" i="3"/>
  <c r="AH32" i="3" s="1"/>
  <c r="M32" i="3"/>
  <c r="N32" i="3" s="1"/>
  <c r="CF31" i="3"/>
  <c r="CE31" i="3"/>
  <c r="CD31" i="3"/>
  <c r="CC31" i="3"/>
  <c r="BR31" i="3"/>
  <c r="BQ31" i="3"/>
  <c r="BP31" i="3"/>
  <c r="BO31" i="3"/>
  <c r="BN31" i="3"/>
  <c r="BM31" i="3"/>
  <c r="BL31" i="3"/>
  <c r="AF31" i="3"/>
  <c r="N31" i="3"/>
  <c r="M31" i="3"/>
  <c r="BF31" i="3" s="1"/>
  <c r="CF30" i="3"/>
  <c r="CE30" i="3"/>
  <c r="CD30" i="3"/>
  <c r="CC30" i="3"/>
  <c r="BL30" i="3"/>
  <c r="BF30" i="3"/>
  <c r="AF30" i="3"/>
  <c r="M30" i="3"/>
  <c r="N30" i="3" s="1"/>
  <c r="CF29" i="3"/>
  <c r="CE29" i="3"/>
  <c r="CD29" i="3"/>
  <c r="CC29" i="3"/>
  <c r="BR29" i="3"/>
  <c r="BQ29" i="3"/>
  <c r="BN29" i="3"/>
  <c r="BM29" i="3"/>
  <c r="BL29" i="3"/>
  <c r="BP29" i="3" s="1"/>
  <c r="BF29" i="3"/>
  <c r="AF29" i="3"/>
  <c r="M29" i="3"/>
  <c r="N29" i="3" s="1"/>
  <c r="CF28" i="3"/>
  <c r="CE28" i="3"/>
  <c r="CD28" i="3"/>
  <c r="CC28" i="3"/>
  <c r="BR28" i="3"/>
  <c r="BQ28" i="3"/>
  <c r="BP28" i="3"/>
  <c r="BO28" i="3"/>
  <c r="BN28" i="3"/>
  <c r="BM28" i="3"/>
  <c r="BL28" i="3"/>
  <c r="AF28" i="3"/>
  <c r="AG28" i="3" s="1"/>
  <c r="N28" i="3"/>
  <c r="M28" i="3"/>
  <c r="BF28" i="3" s="1"/>
  <c r="CF27" i="3"/>
  <c r="CE27" i="3"/>
  <c r="CD27" i="3"/>
  <c r="CC27" i="3"/>
  <c r="BL27" i="3"/>
  <c r="BF27" i="3"/>
  <c r="AF27" i="3"/>
  <c r="M27" i="3"/>
  <c r="N27" i="3" s="1"/>
  <c r="CF26" i="3"/>
  <c r="CE26" i="3"/>
  <c r="CD26" i="3"/>
  <c r="CC26" i="3"/>
  <c r="BR26" i="3"/>
  <c r="BQ26" i="3"/>
  <c r="BN26" i="3"/>
  <c r="BM26" i="3"/>
  <c r="BL26" i="3"/>
  <c r="BP26" i="3" s="1"/>
  <c r="BF26" i="3"/>
  <c r="AF26" i="3"/>
  <c r="AH26" i="3" s="1"/>
  <c r="M26" i="3"/>
  <c r="N26" i="3" s="1"/>
  <c r="CF25" i="3"/>
  <c r="CE25" i="3"/>
  <c r="CD25" i="3"/>
  <c r="CC25" i="3"/>
  <c r="BR25" i="3"/>
  <c r="BQ25" i="3"/>
  <c r="BP25" i="3"/>
  <c r="BO25" i="3"/>
  <c r="BN25" i="3"/>
  <c r="BM25" i="3"/>
  <c r="BL25" i="3"/>
  <c r="AF25" i="3"/>
  <c r="M25" i="3"/>
  <c r="BF25" i="3" s="1"/>
  <c r="CF24" i="3"/>
  <c r="CE24" i="3"/>
  <c r="CD24" i="3"/>
  <c r="CC24" i="3"/>
  <c r="BL24" i="3"/>
  <c r="BF24" i="3"/>
  <c r="AG24" i="3"/>
  <c r="AF24" i="3"/>
  <c r="M24" i="3"/>
  <c r="N24" i="3" s="1"/>
  <c r="CF23" i="3"/>
  <c r="CE23" i="3"/>
  <c r="CD23" i="3"/>
  <c r="CC23" i="3"/>
  <c r="BR23" i="3"/>
  <c r="BQ23" i="3"/>
  <c r="BN23" i="3"/>
  <c r="BM23" i="3"/>
  <c r="BL23" i="3"/>
  <c r="BP23" i="3" s="1"/>
  <c r="BF23" i="3"/>
  <c r="AF23" i="3"/>
  <c r="AH23" i="3" s="1"/>
  <c r="M23" i="3"/>
  <c r="N23" i="3" s="1"/>
  <c r="CF22" i="3"/>
  <c r="CE22" i="3"/>
  <c r="CD22" i="3"/>
  <c r="CC22" i="3"/>
  <c r="BR22" i="3"/>
  <c r="BQ22" i="3"/>
  <c r="BP22" i="3"/>
  <c r="BO22" i="3"/>
  <c r="BN22" i="3"/>
  <c r="BM22" i="3"/>
  <c r="BL22" i="3"/>
  <c r="AG22" i="3"/>
  <c r="AF22" i="3"/>
  <c r="M22" i="3"/>
  <c r="CF21" i="3"/>
  <c r="CE21" i="3"/>
  <c r="CD21" i="3"/>
  <c r="CC21" i="3"/>
  <c r="BL21" i="3"/>
  <c r="BN21" i="3" s="1"/>
  <c r="BF21" i="3"/>
  <c r="AG21" i="3"/>
  <c r="AF21" i="3"/>
  <c r="M21" i="3"/>
  <c r="N21" i="3" s="1"/>
  <c r="CF20" i="3"/>
  <c r="CE20" i="3"/>
  <c r="CD20" i="3"/>
  <c r="CC20" i="3"/>
  <c r="BR20" i="3"/>
  <c r="BQ20" i="3"/>
  <c r="BN20" i="3"/>
  <c r="BM20" i="3"/>
  <c r="BL20" i="3"/>
  <c r="BP20" i="3" s="1"/>
  <c r="BF20" i="3"/>
  <c r="AF20" i="3"/>
  <c r="M20" i="3"/>
  <c r="N20" i="3" s="1"/>
  <c r="CF19" i="3"/>
  <c r="CE19" i="3"/>
  <c r="CD19" i="3"/>
  <c r="CC19" i="3"/>
  <c r="BR19" i="3"/>
  <c r="BQ19" i="3"/>
  <c r="BP19" i="3"/>
  <c r="BO19" i="3"/>
  <c r="BN19" i="3"/>
  <c r="BM19" i="3"/>
  <c r="BL19" i="3"/>
  <c r="AF19" i="3"/>
  <c r="N19" i="3"/>
  <c r="M19" i="3"/>
  <c r="BF19" i="3" s="1"/>
  <c r="CF18" i="3"/>
  <c r="CE18" i="3"/>
  <c r="CD18" i="3"/>
  <c r="CC18" i="3"/>
  <c r="BR18" i="3"/>
  <c r="BQ18" i="3"/>
  <c r="BN18" i="3"/>
  <c r="BM18" i="3"/>
  <c r="BL18" i="3"/>
  <c r="BF18" i="3"/>
  <c r="AF18" i="3"/>
  <c r="AG18" i="3" s="1"/>
  <c r="M18" i="3"/>
  <c r="N18" i="3" s="1"/>
  <c r="CF17" i="3"/>
  <c r="CE17" i="3"/>
  <c r="CD17" i="3"/>
  <c r="CC17" i="3"/>
  <c r="BR17" i="3"/>
  <c r="BQ17" i="3"/>
  <c r="BN17" i="3"/>
  <c r="BM17" i="3"/>
  <c r="BL17" i="3"/>
  <c r="BP17" i="3" s="1"/>
  <c r="BF17" i="3"/>
  <c r="AF17" i="3"/>
  <c r="AH17" i="3" s="1"/>
  <c r="M17" i="3"/>
  <c r="N17" i="3" s="1"/>
  <c r="CF16" i="3"/>
  <c r="CE16" i="3"/>
  <c r="CD16" i="3"/>
  <c r="CC16" i="3"/>
  <c r="BR16" i="3"/>
  <c r="BQ16" i="3"/>
  <c r="BP16" i="3"/>
  <c r="BO16" i="3"/>
  <c r="BN16" i="3"/>
  <c r="BM16" i="3"/>
  <c r="BL16" i="3"/>
  <c r="AF16" i="3"/>
  <c r="N16" i="3"/>
  <c r="M16" i="3"/>
  <c r="BF16" i="3" s="1"/>
  <c r="CF15" i="3"/>
  <c r="CE15" i="3"/>
  <c r="CD15" i="3"/>
  <c r="CC15" i="3"/>
  <c r="BR15" i="3"/>
  <c r="BQ15" i="3"/>
  <c r="BN15" i="3"/>
  <c r="BL15" i="3"/>
  <c r="BF15" i="3"/>
  <c r="AF15" i="3"/>
  <c r="AG15" i="3" s="1"/>
  <c r="M15" i="3"/>
  <c r="N15" i="3" s="1"/>
  <c r="CF14" i="3"/>
  <c r="CE14" i="3"/>
  <c r="CD14" i="3"/>
  <c r="CC14" i="3"/>
  <c r="BR14" i="3"/>
  <c r="BQ14" i="3"/>
  <c r="BN14" i="3"/>
  <c r="BM14" i="3"/>
  <c r="BL14" i="3"/>
  <c r="BP14" i="3" s="1"/>
  <c r="BF14" i="3"/>
  <c r="AF14" i="3"/>
  <c r="M14" i="3"/>
  <c r="N14" i="3" s="1"/>
  <c r="CF13" i="3"/>
  <c r="CE13" i="3"/>
  <c r="CD13" i="3"/>
  <c r="CC13" i="3"/>
  <c r="BR13" i="3"/>
  <c r="BQ13" i="3"/>
  <c r="BP13" i="3"/>
  <c r="BO13" i="3"/>
  <c r="BN13" i="3"/>
  <c r="BM13" i="3"/>
  <c r="BL13" i="3"/>
  <c r="AG13" i="3"/>
  <c r="AF13" i="3"/>
  <c r="M13" i="3"/>
  <c r="BF13" i="3" s="1"/>
  <c r="CF12" i="3"/>
  <c r="CE12" i="3"/>
  <c r="CD12" i="3"/>
  <c r="CC12" i="3"/>
  <c r="BR12" i="3"/>
  <c r="BL12" i="3"/>
  <c r="BF12" i="3"/>
  <c r="AF12" i="3"/>
  <c r="M12" i="3"/>
  <c r="N12" i="3" s="1"/>
  <c r="CF11" i="3"/>
  <c r="CE11" i="3"/>
  <c r="CD11" i="3"/>
  <c r="CC11" i="3"/>
  <c r="BR11" i="3"/>
  <c r="BQ11" i="3"/>
  <c r="BN11" i="3"/>
  <c r="BM11" i="3"/>
  <c r="BL11" i="3"/>
  <c r="BP11" i="3" s="1"/>
  <c r="BF11" i="3"/>
  <c r="AH11" i="3"/>
  <c r="AG11" i="3"/>
  <c r="AI11" i="3" s="1"/>
  <c r="AF11" i="3"/>
  <c r="M11" i="3"/>
  <c r="N11" i="3" s="1"/>
  <c r="CF10" i="3"/>
  <c r="CE10" i="3"/>
  <c r="CD10" i="3"/>
  <c r="CC10" i="3"/>
  <c r="BR10" i="3"/>
  <c r="BQ10" i="3"/>
  <c r="BP10" i="3"/>
  <c r="BO10" i="3"/>
  <c r="BN10" i="3"/>
  <c r="BM10" i="3"/>
  <c r="BL10" i="3"/>
  <c r="AG10" i="3"/>
  <c r="AF10" i="3"/>
  <c r="M10" i="3"/>
  <c r="BF10" i="3" s="1"/>
  <c r="CF9" i="3"/>
  <c r="CE9" i="3"/>
  <c r="CD9" i="3"/>
  <c r="CC9" i="3"/>
  <c r="BR9" i="3"/>
  <c r="BN9" i="3"/>
  <c r="BM9" i="3"/>
  <c r="BL9" i="3"/>
  <c r="BF9" i="3"/>
  <c r="AF9" i="3"/>
  <c r="M9" i="3"/>
  <c r="N9" i="3" s="1"/>
  <c r="CF8" i="3"/>
  <c r="CE8" i="3"/>
  <c r="CD8" i="3"/>
  <c r="CC8" i="3"/>
  <c r="BR8" i="3"/>
  <c r="BQ8" i="3"/>
  <c r="BN8" i="3"/>
  <c r="BM8" i="3"/>
  <c r="BL8" i="3"/>
  <c r="BP8" i="3" s="1"/>
  <c r="BF8" i="3"/>
  <c r="AI8" i="3"/>
  <c r="AK8" i="3" s="1"/>
  <c r="AH8" i="3"/>
  <c r="AF8" i="3"/>
  <c r="AG8" i="3" s="1"/>
  <c r="M8" i="3"/>
  <c r="N8" i="3" s="1"/>
  <c r="CF7" i="3"/>
  <c r="CE7" i="3"/>
  <c r="CD7" i="3"/>
  <c r="CC7" i="3"/>
  <c r="BR7" i="3"/>
  <c r="BQ7" i="3"/>
  <c r="BP7" i="3"/>
  <c r="BO7" i="3"/>
  <c r="BN7" i="3"/>
  <c r="BM7" i="3"/>
  <c r="BL7" i="3"/>
  <c r="AF7" i="3"/>
  <c r="M7" i="3"/>
  <c r="BF7" i="3" s="1"/>
  <c r="CF6" i="3"/>
  <c r="CE6" i="3"/>
  <c r="CD6" i="3"/>
  <c r="CC6" i="3"/>
  <c r="BQ6" i="3"/>
  <c r="BN6" i="3"/>
  <c r="BM6" i="3"/>
  <c r="BL6" i="3"/>
  <c r="BF6" i="3"/>
  <c r="AF6" i="3"/>
  <c r="M6" i="3"/>
  <c r="N6" i="3" s="1"/>
  <c r="CF5" i="3"/>
  <c r="CE5" i="3"/>
  <c r="CD5" i="3"/>
  <c r="CC5" i="3"/>
  <c r="BR5" i="3"/>
  <c r="BQ5" i="3"/>
  <c r="BN5" i="3"/>
  <c r="BM5" i="3"/>
  <c r="BL5" i="3"/>
  <c r="BP5" i="3" s="1"/>
  <c r="BF5" i="3"/>
  <c r="AF5" i="3"/>
  <c r="M5" i="3"/>
  <c r="N5" i="3" s="1"/>
  <c r="CF4" i="3"/>
  <c r="CE4" i="3"/>
  <c r="CD4" i="3"/>
  <c r="CC4" i="3"/>
  <c r="BR4" i="3"/>
  <c r="BQ4" i="3"/>
  <c r="BP4" i="3"/>
  <c r="BO4" i="3"/>
  <c r="BN4" i="3"/>
  <c r="BM4" i="3"/>
  <c r="BL4" i="3"/>
  <c r="AF4" i="3"/>
  <c r="AG4" i="3" s="1"/>
  <c r="M4" i="3"/>
  <c r="CF3" i="3"/>
  <c r="CE3" i="3"/>
  <c r="CD3" i="3"/>
  <c r="CC3" i="3"/>
  <c r="BR3" i="3"/>
  <c r="BQ3" i="3"/>
  <c r="BL3" i="3"/>
  <c r="BF3" i="3"/>
  <c r="AF3" i="3"/>
  <c r="N3" i="3"/>
  <c r="M3" i="3"/>
  <c r="CF2" i="3"/>
  <c r="CE2" i="3"/>
  <c r="CD2" i="3"/>
  <c r="CC2" i="3"/>
  <c r="BR2" i="3"/>
  <c r="BQ2" i="3"/>
  <c r="BN2" i="3"/>
  <c r="BM2" i="3"/>
  <c r="BL2" i="3"/>
  <c r="BP2" i="3" s="1"/>
  <c r="BF2" i="3"/>
  <c r="AH2" i="3"/>
  <c r="AI2" i="3" s="1"/>
  <c r="AJ2" i="3" s="1"/>
  <c r="AG2" i="3"/>
  <c r="AF2" i="3"/>
  <c r="M2" i="3"/>
  <c r="N2" i="3" s="1"/>
  <c r="AK11" i="3" l="1"/>
  <c r="AJ11" i="3"/>
  <c r="AJ8" i="3"/>
  <c r="BM21" i="3"/>
  <c r="AH31" i="3"/>
  <c r="AG31" i="3"/>
  <c r="AI31" i="3" s="1"/>
  <c r="N34" i="3"/>
  <c r="AK2" i="3"/>
  <c r="BF4" i="3"/>
  <c r="N4" i="3"/>
  <c r="BP24" i="3"/>
  <c r="BO24" i="3"/>
  <c r="BR24" i="3"/>
  <c r="BQ24" i="3"/>
  <c r="BN24" i="3"/>
  <c r="AH3" i="3"/>
  <c r="AI3" i="3" s="1"/>
  <c r="BM24" i="3"/>
  <c r="AH5" i="3"/>
  <c r="AG5" i="3"/>
  <c r="AI5" i="3" s="1"/>
  <c r="AK45" i="3"/>
  <c r="AJ45" i="3"/>
  <c r="AJ47" i="3"/>
  <c r="AK35" i="3"/>
  <c r="AH36" i="3"/>
  <c r="AI36" i="3" s="1"/>
  <c r="AG41" i="3"/>
  <c r="AH41" i="3"/>
  <c r="AI41" i="3" s="1"/>
  <c r="AK48" i="3"/>
  <c r="AJ48" i="3"/>
  <c r="AK77" i="3"/>
  <c r="AJ77" i="3"/>
  <c r="BF22" i="3"/>
  <c r="N22" i="3"/>
  <c r="AG36" i="3"/>
  <c r="AK38" i="3"/>
  <c r="AJ38" i="3"/>
  <c r="N42" i="3"/>
  <c r="AK56" i="3"/>
  <c r="AJ56" i="3"/>
  <c r="AK96" i="3"/>
  <c r="AJ96" i="3"/>
  <c r="AG53" i="3"/>
  <c r="AI53" i="3" s="1"/>
  <c r="AH53" i="3"/>
  <c r="AH9" i="3"/>
  <c r="AG9" i="3"/>
  <c r="AI9" i="3" s="1"/>
  <c r="AH27" i="3"/>
  <c r="AG27" i="3"/>
  <c r="AI27" i="3" s="1"/>
  <c r="BN51" i="3"/>
  <c r="BP51" i="3"/>
  <c r="BO51" i="3"/>
  <c r="BR51" i="3"/>
  <c r="BF37" i="3"/>
  <c r="N37" i="3"/>
  <c r="BM51" i="3"/>
  <c r="AG3" i="3"/>
  <c r="AH6" i="3"/>
  <c r="AK39" i="3"/>
  <c r="AJ39" i="3"/>
  <c r="AG55" i="3"/>
  <c r="AI55" i="3"/>
  <c r="AG6" i="3"/>
  <c r="AI6" i="3" s="1"/>
  <c r="AG14" i="3"/>
  <c r="AI14" i="3" s="1"/>
  <c r="AH55" i="3"/>
  <c r="BP12" i="3"/>
  <c r="BO12" i="3"/>
  <c r="BN12" i="3"/>
  <c r="BM12" i="3"/>
  <c r="AH25" i="3"/>
  <c r="AI54" i="3"/>
  <c r="AH93" i="3"/>
  <c r="AI93" i="3" s="1"/>
  <c r="BP21" i="3"/>
  <c r="BO21" i="3"/>
  <c r="BQ21" i="3"/>
  <c r="BR21" i="3"/>
  <c r="AH28" i="3"/>
  <c r="AI28" i="3" s="1"/>
  <c r="AG49" i="3"/>
  <c r="AH49" i="3"/>
  <c r="AI49" i="3"/>
  <c r="AG17" i="3"/>
  <c r="AI17" i="3" s="1"/>
  <c r="BP27" i="3"/>
  <c r="BO27" i="3"/>
  <c r="BR27" i="3"/>
  <c r="BQ27" i="3"/>
  <c r="BM27" i="3"/>
  <c r="BN27" i="3"/>
  <c r="AG69" i="3"/>
  <c r="AI69" i="3" s="1"/>
  <c r="AH69" i="3"/>
  <c r="AG20" i="3"/>
  <c r="AH20" i="3"/>
  <c r="AI20" i="3" s="1"/>
  <c r="AK57" i="3"/>
  <c r="AJ57" i="3"/>
  <c r="BN39" i="3"/>
  <c r="BM39" i="3"/>
  <c r="BQ39" i="3"/>
  <c r="BR39" i="3"/>
  <c r="BP39" i="3"/>
  <c r="AH14" i="3"/>
  <c r="BQ12" i="3"/>
  <c r="AH16" i="3"/>
  <c r="AG16" i="3"/>
  <c r="AI16" i="3" s="1"/>
  <c r="AG25" i="3"/>
  <c r="AI25" i="3" s="1"/>
  <c r="AG54" i="3"/>
  <c r="AG93" i="3"/>
  <c r="BP30" i="3"/>
  <c r="BO30" i="3"/>
  <c r="AH34" i="3"/>
  <c r="AI34" i="3" s="1"/>
  <c r="BF57" i="3"/>
  <c r="N57" i="3"/>
  <c r="AG91" i="3"/>
  <c r="AH91" i="3"/>
  <c r="AI91" i="3"/>
  <c r="AI12" i="3"/>
  <c r="AH12" i="3"/>
  <c r="BP33" i="3"/>
  <c r="BO33" i="3"/>
  <c r="AG34" i="3"/>
  <c r="N43" i="3"/>
  <c r="AG67" i="3"/>
  <c r="AH67" i="3"/>
  <c r="AH90" i="3"/>
  <c r="BR94" i="3"/>
  <c r="BO94" i="3"/>
  <c r="BN94" i="3"/>
  <c r="BM94" i="3"/>
  <c r="AG12" i="3"/>
  <c r="AG26" i="3"/>
  <c r="BM33" i="3"/>
  <c r="AJ42" i="3"/>
  <c r="AG50" i="3"/>
  <c r="AH50" i="3"/>
  <c r="AI50" i="3" s="1"/>
  <c r="AG58" i="3"/>
  <c r="AI58" i="3" s="1"/>
  <c r="AH58" i="3"/>
  <c r="AI67" i="3"/>
  <c r="BN69" i="3"/>
  <c r="BO69" i="3"/>
  <c r="BR69" i="3"/>
  <c r="BQ69" i="3"/>
  <c r="AH80" i="3"/>
  <c r="AG80" i="3"/>
  <c r="AH89" i="3"/>
  <c r="AG89" i="3"/>
  <c r="AI89" i="3"/>
  <c r="AG90" i="3"/>
  <c r="AI90" i="3" s="1"/>
  <c r="BM92" i="3"/>
  <c r="BP3" i="3"/>
  <c r="BO3" i="3"/>
  <c r="AH7" i="3"/>
  <c r="N10" i="3"/>
  <c r="BN33" i="3"/>
  <c r="BP48" i="3"/>
  <c r="N51" i="3"/>
  <c r="BM55" i="3"/>
  <c r="AG61" i="3"/>
  <c r="AH61" i="3"/>
  <c r="AI65" i="3"/>
  <c r="BR68" i="3"/>
  <c r="BO68" i="3"/>
  <c r="BM68" i="3"/>
  <c r="BN68" i="3"/>
  <c r="BQ68" i="3"/>
  <c r="BM69" i="3"/>
  <c r="AI80" i="3"/>
  <c r="AK81" i="3"/>
  <c r="AJ81" i="3"/>
  <c r="BQ94" i="3"/>
  <c r="AI98" i="3"/>
  <c r="AH99" i="3"/>
  <c r="AI99" i="3" s="1"/>
  <c r="BM3" i="3"/>
  <c r="BP6" i="3"/>
  <c r="BO6" i="3"/>
  <c r="AG7" i="3"/>
  <c r="AI7" i="3" s="1"/>
  <c r="AH10" i="3"/>
  <c r="AI10" i="3" s="1"/>
  <c r="N13" i="3"/>
  <c r="AH21" i="3"/>
  <c r="AI21" i="3" s="1"/>
  <c r="AI26" i="3"/>
  <c r="AH29" i="3"/>
  <c r="BR30" i="3"/>
  <c r="AG32" i="3"/>
  <c r="AI32" i="3" s="1"/>
  <c r="BQ33" i="3"/>
  <c r="BN42" i="3"/>
  <c r="BP42" i="3"/>
  <c r="BO42" i="3"/>
  <c r="AG44" i="3"/>
  <c r="AH44" i="3"/>
  <c r="AI44" i="3" s="1"/>
  <c r="AG46" i="3"/>
  <c r="AI46" i="3"/>
  <c r="BF50" i="3"/>
  <c r="N59" i="3"/>
  <c r="AI61" i="3"/>
  <c r="BP68" i="3"/>
  <c r="BP69" i="3"/>
  <c r="AG73" i="3"/>
  <c r="AH73" i="3"/>
  <c r="AI73" i="3"/>
  <c r="AH74" i="3"/>
  <c r="AG74" i="3"/>
  <c r="BR89" i="3"/>
  <c r="BP89" i="3"/>
  <c r="BO89" i="3"/>
  <c r="BN89" i="3"/>
  <c r="BR98" i="3"/>
  <c r="BQ98" i="3"/>
  <c r="BM98" i="3"/>
  <c r="BR53" i="3"/>
  <c r="BQ53" i="3"/>
  <c r="BP53" i="3"/>
  <c r="AK78" i="3"/>
  <c r="AJ78" i="3"/>
  <c r="AG23" i="3"/>
  <c r="AI23" i="3" s="1"/>
  <c r="BM30" i="3"/>
  <c r="AH37" i="3"/>
  <c r="AI37" i="3" s="1"/>
  <c r="BN48" i="3"/>
  <c r="BM48" i="3"/>
  <c r="BM53" i="3"/>
  <c r="BN54" i="3"/>
  <c r="BP54" i="3"/>
  <c r="BO54" i="3"/>
  <c r="BR54" i="3"/>
  <c r="N68" i="3"/>
  <c r="N71" i="3"/>
  <c r="AK72" i="3"/>
  <c r="AJ72" i="3"/>
  <c r="BF83" i="3"/>
  <c r="N83" i="3"/>
  <c r="AH87" i="3"/>
  <c r="AG87" i="3"/>
  <c r="AI87" i="3" s="1"/>
  <c r="BR92" i="3"/>
  <c r="BQ92" i="3"/>
  <c r="BP92" i="3"/>
  <c r="BO92" i="3"/>
  <c r="AH4" i="3"/>
  <c r="AI4" i="3" s="1"/>
  <c r="N7" i="3"/>
  <c r="AI15" i="3"/>
  <c r="AH15" i="3"/>
  <c r="BN30" i="3"/>
  <c r="BP36" i="3"/>
  <c r="BO36" i="3"/>
  <c r="AG37" i="3"/>
  <c r="AG43" i="3"/>
  <c r="AI43" i="3"/>
  <c r="BO48" i="3"/>
  <c r="BN53" i="3"/>
  <c r="BM54" i="3"/>
  <c r="BR55" i="3"/>
  <c r="BN55" i="3"/>
  <c r="BQ55" i="3"/>
  <c r="BP55" i="3"/>
  <c r="AG64" i="3"/>
  <c r="AH64" i="3"/>
  <c r="AI64" i="3" s="1"/>
  <c r="AH71" i="3"/>
  <c r="AG71" i="3"/>
  <c r="AI71" i="3"/>
  <c r="AG79" i="3"/>
  <c r="AH79" i="3"/>
  <c r="AI79" i="3"/>
  <c r="AH83" i="3"/>
  <c r="AG83" i="3"/>
  <c r="AI83" i="3" s="1"/>
  <c r="BN93" i="3"/>
  <c r="BO93" i="3"/>
  <c r="BQ93" i="3"/>
  <c r="BM93" i="3"/>
  <c r="BP93" i="3"/>
  <c r="BP94" i="3"/>
  <c r="AH18" i="3"/>
  <c r="AI18" i="3" s="1"/>
  <c r="AG29" i="3"/>
  <c r="AI29" i="3" s="1"/>
  <c r="BQ30" i="3"/>
  <c r="BM36" i="3"/>
  <c r="BF45" i="3"/>
  <c r="N45" i="3"/>
  <c r="BN3" i="3"/>
  <c r="BP9" i="3"/>
  <c r="BO9" i="3"/>
  <c r="AH13" i="3"/>
  <c r="AI13" i="3" s="1"/>
  <c r="AH24" i="3"/>
  <c r="AI24" i="3" s="1"/>
  <c r="BR33" i="3"/>
  <c r="BQ36" i="3"/>
  <c r="BM42" i="3"/>
  <c r="BR48" i="3"/>
  <c r="BN57" i="3"/>
  <c r="BR57" i="3"/>
  <c r="BM57" i="3"/>
  <c r="BN66" i="3"/>
  <c r="BO66" i="3"/>
  <c r="BR66" i="3"/>
  <c r="BP66" i="3"/>
  <c r="BQ66" i="3"/>
  <c r="AK74" i="3"/>
  <c r="AJ74" i="3"/>
  <c r="BR86" i="3"/>
  <c r="BQ86" i="3"/>
  <c r="BO86" i="3"/>
  <c r="BN86" i="3"/>
  <c r="BM86" i="3"/>
  <c r="BR88" i="3"/>
  <c r="BO88" i="3"/>
  <c r="BN88" i="3"/>
  <c r="BQ88" i="3"/>
  <c r="AG100" i="3"/>
  <c r="AH100" i="3"/>
  <c r="AI100" i="3"/>
  <c r="BN63" i="3"/>
  <c r="BO63" i="3"/>
  <c r="BR63" i="3"/>
  <c r="BQ63" i="3"/>
  <c r="BP63" i="3"/>
  <c r="AK75" i="3"/>
  <c r="AJ75" i="3"/>
  <c r="BN81" i="3"/>
  <c r="BO81" i="3"/>
  <c r="BM81" i="3"/>
  <c r="BR85" i="3"/>
  <c r="BO85" i="3"/>
  <c r="BN85" i="3"/>
  <c r="BQ85" i="3"/>
  <c r="BP85" i="3"/>
  <c r="BP15" i="3"/>
  <c r="BO15" i="3"/>
  <c r="AH19" i="3"/>
  <c r="AH30" i="3"/>
  <c r="BR44" i="3"/>
  <c r="BQ44" i="3"/>
  <c r="BP44" i="3"/>
  <c r="AG52" i="3"/>
  <c r="BR59" i="3"/>
  <c r="BN59" i="3"/>
  <c r="BM59" i="3"/>
  <c r="BP59" i="3"/>
  <c r="BN60" i="3"/>
  <c r="BO60" i="3"/>
  <c r="BR60" i="3"/>
  <c r="BP60" i="3"/>
  <c r="BQ60" i="3"/>
  <c r="BM63" i="3"/>
  <c r="BP81" i="3"/>
  <c r="BM85" i="3"/>
  <c r="BR6" i="3"/>
  <c r="BQ9" i="3"/>
  <c r="BM15" i="3"/>
  <c r="BP18" i="3"/>
  <c r="BO18" i="3"/>
  <c r="AG19" i="3"/>
  <c r="AI19" i="3" s="1"/>
  <c r="AH22" i="3"/>
  <c r="AI22" i="3" s="1"/>
  <c r="N25" i="3"/>
  <c r="AG30" i="3"/>
  <c r="AI30" i="3" s="1"/>
  <c r="AH33" i="3"/>
  <c r="AI33" i="3" s="1"/>
  <c r="AG40" i="3"/>
  <c r="AH40" i="3"/>
  <c r="BM44" i="3"/>
  <c r="BN45" i="3"/>
  <c r="BP45" i="3"/>
  <c r="BO45" i="3"/>
  <c r="BR45" i="3"/>
  <c r="BR46" i="3"/>
  <c r="BN46" i="3"/>
  <c r="BQ46" i="3"/>
  <c r="N48" i="3"/>
  <c r="AH52" i="3"/>
  <c r="AI52" i="3" s="1"/>
  <c r="BF54" i="3"/>
  <c r="N54" i="3"/>
  <c r="BQ57" i="3"/>
  <c r="BO59" i="3"/>
  <c r="BM60" i="3"/>
  <c r="AG76" i="3"/>
  <c r="AH76" i="3"/>
  <c r="AI76" i="3"/>
  <c r="AH77" i="3"/>
  <c r="AG77" i="3"/>
  <c r="BQ81" i="3"/>
  <c r="BR82" i="3"/>
  <c r="BO82" i="3"/>
  <c r="BN82" i="3"/>
  <c r="BQ82" i="3"/>
  <c r="BM82" i="3"/>
  <c r="BP82" i="3"/>
  <c r="BF95" i="3"/>
  <c r="N95" i="3"/>
  <c r="BP62" i="3"/>
  <c r="BP65" i="3"/>
  <c r="AG70" i="3"/>
  <c r="AI70" i="3" s="1"/>
  <c r="AH70" i="3"/>
  <c r="BN72" i="3"/>
  <c r="BO72" i="3"/>
  <c r="BN75" i="3"/>
  <c r="BO75" i="3"/>
  <c r="BN78" i="3"/>
  <c r="BO78" i="3"/>
  <c r="AH86" i="3"/>
  <c r="AG86" i="3"/>
  <c r="AI86" i="3" s="1"/>
  <c r="BR90" i="3"/>
  <c r="BR91" i="3"/>
  <c r="BO91" i="3"/>
  <c r="BN91" i="3"/>
  <c r="AH62" i="3"/>
  <c r="AG62" i="3"/>
  <c r="AH68" i="3"/>
  <c r="AG68" i="3"/>
  <c r="BR73" i="3"/>
  <c r="BO73" i="3"/>
  <c r="BN73" i="3"/>
  <c r="BR76" i="3"/>
  <c r="BO76" i="3"/>
  <c r="BN76" i="3"/>
  <c r="AI101" i="3"/>
  <c r="BR40" i="3"/>
  <c r="BN40" i="3"/>
  <c r="BR49" i="3"/>
  <c r="BN49" i="3"/>
  <c r="BR58" i="3"/>
  <c r="BN58" i="3"/>
  <c r="AH59" i="3"/>
  <c r="AI59" i="3" s="1"/>
  <c r="AI62" i="3"/>
  <c r="AI68" i="3"/>
  <c r="BR70" i="3"/>
  <c r="BO70" i="3"/>
  <c r="BN70" i="3"/>
  <c r="BM73" i="3"/>
  <c r="BM76" i="3"/>
  <c r="BM83" i="3"/>
  <c r="AG84" i="3"/>
  <c r="AI84" i="3" s="1"/>
  <c r="BQ95" i="3"/>
  <c r="AG97" i="3"/>
  <c r="AH97" i="3"/>
  <c r="AH65" i="3"/>
  <c r="AG65" i="3"/>
  <c r="BR79" i="3"/>
  <c r="BO79" i="3"/>
  <c r="BN79" i="3"/>
  <c r="BM38" i="3"/>
  <c r="BM40" i="3"/>
  <c r="BR61" i="3"/>
  <c r="BO61" i="3"/>
  <c r="BN61" i="3"/>
  <c r="BR64" i="3"/>
  <c r="BO64" i="3"/>
  <c r="BN64" i="3"/>
  <c r="BR67" i="3"/>
  <c r="BO67" i="3"/>
  <c r="BN67" i="3"/>
  <c r="BP73" i="3"/>
  <c r="BP76" i="3"/>
  <c r="BP79" i="3"/>
  <c r="BM80" i="3"/>
  <c r="BN83" i="3"/>
  <c r="AG94" i="3"/>
  <c r="AH94" i="3"/>
  <c r="BN96" i="3"/>
  <c r="BO96" i="3"/>
  <c r="AI97" i="3"/>
  <c r="BO14" i="3"/>
  <c r="BO17" i="3"/>
  <c r="BO20" i="3"/>
  <c r="BO23" i="3"/>
  <c r="BO26" i="3"/>
  <c r="BO29" i="3"/>
  <c r="BO32" i="3"/>
  <c r="BO35" i="3"/>
  <c r="BP38" i="3"/>
  <c r="BQ40" i="3"/>
  <c r="BR43" i="3"/>
  <c r="BN43" i="3"/>
  <c r="BP47" i="3"/>
  <c r="BQ49" i="3"/>
  <c r="BR52" i="3"/>
  <c r="BN52" i="3"/>
  <c r="BP56" i="3"/>
  <c r="BQ58" i="3"/>
  <c r="AG60" i="3"/>
  <c r="AI60" i="3" s="1"/>
  <c r="BQ61" i="3"/>
  <c r="BM62" i="3"/>
  <c r="AG63" i="3"/>
  <c r="AI63" i="3" s="1"/>
  <c r="BQ64" i="3"/>
  <c r="BM65" i="3"/>
  <c r="AG66" i="3"/>
  <c r="AI66" i="3" s="1"/>
  <c r="BQ67" i="3"/>
  <c r="BO71" i="3"/>
  <c r="BO74" i="3"/>
  <c r="BQ83" i="3"/>
  <c r="AG85" i="3"/>
  <c r="AI85" i="3" s="1"/>
  <c r="AH85" i="3"/>
  <c r="BN87" i="3"/>
  <c r="BO87" i="3"/>
  <c r="N92" i="3"/>
  <c r="AH95" i="3"/>
  <c r="AG95" i="3"/>
  <c r="AI95" i="3" s="1"/>
  <c r="BP83" i="3"/>
  <c r="AG88" i="3"/>
  <c r="AI88" i="3" s="1"/>
  <c r="AH88" i="3"/>
  <c r="BN90" i="3"/>
  <c r="BO90" i="3"/>
  <c r="AH98" i="3"/>
  <c r="AG98" i="3"/>
  <c r="BO2" i="3"/>
  <c r="BO5" i="3"/>
  <c r="BO8" i="3"/>
  <c r="BO11" i="3"/>
  <c r="BQ38" i="3"/>
  <c r="BM41" i="3"/>
  <c r="BM43" i="3"/>
  <c r="BQ47" i="3"/>
  <c r="BM50" i="3"/>
  <c r="BM52" i="3"/>
  <c r="BQ56" i="3"/>
  <c r="BN62" i="3"/>
  <c r="BN65" i="3"/>
  <c r="BP71" i="3"/>
  <c r="BP74" i="3"/>
  <c r="AG82" i="3"/>
  <c r="AH82" i="3"/>
  <c r="BN84" i="3"/>
  <c r="BO84" i="3"/>
  <c r="BM87" i="3"/>
  <c r="BP90" i="3"/>
  <c r="AH92" i="3"/>
  <c r="AG92" i="3"/>
  <c r="AI92" i="3" s="1"/>
  <c r="BR97" i="3"/>
  <c r="BO97" i="3"/>
  <c r="BN97" i="3"/>
  <c r="BO99" i="3"/>
  <c r="BF101" i="3"/>
  <c r="BM101" i="3"/>
  <c r="BN101" i="3"/>
  <c r="BO101" i="3"/>
  <c r="BP101" i="3"/>
  <c r="BQ101" i="3"/>
  <c r="BN100" i="3"/>
  <c r="AG101" i="3"/>
  <c r="BO100" i="3"/>
  <c r="AH101" i="3"/>
  <c r="BP100" i="3"/>
  <c r="AJ33" i="3" l="1"/>
  <c r="AK33" i="3"/>
  <c r="AK13" i="3"/>
  <c r="AJ13" i="3"/>
  <c r="AK64" i="3"/>
  <c r="AJ64" i="3"/>
  <c r="AK30" i="3"/>
  <c r="AJ30" i="3"/>
  <c r="AJ88" i="3"/>
  <c r="AK88" i="3"/>
  <c r="AK22" i="3"/>
  <c r="AJ22" i="3"/>
  <c r="AK53" i="3"/>
  <c r="AJ53" i="3"/>
  <c r="AK19" i="3"/>
  <c r="AJ19" i="3"/>
  <c r="AK83" i="3"/>
  <c r="AJ83" i="3"/>
  <c r="AK23" i="3"/>
  <c r="AJ23" i="3"/>
  <c r="AK25" i="3"/>
  <c r="AJ25" i="3"/>
  <c r="AJ20" i="3"/>
  <c r="AK20" i="3"/>
  <c r="AK3" i="3"/>
  <c r="AJ3" i="3"/>
  <c r="AK95" i="3"/>
  <c r="AJ95" i="3"/>
  <c r="AK44" i="3"/>
  <c r="AJ44" i="3"/>
  <c r="AK10" i="3"/>
  <c r="AJ10" i="3"/>
  <c r="AJ16" i="3"/>
  <c r="AK16" i="3"/>
  <c r="AK29" i="3"/>
  <c r="AJ29" i="3"/>
  <c r="AK6" i="3"/>
  <c r="AJ6" i="3"/>
  <c r="AK36" i="3"/>
  <c r="AJ36" i="3"/>
  <c r="AJ18" i="3"/>
  <c r="AK18" i="3"/>
  <c r="AK99" i="3"/>
  <c r="AJ99" i="3"/>
  <c r="AK90" i="3"/>
  <c r="AJ90" i="3"/>
  <c r="AK58" i="3"/>
  <c r="AJ58" i="3"/>
  <c r="AJ27" i="3"/>
  <c r="AK27" i="3"/>
  <c r="AK85" i="3"/>
  <c r="AJ85" i="3"/>
  <c r="AK24" i="3"/>
  <c r="AJ24" i="3"/>
  <c r="AK87" i="3"/>
  <c r="AJ87" i="3"/>
  <c r="AK50" i="3"/>
  <c r="AJ50" i="3"/>
  <c r="AK34" i="3"/>
  <c r="AJ34" i="3"/>
  <c r="AK93" i="3"/>
  <c r="AJ93" i="3"/>
  <c r="AJ52" i="3"/>
  <c r="AK52" i="3"/>
  <c r="AJ9" i="3"/>
  <c r="AK9" i="3"/>
  <c r="AK5" i="3"/>
  <c r="AJ5" i="3"/>
  <c r="AJ37" i="3"/>
  <c r="AK37" i="3"/>
  <c r="AJ17" i="3"/>
  <c r="AK17" i="3"/>
  <c r="AK31" i="3"/>
  <c r="AJ31" i="3"/>
  <c r="AK21" i="3"/>
  <c r="AJ21" i="3"/>
  <c r="AK4" i="3"/>
  <c r="AJ4" i="3"/>
  <c r="AJ7" i="3"/>
  <c r="AK7" i="3"/>
  <c r="AJ28" i="3"/>
  <c r="AK28" i="3"/>
  <c r="AK41" i="3"/>
  <c r="AJ41" i="3"/>
  <c r="AK59" i="3"/>
  <c r="AJ59" i="3"/>
  <c r="AK69" i="3"/>
  <c r="AJ69" i="3"/>
  <c r="AJ14" i="3"/>
  <c r="AK14" i="3"/>
  <c r="AK101" i="3"/>
  <c r="AJ101" i="3"/>
  <c r="AK32" i="3"/>
  <c r="AJ32" i="3"/>
  <c r="AK71" i="3"/>
  <c r="AJ71" i="3"/>
  <c r="AJ43" i="3"/>
  <c r="AK43" i="3"/>
  <c r="AI94" i="3"/>
  <c r="AK80" i="3"/>
  <c r="AJ80" i="3"/>
  <c r="AK60" i="3"/>
  <c r="AJ60" i="3"/>
  <c r="AI40" i="3"/>
  <c r="AJ70" i="3"/>
  <c r="AK70" i="3"/>
  <c r="AK15" i="3"/>
  <c r="AJ15" i="3"/>
  <c r="AK12" i="3"/>
  <c r="AJ12" i="3"/>
  <c r="AK66" i="3"/>
  <c r="AJ66" i="3"/>
  <c r="AK67" i="3"/>
  <c r="AJ67" i="3"/>
  <c r="AK97" i="3"/>
  <c r="AJ97" i="3"/>
  <c r="AK86" i="3"/>
  <c r="AJ86" i="3"/>
  <c r="AJ46" i="3"/>
  <c r="AK46" i="3"/>
  <c r="AJ26" i="3"/>
  <c r="AK26" i="3"/>
  <c r="AK63" i="3"/>
  <c r="AJ63" i="3"/>
  <c r="AK62" i="3"/>
  <c r="AJ62" i="3"/>
  <c r="AK92" i="3"/>
  <c r="AJ92" i="3"/>
  <c r="AK73" i="3"/>
  <c r="AJ73" i="3"/>
  <c r="AK100" i="3"/>
  <c r="AJ100" i="3"/>
  <c r="AK61" i="3"/>
  <c r="AJ61" i="3"/>
  <c r="AK65" i="3"/>
  <c r="AJ65" i="3"/>
  <c r="AK91" i="3"/>
  <c r="AJ91" i="3"/>
  <c r="AJ55" i="3"/>
  <c r="AK55" i="3"/>
  <c r="AK76" i="3"/>
  <c r="AJ76" i="3"/>
  <c r="AK79" i="3"/>
  <c r="AJ79" i="3"/>
  <c r="AK98" i="3"/>
  <c r="AJ98" i="3"/>
  <c r="AI82" i="3"/>
  <c r="AK68" i="3"/>
  <c r="AJ68" i="3"/>
  <c r="AK49" i="3"/>
  <c r="AJ49" i="3"/>
  <c r="AK54" i="3"/>
  <c r="AJ54" i="3"/>
  <c r="AK89" i="3"/>
  <c r="AJ89" i="3"/>
  <c r="AK84" i="3"/>
  <c r="AJ84" i="3"/>
  <c r="AK40" i="3" l="1"/>
  <c r="AJ40" i="3"/>
  <c r="AJ82" i="3"/>
  <c r="AK82" i="3"/>
  <c r="AJ94" i="3"/>
  <c r="AK94" i="3"/>
</calcChain>
</file>

<file path=xl/sharedStrings.xml><?xml version="1.0" encoding="utf-8"?>
<sst xmlns="http://schemas.openxmlformats.org/spreadsheetml/2006/main" count="4487" uniqueCount="1329">
  <si>
    <t>startup_id</t>
  </si>
  <si>
    <t>startup_name</t>
  </si>
  <si>
    <t>hq_country</t>
  </si>
  <si>
    <t>hq_city</t>
  </si>
  <si>
    <t>foreign_hq_flag</t>
  </si>
  <si>
    <t>entity_type</t>
  </si>
  <si>
    <t>related_startup_id</t>
  </si>
  <si>
    <t>possible_duplicate_of</t>
  </si>
  <si>
    <t>founding_year</t>
  </si>
  <si>
    <t>founding_month</t>
  </si>
  <si>
    <t>founding_date_precision</t>
  </si>
  <si>
    <t>baseline_date</t>
  </si>
  <si>
    <t>months_since_inception</t>
  </si>
  <si>
    <t>age_years</t>
  </si>
  <si>
    <t>industry_raw</t>
  </si>
  <si>
    <t>sector_group</t>
  </si>
  <si>
    <t>business_model_raw</t>
  </si>
  <si>
    <t>is_b2b</t>
  </si>
  <si>
    <t>is_b2c</t>
  </si>
  <si>
    <t>is_marketplace</t>
  </si>
  <si>
    <t>is_subscription_saas</t>
  </si>
  <si>
    <t>is_hardware_iot</t>
  </si>
  <si>
    <t>is_transaction_commission</t>
  </si>
  <si>
    <t>mvp_status_raw</t>
  </si>
  <si>
    <t>product_stage</t>
  </si>
  <si>
    <t>mvp_built</t>
  </si>
  <si>
    <t>accelerator_participated</t>
  </si>
  <si>
    <t>accelerator_programs_raw</t>
  </si>
  <si>
    <t>prior_grant_flag</t>
  </si>
  <si>
    <t>prior_grants_usd</t>
  </si>
  <si>
    <t>grant_info_source</t>
  </si>
  <si>
    <t>n_founders</t>
  </si>
  <si>
    <t>n_male_founders</t>
  </si>
  <si>
    <t>n_female_founders</t>
  </si>
  <si>
    <t>female_founder_share</t>
  </si>
  <si>
    <t>has_female_founder</t>
  </si>
  <si>
    <t>gender_diversity_blau</t>
  </si>
  <si>
    <t>team_female_pct_est</t>
  </si>
  <si>
    <t>edu_max_level</t>
  </si>
  <si>
    <t>edu_max_label</t>
  </si>
  <si>
    <t>any_stem_founder</t>
  </si>
  <si>
    <t>stem_share</t>
  </si>
  <si>
    <t>serial_entrepreneur</t>
  </si>
  <si>
    <t>industry_exp_max_years</t>
  </si>
  <si>
    <t>industry_exp_mean_years</t>
  </si>
  <si>
    <t>team_size_mid</t>
  </si>
  <si>
    <t>team_size_band</t>
  </si>
  <si>
    <t>team_size_source</t>
  </si>
  <si>
    <t>team_size_note</t>
  </si>
  <si>
    <t>survival_status</t>
  </si>
  <si>
    <t>status_confidence</t>
  </si>
  <si>
    <t>status_note</t>
  </si>
  <si>
    <t>acquired_flag</t>
  </si>
  <si>
    <t>is_acquirer</t>
  </si>
  <si>
    <t>event_closed</t>
  </si>
  <si>
    <t>closure_year</t>
  </si>
  <si>
    <t>closure_month</t>
  </si>
  <si>
    <t>duration_months</t>
  </si>
  <si>
    <t>follow_on_funding_received</t>
  </si>
  <si>
    <t>follow_on_funding_usd</t>
  </si>
  <si>
    <t>funding_amount_basis</t>
  </si>
  <si>
    <t>follow_on_year</t>
  </si>
  <si>
    <t>any_external_funding</t>
  </si>
  <si>
    <t>n_accepted_investment_rows</t>
  </si>
  <si>
    <t>has_vc_pe</t>
  </si>
  <si>
    <t>has_angel</t>
  </si>
  <si>
    <t>has_accelerator_investor</t>
  </si>
  <si>
    <t>has_corporate</t>
  </si>
  <si>
    <t>has_government</t>
  </si>
  <si>
    <t>has_grant_dfi</t>
  </si>
  <si>
    <t>evaluation_score_1to5</t>
  </si>
  <si>
    <t>revenue_growth_pct_mid</t>
  </si>
  <si>
    <t>employee_growth_pct_mid</t>
  </si>
  <si>
    <t>web_visits_mid</t>
  </si>
  <si>
    <t>news_mentions_mid</t>
  </si>
  <si>
    <t>social_growth_pct_mid</t>
  </si>
  <si>
    <t>app_downloads_lb</t>
  </si>
  <si>
    <t>app_rating</t>
  </si>
  <si>
    <t>traction_n_components</t>
  </si>
  <si>
    <t>traction_composite</t>
  </si>
  <si>
    <t>gdp_growth_at_founding</t>
  </si>
  <si>
    <t>inflation_at_founding</t>
  </si>
  <si>
    <t>gdp_growth_at_funding</t>
  </si>
  <si>
    <t>inflation_at_funding</t>
  </si>
  <si>
    <t>n_key_fields_missing</t>
  </si>
  <si>
    <t>BD-ST-001</t>
  </si>
  <si>
    <t>bKash</t>
  </si>
  <si>
    <t>Bangladesh</t>
  </si>
  <si>
    <t>Dhaka</t>
  </si>
  <si>
    <t>Independent startup</t>
  </si>
  <si>
    <t>year</t>
  </si>
  <si>
    <t>Fintech / Payments</t>
  </si>
  <si>
    <t>Fintech</t>
  </si>
  <si>
    <t>Mobile Financial Services (MFS) - B2C/B2B agent network</t>
  </si>
  <si>
    <t>Active (market-mature; unicorn)</t>
  </si>
  <si>
    <t>master</t>
  </si>
  <si>
    <t>Master's/MBA/professional</t>
  </si>
  <si>
    <t>501+</t>
  </si>
  <si>
    <t>LinkedIn (Public_Macro_Data)</t>
  </si>
  <si>
    <t>Active</t>
  </si>
  <si>
    <t>High</t>
  </si>
  <si>
    <t>round</t>
  </si>
  <si>
    <t>BD-ST-002</t>
  </si>
  <si>
    <t>Nagad</t>
  </si>
  <si>
    <t>MFS (Public-Private Partnership w/ Bangladesh Post Office)</t>
  </si>
  <si>
    <t>unknown</t>
  </si>
  <si>
    <t>BD-ST-003</t>
  </si>
  <si>
    <t>Rocket (DBBL Mobile Banking)</t>
  </si>
  <si>
    <t>Corporate division/subsidiary</t>
  </si>
  <si>
    <t>Bank-led MFS Payments (DBBL subsidiary)</t>
  </si>
  <si>
    <t>excluded</t>
  </si>
  <si>
    <t>Value is Dutch-Bangla Bank group headcount (projected), not Rocket team size</t>
  </si>
  <si>
    <t>none</t>
  </si>
  <si>
    <t>BD-ST-004</t>
  </si>
  <si>
    <t>SureCash</t>
  </si>
  <si>
    <t>Payment Network Rails / Interoperability Infrastructure</t>
  </si>
  <si>
    <t>PhD</t>
  </si>
  <si>
    <t>201-500</t>
  </si>
  <si>
    <t>Founders_Team</t>
  </si>
  <si>
    <t>BD-ST-005</t>
  </si>
  <si>
    <t>Upay</t>
  </si>
  <si>
    <t>BD-ST-008</t>
  </si>
  <si>
    <t>MFS (blockchain-based ledger; UCB subsidiary)</t>
  </si>
  <si>
    <t>BD-ST-006</t>
  </si>
  <si>
    <t>Dmoney</t>
  </si>
  <si>
    <t>Digital Wallet</t>
  </si>
  <si>
    <t>51-200</t>
  </si>
  <si>
    <t>BD-ST-007</t>
  </si>
  <si>
    <t>PayWell</t>
  </si>
  <si>
    <t>month</t>
  </si>
  <si>
    <t>B2C/B2B utility, telecom &amp; financial transaction retail aggregator (POS/agent network)</t>
  </si>
  <si>
    <t>Acquired (by ShopUp, Bangladeshi B2B commerce platform)</t>
  </si>
  <si>
    <t>Below bachelor</t>
  </si>
  <si>
    <t>Parent-company scale (CloudWell), not PayWell alone</t>
  </si>
  <si>
    <t>Acquired</t>
  </si>
  <si>
    <t>Ucash</t>
  </si>
  <si>
    <t>MFS Payments</t>
  </si>
  <si>
    <t>Closed (migrated users to Upay, 2021)</t>
  </si>
  <si>
    <t>Closed</t>
  </si>
  <si>
    <t>Closed 2021; users migrated to Upay (BD-ST-005)</t>
  </si>
  <si>
    <t>BD-ST-009</t>
  </si>
  <si>
    <t>AamarPay</t>
  </si>
  <si>
    <t>Payment Gateway (PSO)</t>
  </si>
  <si>
    <t>Bachelor's</t>
  </si>
  <si>
    <t>Acquired by Simpaisa March 2026; still operating</t>
  </si>
  <si>
    <t>cumulative</t>
  </si>
  <si>
    <t>BD-ST-010</t>
  </si>
  <si>
    <t>SSLCOMMERZ</t>
  </si>
  <si>
    <t>BD-ST-011</t>
  </si>
  <si>
    <t>Muthopay</t>
  </si>
  <si>
    <t>Payment Gateway (Bluetooth / low-bandwidth transactions)</t>
  </si>
  <si>
    <t>1-10</t>
  </si>
  <si>
    <t>BD-ST-012</t>
  </si>
  <si>
    <t>Tredx</t>
  </si>
  <si>
    <t>Fintech / Digital Lending</t>
  </si>
  <si>
    <t>Digital supply chain finance / online invoice factoring marketplace</t>
  </si>
  <si>
    <t>Active (live production platform; integrated w/ Midland Bank PLC)</t>
  </si>
  <si>
    <t>11-50</t>
  </si>
  <si>
    <t>BD-ST-013</t>
  </si>
  <si>
    <t>Chaldal</t>
  </si>
  <si>
    <t>E-commerce / Grocery</t>
  </si>
  <si>
    <t>E-commerce</t>
  </si>
  <si>
    <t>Micro-warehouse ('nano-warehouse') grocery retail</t>
  </si>
  <si>
    <t>Y Combinator</t>
  </si>
  <si>
    <t>BD-ST-014</t>
  </si>
  <si>
    <t>Daraz Bangladesh</t>
  </si>
  <si>
    <t>Independent startup (acquired by corporate)</t>
  </si>
  <si>
    <t>E-commerce / Marketplace</t>
  </si>
  <si>
    <t>Horizontal Marketplace</t>
  </si>
  <si>
    <t>BD-ST-015</t>
  </si>
  <si>
    <t>AjkerDeal</t>
  </si>
  <si>
    <t>B2C Marketplace</t>
  </si>
  <si>
    <t>BD-ST-016</t>
  </si>
  <si>
    <t>Rokomari.com</t>
  </si>
  <si>
    <t>E-commerce / Books</t>
  </si>
  <si>
    <t>Online Bookstore</t>
  </si>
  <si>
    <t>BD-ST-017</t>
  </si>
  <si>
    <t>Bikroy.com</t>
  </si>
  <si>
    <t>E-commerce / Classifieds</t>
  </si>
  <si>
    <t>Online Classifieds</t>
  </si>
  <si>
    <t>Acquired by Jiji.com May 2026</t>
  </si>
  <si>
    <t>BD-ST-018</t>
  </si>
  <si>
    <t>Pickaboo</t>
  </si>
  <si>
    <t>E-commerce / Electronics</t>
  </si>
  <si>
    <t>Omnichannel Retail</t>
  </si>
  <si>
    <t>BD-ST-019</t>
  </si>
  <si>
    <t>Priyoshop</t>
  </si>
  <si>
    <t>E-commerce / B2B Retail</t>
  </si>
  <si>
    <t>B2B Retail Marketplace</t>
  </si>
  <si>
    <t>BD-ST-020</t>
  </si>
  <si>
    <t>Sindabad.com</t>
  </si>
  <si>
    <t>E-commerce / B2B Procurement</t>
  </si>
  <si>
    <t>B2B Procurement</t>
  </si>
  <si>
    <t>BD-ST-021</t>
  </si>
  <si>
    <t>Shajgoj</t>
  </si>
  <si>
    <t>E-commerce / Beauty</t>
  </si>
  <si>
    <t>D2C / e-commerce</t>
  </si>
  <si>
    <t>Live/Scaling</t>
  </si>
  <si>
    <t>Surge (Sequoia India)</t>
  </si>
  <si>
    <t>BD-ST-022</t>
  </si>
  <si>
    <t>Khaas Food</t>
  </si>
  <si>
    <t>E-commerce / Agri-food</t>
  </si>
  <si>
    <t>D2C, online + retail</t>
  </si>
  <si>
    <t>BD-ST-023</t>
  </si>
  <si>
    <t>Pathao</t>
  </si>
  <si>
    <t>Logistics / Ride-hailing</t>
  </si>
  <si>
    <t>Logistics/Travel</t>
  </si>
  <si>
    <t>Marketplace, super-app</t>
  </si>
  <si>
    <t>BD-ST-024</t>
  </si>
  <si>
    <t>Shohoz</t>
  </si>
  <si>
    <t>Logistics / Lifestyle Platform</t>
  </si>
  <si>
    <t>B2C ticketing marketplace</t>
  </si>
  <si>
    <t>BD-ST-025</t>
  </si>
  <si>
    <t>eCourier</t>
  </si>
  <si>
    <t>Logistics / Courier</t>
  </si>
  <si>
    <t>B2B logistics</t>
  </si>
  <si>
    <t>BD-ST-026</t>
  </si>
  <si>
    <t>Truck Lagbe</t>
  </si>
  <si>
    <t>Logistics / Freight</t>
  </si>
  <si>
    <t>Marketplace, trucking (B2B/B2C)</t>
  </si>
  <si>
    <t>BD-ST-027</t>
  </si>
  <si>
    <t>Jatri</t>
  </si>
  <si>
    <t>Logistics / Mass Mobility</t>
  </si>
  <si>
    <t>B2B2C mass transit / travel commerce</t>
  </si>
  <si>
    <t>BD-ST-028</t>
  </si>
  <si>
    <t>Shuttle</t>
  </si>
  <si>
    <t>Logistics / Ride-sharing</t>
  </si>
  <si>
    <t>Marketplace, ride-pooling</t>
  </si>
  <si>
    <t>Accelerating Asia</t>
  </si>
  <si>
    <t>BD-ST-029</t>
  </si>
  <si>
    <t>Paperfly</t>
  </si>
  <si>
    <t>Logistics / E-commerce Delivery</t>
  </si>
  <si>
    <t>B2B/B2B2C fulfillment &amp; logistics</t>
  </si>
  <si>
    <t>BD-ST-030</t>
  </si>
  <si>
    <t>Zantrik</t>
  </si>
  <si>
    <t>Logistics / Roadside Assistance</t>
  </si>
  <si>
    <t>Marketplace, on-demand auto services</t>
  </si>
  <si>
    <t>BD-ST-031</t>
  </si>
  <si>
    <t>HungryNaki</t>
  </si>
  <si>
    <t>Logistics / Food Delivery</t>
  </si>
  <si>
    <t>Marketplace, food delivery</t>
  </si>
  <si>
    <t>Shut down</t>
  </si>
  <si>
    <t>Closed 2023-07 after Daraz acquisition (2021)</t>
  </si>
  <si>
    <t>BD-ST-032</t>
  </si>
  <si>
    <t>Foodpanda Bangladesh</t>
  </si>
  <si>
    <t>Marketplace, food &amp; grocery delivery</t>
  </si>
  <si>
    <t>BD-ST-033</t>
  </si>
  <si>
    <t>GoZayaan</t>
  </si>
  <si>
    <t>Travel / Tourism</t>
  </si>
  <si>
    <t>OTA marketplace</t>
  </si>
  <si>
    <t>BD-ST-034</t>
  </si>
  <si>
    <t>ShareTrip</t>
  </si>
  <si>
    <t>BD-ST-035</t>
  </si>
  <si>
    <t>Bproperty</t>
  </si>
  <si>
    <t>Real Estate / PropTech</t>
  </si>
  <si>
    <t>Other</t>
  </si>
  <si>
    <t>Marketplace, real estate brokerage</t>
  </si>
  <si>
    <t>Unclear, possibly inactive</t>
  </si>
  <si>
    <t>Unknown</t>
  </si>
  <si>
    <t>Low</t>
  </si>
  <si>
    <t>Status unclear (acquired by DCG 2023; Rupayan investment 2025)</t>
  </si>
  <si>
    <t>BD-ST-036</t>
  </si>
  <si>
    <t>10 Minute School</t>
  </si>
  <si>
    <t>EdTech</t>
  </si>
  <si>
    <t>B2C EdTech subscription</t>
  </si>
  <si>
    <t>Surge (Sequoia/Peak XV)</t>
  </si>
  <si>
    <t>BD-ST-037</t>
  </si>
  <si>
    <t>Shikho</t>
  </si>
  <si>
    <t>BD-ST-038</t>
  </si>
  <si>
    <t>Bohubrihi</t>
  </si>
  <si>
    <t>B2C EdTech marketplace</t>
  </si>
  <si>
    <t>BD-ST-039</t>
  </si>
  <si>
    <t>Thrive EdTech</t>
  </si>
  <si>
    <t>B2B2C EdTech SaaS</t>
  </si>
  <si>
    <t>NSU Startups Next</t>
  </si>
  <si>
    <t>BD-ST-040</t>
  </si>
  <si>
    <t>Durbin Academy</t>
  </si>
  <si>
    <t>B2C EdTech content platform</t>
  </si>
  <si>
    <t>Unclear</t>
  </si>
  <si>
    <t>Status unclear in source</t>
  </si>
  <si>
    <t>BD-ST-041</t>
  </si>
  <si>
    <t>Upskill</t>
  </si>
  <si>
    <t>B2B / B2C</t>
  </si>
  <si>
    <t>Live and Scaling</t>
  </si>
  <si>
    <t>GP Accelerator</t>
  </si>
  <si>
    <t>BD-ST-042</t>
  </si>
  <si>
    <t>Interactive Cares</t>
  </si>
  <si>
    <t>B2C / SaaS</t>
  </si>
  <si>
    <t>Accelerating Asia, SuperCharger Ventures</t>
  </si>
  <si>
    <t>Investment_Decisions</t>
  </si>
  <si>
    <t>Founder/CEO detained April 2026 (embezzlement/money-laundering allegations); company status unclear</t>
  </si>
  <si>
    <t>BD-ST-043</t>
  </si>
  <si>
    <t>EduHive</t>
  </si>
  <si>
    <t>B2C / Marketplace</t>
  </si>
  <si>
    <t>GP Accelerator (Cohort 5)</t>
  </si>
  <si>
    <t>BD-ST-044</t>
  </si>
  <si>
    <t>Programming Hero</t>
  </si>
  <si>
    <t>B2C / Subscription</t>
  </si>
  <si>
    <t>BD-ST-045</t>
  </si>
  <si>
    <t>Sohopathi</t>
  </si>
  <si>
    <t>B2C / P2P</t>
  </si>
  <si>
    <t>GP Accelerator (Cohort 6), Student to Start-up</t>
  </si>
  <si>
    <t>master (amount undisclosed)</t>
  </si>
  <si>
    <t>BD-ST-046</t>
  </si>
  <si>
    <t>eShikhon</t>
  </si>
  <si>
    <t>B2C</t>
  </si>
  <si>
    <t>BD-ST-047</t>
  </si>
  <si>
    <t>Repto</t>
  </si>
  <si>
    <t>Marketplace / B2C</t>
  </si>
  <si>
    <t>GP Accelerator (Cohort 1)</t>
  </si>
  <si>
    <t>BD-ST-048</t>
  </si>
  <si>
    <t>Ostad</t>
  </si>
  <si>
    <t>B2C / Live Learning</t>
  </si>
  <si>
    <t>Accelerating Asia (Cohort 6)</t>
  </si>
  <si>
    <t>BD-ST-049</t>
  </si>
  <si>
    <t>Onnorokom Pathshala</t>
  </si>
  <si>
    <t>Non-profit / B2C (Freemium &amp; Social Enterprise)</t>
  </si>
  <si>
    <t>BD-ST-050</t>
  </si>
  <si>
    <t>Bissoy</t>
  </si>
  <si>
    <t>EdTech / Q&amp;A Platform</t>
  </si>
  <si>
    <t>Q&amp;A Platform / Ad-supported / B2C</t>
  </si>
  <si>
    <t>BD-ST-051</t>
  </si>
  <si>
    <t>Praava Health</t>
  </si>
  <si>
    <t>HealthTech</t>
  </si>
  <si>
    <t>Hybrid (B2C Clinics &amp; Digital Telehealth / Diagnostics)</t>
  </si>
  <si>
    <t>Fast Company World Changing Ideas, Harvard Business School Case Study</t>
  </si>
  <si>
    <t>BD-ST-052</t>
  </si>
  <si>
    <t>DocTime</t>
  </si>
  <si>
    <t>HealthTech / Telemedicine</t>
  </si>
  <si>
    <t>B2C / B2B (Corporate Health Packages)</t>
  </si>
  <si>
    <t>BD-ST-053</t>
  </si>
  <si>
    <t>Arogga</t>
  </si>
  <si>
    <t>HealthTech / E-pharmacy</t>
  </si>
  <si>
    <t>B2C / E-commerce</t>
  </si>
  <si>
    <t>Y Combinator (YC W21), Surge (Peak XV Partners)</t>
  </si>
  <si>
    <t>BD-ST-054</t>
  </si>
  <si>
    <t>Moner Bondhu</t>
  </si>
  <si>
    <t>HealthTech / Mental Health</t>
  </si>
  <si>
    <t>B2C / B2B (Corporate Wellness Programs)</t>
  </si>
  <si>
    <t>Accelerating Asia, Tommy Hilfiger Fashion Frontier Challenge</t>
  </si>
  <si>
    <t>BD-ST-055</t>
  </si>
  <si>
    <t>Maya (Myalogy)</t>
  </si>
  <si>
    <t>HealthTech / Telehealth</t>
  </si>
  <si>
    <t>B2C / B2B (Corporate Healthcare Solutions)</t>
  </si>
  <si>
    <t>Google for Startups Accelerator, Spring Accelerator</t>
  </si>
  <si>
    <t>BD-ST-056</t>
  </si>
  <si>
    <t>Jeeon</t>
  </si>
  <si>
    <t>HealthTech / Rural Health</t>
  </si>
  <si>
    <t>B2B / Marketplace</t>
  </si>
  <si>
    <t>Transform Health Challenge, Echoing Green</t>
  </si>
  <si>
    <t>BD-ST-057</t>
  </si>
  <si>
    <t>MedEasy</t>
  </si>
  <si>
    <t>B2C / Health Services</t>
  </si>
  <si>
    <t>Accelerating Asia (Cohort 8), GP Accelerator</t>
  </si>
  <si>
    <t>MedEasy is the ACQUIRER (bought Alchemy, 2023), not acquired</t>
  </si>
  <si>
    <t>BD-ST-058</t>
  </si>
  <si>
    <t>Doctorola</t>
  </si>
  <si>
    <t>Founder moved to lead Pulse Healthcare Services; Doctorola status as per source = Active</t>
  </si>
  <si>
    <t>BD-ST-059</t>
  </si>
  <si>
    <t>Doctor Koi</t>
  </si>
  <si>
    <t>GP Accelerator (Cohort 4)</t>
  </si>
  <si>
    <t>BD-ST-060</t>
  </si>
  <si>
    <t>Doctor Plus</t>
  </si>
  <si>
    <t>BD-ST-061</t>
  </si>
  <si>
    <t>Soowgood</t>
  </si>
  <si>
    <t>HealthTech / Health Records</t>
  </si>
  <si>
    <t>B2C Marketplace / Agent-assisted telemedicine</t>
  </si>
  <si>
    <t>Validated Product</t>
  </si>
  <si>
    <t>UNDP Youth Co:Lab (Springboard Elevate)</t>
  </si>
  <si>
    <t>BD-ST-062</t>
  </si>
  <si>
    <t>TrueMed</t>
  </si>
  <si>
    <t>HealthTech / Medication Tracking</t>
  </si>
  <si>
    <t>B2C mobile app</t>
  </si>
  <si>
    <t>Early-stage pilot</t>
  </si>
  <si>
    <t>Accelerating Bangladesh — Smart Bangladesh Accelerator (ESS-C01, 2024)</t>
  </si>
  <si>
    <t>BD-ST-063</t>
  </si>
  <si>
    <t>Pulse Healthcare</t>
  </si>
  <si>
    <t>B2B2C Subscription &amp; Corporate</t>
  </si>
  <si>
    <t>Full Production</t>
  </si>
  <si>
    <t>BD-ST-064</t>
  </si>
  <si>
    <t>Jolpie</t>
  </si>
  <si>
    <t>HealthTech / Doctor Booking</t>
  </si>
  <si>
    <t>B2C Aggregator / Transaction Fee</t>
  </si>
  <si>
    <t>Seedstars Dhaka 2017 (finalist)</t>
  </si>
  <si>
    <t>Dormant per source (&lt;2K visits/mo, inactive app listing) but not confirmed closed</t>
  </si>
  <si>
    <t>BD-ST-065</t>
  </si>
  <si>
    <t>AmarLab</t>
  </si>
  <si>
    <t>B2C &amp; B2B Home Diagnostics</t>
  </si>
  <si>
    <t>Accelerating Asia; Startup Bangladesh</t>
  </si>
  <si>
    <t>BD-ST-066</t>
  </si>
  <si>
    <t>CMED Health</t>
  </si>
  <si>
    <t>B2B SaaS &amp; IoT</t>
  </si>
  <si>
    <t>Biniyog Briddhi; Seedstars Dhaka 2016/17 winner; GP Accelerator</t>
  </si>
  <si>
    <t>BD-ST-067</t>
  </si>
  <si>
    <t>Zaynax Health</t>
  </si>
  <si>
    <t>HealthTech / Insurance</t>
  </si>
  <si>
    <t>B2B2C Subscription</t>
  </si>
  <si>
    <t>ICT Division iDEA Project</t>
  </si>
  <si>
    <t>BD-ST-068</t>
  </si>
  <si>
    <t>iFarmer</t>
  </si>
  <si>
    <t>AgriTech / Agri-fintech</t>
  </si>
  <si>
    <t>Commission &amp; Trade; Full-stack platform</t>
  </si>
  <si>
    <t>BD-ST-069</t>
  </si>
  <si>
    <t>Fashol</t>
  </si>
  <si>
    <t>AgriTech / Supply Chain</t>
  </si>
  <si>
    <t>AgriTech</t>
  </si>
  <si>
    <t>B2B Wholesale Trading</t>
  </si>
  <si>
    <t>Orbit Startups; SOSV</t>
  </si>
  <si>
    <t>BD-ST-070</t>
  </si>
  <si>
    <t>Dr.Chashi</t>
  </si>
  <si>
    <t>Freemium App &amp; B2B Marketplace</t>
  </si>
  <si>
    <t>WIPO / ITC SheTrades Innovation Festival 2024</t>
  </si>
  <si>
    <t>BD-ST-071</t>
  </si>
  <si>
    <t>Agroshift Technologies</t>
  </si>
  <si>
    <t>AgriTech / B2B Supply Chain</t>
  </si>
  <si>
    <t>B2B Digital Retail Trading</t>
  </si>
  <si>
    <t>H&amp;M Foundation STITCH for RMG</t>
  </si>
  <si>
    <t>BD-ST-072</t>
  </si>
  <si>
    <t>Krishi Shwapno</t>
  </si>
  <si>
    <t>Circular Commodity Trading</t>
  </si>
  <si>
    <t>Innovatech LATAM 2.0 (IFAD / EU / Sparkassenstiftung)</t>
  </si>
  <si>
    <t>BD-ST-073</t>
  </si>
  <si>
    <t>e-Hub</t>
  </si>
  <si>
    <t>AgriTech / Procurement</t>
  </si>
  <si>
    <t>B2B Enterprise Supply Chain</t>
  </si>
  <si>
    <t>Syngenta Foundation</t>
  </si>
  <si>
    <t>Existence unconfirmed in public sources</t>
  </si>
  <si>
    <t>BD-ST-074</t>
  </si>
  <si>
    <t>Adorsho Pranisheba</t>
  </si>
  <si>
    <t>AgriTech / Livestock IoT</t>
  </si>
  <si>
    <t>B2B IoT &amp; Insurance</t>
  </si>
  <si>
    <t>Biniyog Briddhi (SIINC)</t>
  </si>
  <si>
    <t>BD-ST-075</t>
  </si>
  <si>
    <t>Wegro</t>
  </si>
  <si>
    <t>Commission / Crowdfunded Trade</t>
  </si>
  <si>
    <t>BD-ST-076</t>
  </si>
  <si>
    <t>KrishiHub</t>
  </si>
  <si>
    <t>Agri-Input &amp; Advisory Platform</t>
  </si>
  <si>
    <t>Unconfirmed</t>
  </si>
  <si>
    <t>BD-ST-077</t>
  </si>
  <si>
    <t>Markopolo Ai</t>
  </si>
  <si>
    <t>AdTech / AI</t>
  </si>
  <si>
    <t>IT/SaaS/AI/IoT</t>
  </si>
  <si>
    <t>SaaS Subscription</t>
  </si>
  <si>
    <t>HF0; Accelerating Asia</t>
  </si>
  <si>
    <t>BD-ST-078</t>
  </si>
  <si>
    <t>Intelligent Machines</t>
  </si>
  <si>
    <t>AI / Enterprise Solutions</t>
  </si>
  <si>
    <t>B2B Enterprise SaaS / Services</t>
  </si>
  <si>
    <t>Startup Bangladesh</t>
  </si>
  <si>
    <t>BD-ST-079</t>
  </si>
  <si>
    <t>MyAlice</t>
  </si>
  <si>
    <t>SaaS / Customer Engagement</t>
  </si>
  <si>
    <t>B2B SaaS Subscription</t>
  </si>
  <si>
    <t>Orbit Startups</t>
  </si>
  <si>
    <t>BD-ST-080</t>
  </si>
  <si>
    <t>Hishab</t>
  </si>
  <si>
    <t>Singapore</t>
  </si>
  <si>
    <t>AI / Voice Tech</t>
  </si>
  <si>
    <t>B2B Enterprise Licensing</t>
  </si>
  <si>
    <t>ICMG Partners; Startup Bangladesh</t>
  </si>
  <si>
    <t>BD-ST-081</t>
  </si>
  <si>
    <t>Inovace Technologies</t>
  </si>
  <si>
    <t>Internet of Things (IoT) &amp; Enterprise Software (B2B SaaS)</t>
  </si>
  <si>
    <t>B2B SaaS &amp; IoT Hardware Sales</t>
  </si>
  <si>
    <t>Launched &amp; Scaled (Commercial Product)</t>
  </si>
  <si>
    <t>Yes (Accelerating Asia Cohort 11)</t>
  </si>
  <si>
    <t>BD-ST-082</t>
  </si>
  <si>
    <t>Ekkbaz</t>
  </si>
  <si>
    <t>B2B Marketplace / AgriFood</t>
  </si>
  <si>
    <t>B2B Marketplace &amp; SaaS</t>
  </si>
  <si>
    <t>Yes (HASAN.VC Accelerator, Chinaccelerator)</t>
  </si>
  <si>
    <t>BD-ST-083</t>
  </si>
  <si>
    <t>Next Ventures</t>
  </si>
  <si>
    <t>IT Services</t>
  </si>
  <si>
    <t>Digital Product Portfolio &amp; Proprietary Trading</t>
  </si>
  <si>
    <t>No (Self-funded bootstrapped model)</t>
  </si>
  <si>
    <t>BD-ST-084</t>
  </si>
  <si>
    <t>Turtle Venture</t>
  </si>
  <si>
    <t>Venture studio / ecosystem operator</t>
  </si>
  <si>
    <t>Venture Studio</t>
  </si>
  <si>
    <t>Venture Studio &amp; Advisory Fees</t>
  </si>
  <si>
    <t>No (Acts as an incubator/program operator itself)</t>
  </si>
  <si>
    <t>BD-ST-085</t>
  </si>
  <si>
    <t>Tipsoi</t>
  </si>
  <si>
    <t>B2B SaaS</t>
  </si>
  <si>
    <t>Yes (Accelerating Asia Cohort 11, Orbit 10)</t>
  </si>
  <si>
    <t>BD-ST-086</t>
  </si>
  <si>
    <t>Dana</t>
  </si>
  <si>
    <t>Fintech / AI Credit Scoring</t>
  </si>
  <si>
    <t>B2B Embedded Finance &amp; API Licensing</t>
  </si>
  <si>
    <t>Yes (Accelerating Asia Cohort 5) and Yes (Approved Portfolio Member) ( startup bd)</t>
  </si>
  <si>
    <t>BD-ST-087</t>
  </si>
  <si>
    <t>trackersbd</t>
  </si>
  <si>
    <t>IoT / Vehicle Tracking</t>
  </si>
  <si>
    <t>B2C/B2B Hardware &amp; SaaS Subscription</t>
  </si>
  <si>
    <t>No (Direct commercial launch)</t>
  </si>
  <si>
    <t>BD-ST-088</t>
  </si>
  <si>
    <t>Easytrax</t>
  </si>
  <si>
    <t>IoT / Fleet Tracking</t>
  </si>
  <si>
    <t>B2B/B2C Fleet Management Subscription</t>
  </si>
  <si>
    <t>BD-ST-089</t>
  </si>
  <si>
    <t>Bondstein Technologies</t>
  </si>
  <si>
    <t>Internet of Things (IoT) &amp; Smart Logistics (Telematics)</t>
  </si>
  <si>
    <t>BD-ST-090</t>
  </si>
  <si>
    <t>SOLshare</t>
  </si>
  <si>
    <t>ClimateTech, Renewable Energy &amp; Clean Mobility</t>
  </si>
  <si>
    <t>B2B &amp; B2C Peer-to-Peer Energy Trading</t>
  </si>
  <si>
    <t>Yes (Savant Build Program, Free Electrons Global)</t>
  </si>
  <si>
    <t>BD-ST-091</t>
  </si>
  <si>
    <t>BongoBD</t>
  </si>
  <si>
    <t>Media / Streaming</t>
  </si>
  <si>
    <t>Media</t>
  </si>
  <si>
    <t>Freemium AVOD, SVOD &amp; Content Licensing</t>
  </si>
  <si>
    <t>No (Direct enterprise expansion growth)</t>
  </si>
  <si>
    <t>BD-ST-092</t>
  </si>
  <si>
    <t>Chorki</t>
  </si>
  <si>
    <t>Media / OTT Streaming</t>
  </si>
  <si>
    <t>Subscription Video on Demand (SVOD)</t>
  </si>
  <si>
    <t>No (Launched internally under Transcom media group)</t>
  </si>
  <si>
    <t>BD-ST-093</t>
  </si>
  <si>
    <t>Bdjobs.com</t>
  </si>
  <si>
    <t>Established corporation</t>
  </si>
  <si>
    <t>HR Tech / Job Portal</t>
  </si>
  <si>
    <t>B2B Enterprise Listing Fees &amp; Premium B2C Services</t>
  </si>
  <si>
    <t>No (Pre-dates the local accelerator ecosystem)</t>
  </si>
  <si>
    <t>BD-ST-094</t>
  </si>
  <si>
    <t>ParentsCare</t>
  </si>
  <si>
    <t>HealthTech / Parenting</t>
  </si>
  <si>
    <t>B2C Medical Service Commissions &amp; Subscription</t>
  </si>
  <si>
    <t>Yes (BYLC Ventures Cohort) and Yes (Seed pipeline support portfolio) ( startup bd)</t>
  </si>
  <si>
    <t>BD-ST-095</t>
  </si>
  <si>
    <t>Digital (Sheba Platform)</t>
  </si>
  <si>
    <t>BD-ST-096</t>
  </si>
  <si>
    <t>Tech / Digital Services</t>
  </si>
  <si>
    <t>Transactional Marketplace Commission &amp; SaaS</t>
  </si>
  <si>
    <t>Yes (Approved Portfolio Member) ( startup bd)</t>
  </si>
  <si>
    <t>Sheba.xyz (Sheba Platform)</t>
  </si>
  <si>
    <t>On-demand Services Marketplace</t>
  </si>
  <si>
    <t>Yes (Approved Portfolio Member)</t>
  </si>
  <si>
    <t>BD-ST-097</t>
  </si>
  <si>
    <t>Grameenphone</t>
  </si>
  <si>
    <t>Telecommunications &amp; Digital Services (Telecom)</t>
  </si>
  <si>
    <t>Telecom Enterprise Services &amp; B2B Solutions</t>
  </si>
  <si>
    <t>(Operates its own cohort engine: GP Accelerator)</t>
  </si>
  <si>
    <t>BD-ST-098</t>
  </si>
  <si>
    <t>InstaCOD</t>
  </si>
  <si>
    <t>B2B E-commerce Logistics &amp; Transaction Fees</t>
  </si>
  <si>
    <t>Yes (Early-stage local logistics incubator loops)</t>
  </si>
  <si>
    <t>Closed; last active mid-2024</t>
  </si>
  <si>
    <t>BD-ST-099</t>
  </si>
  <si>
    <t>PulseTechWeb</t>
  </si>
  <si>
    <t>B2B E-commerce Margin &amp; Procurement Fees</t>
  </si>
  <si>
    <t>Yes (Accelerating Asia Cohort mapping)</t>
  </si>
  <si>
    <t>BD-ST-100</t>
  </si>
  <si>
    <t>Lifeplus Bd</t>
  </si>
  <si>
    <t>Transactional Health Services &amp; Diagnostics Markup</t>
  </si>
  <si>
    <t>No (Internal project of Labaid Group corporate framework)</t>
  </si>
  <si>
    <t>log_team_size</t>
  </si>
  <si>
    <t>age_years_missing</t>
  </si>
  <si>
    <t>product_stage_missing</t>
  </si>
  <si>
    <t>edu_max_level_missing</t>
  </si>
  <si>
    <t>n_founders_missing</t>
  </si>
  <si>
    <t>female_founder_share_missing</t>
  </si>
  <si>
    <t>industry_exp_max_years_missing</t>
  </si>
  <si>
    <t>gdp_growth_at_founding_missing</t>
  </si>
  <si>
    <t>inflation_at_founding_missing</t>
  </si>
  <si>
    <t>traction_composite_missing</t>
  </si>
  <si>
    <t>log_team_size_missing</t>
  </si>
  <si>
    <t>accelerator_participated_missing</t>
  </si>
  <si>
    <t>prior_grant_flag_missing</t>
  </si>
  <si>
    <t>any_stem_founder_missing</t>
  </si>
  <si>
    <t>serial_entrepreneur_missing</t>
  </si>
  <si>
    <t>has_female_founder_missing</t>
  </si>
  <si>
    <t>log_prior_grants_usd</t>
  </si>
  <si>
    <t>is_independent_startup</t>
  </si>
  <si>
    <t>sector_AgriTech</t>
  </si>
  <si>
    <t>sector_E-commerce</t>
  </si>
  <si>
    <t>sector_EdTech</t>
  </si>
  <si>
    <t>sector_Fintech</t>
  </si>
  <si>
    <t>sector_HealthTech</t>
  </si>
  <si>
    <t>sector_IT/SaaS/AI/IoT</t>
  </si>
  <si>
    <t>sector_Logistics/Travel</t>
  </si>
  <si>
    <t>sector_Media</t>
  </si>
  <si>
    <t>sector_Other</t>
  </si>
  <si>
    <t>include_survival_model</t>
  </si>
  <si>
    <t>include_screening_model</t>
  </si>
  <si>
    <t>founder_name</t>
  </si>
  <si>
    <t>founders_in_row</t>
  </si>
  <si>
    <t>n_male</t>
  </si>
  <si>
    <t>n_female</t>
  </si>
  <si>
    <t>gender_clean</t>
  </si>
  <si>
    <t>edu_raw</t>
  </si>
  <si>
    <t>edu_level</t>
  </si>
  <si>
    <t>edu_label</t>
  </si>
  <si>
    <t>stem_flag</t>
  </si>
  <si>
    <t>serial_flag</t>
  </si>
  <si>
    <t>exp_years</t>
  </si>
  <si>
    <t>exp_lower_bound</t>
  </si>
  <si>
    <t>team_size_raw</t>
  </si>
  <si>
    <t>prev_startup_raw</t>
  </si>
  <si>
    <t>stem_raw</t>
  </si>
  <si>
    <t>gender_raw</t>
  </si>
  <si>
    <t>Kamal Quadir</t>
  </si>
  <si>
    <t>Male</t>
  </si>
  <si>
    <t>MBA (MIT Sloan); BA (Oberlin College)</t>
  </si>
  <si>
    <t>Yes (founded CellBazaar, exited to Telenor)</t>
  </si>
  <si>
    <t>No (Art/Economics)</t>
  </si>
  <si>
    <t>Iqbal Quadir</t>
  </si>
  <si>
    <t>MBA/MA (Wharton School); BS (Swarthmore College)</t>
  </si>
  <si>
    <t>Yes (founded Grameenphone, Gonofone)</t>
  </si>
  <si>
    <t>Yes (Computer Engineering)</t>
  </si>
  <si>
    <t>Tanvir A Mishuk</t>
  </si>
  <si>
    <t>MBA / business curriculum (Institute of Business Administration, Univ. of Dhaka)</t>
  </si>
  <si>
    <t>Yes (RegTech Bangladesh and other ICT/telecom ventures - serial entrepreneur)</t>
  </si>
  <si>
    <t>No (Finance/Marketing)</t>
  </si>
  <si>
    <t>M Sahabuddin Ahmed</t>
  </si>
  <si>
    <t>8,965 (projected 2026)</t>
  </si>
  <si>
    <t>Dr. Shahadat Khan</t>
  </si>
  <si>
    <t>PhD, Computer Engineering (University of Victoria)</t>
  </si>
  <si>
    <t>260</t>
  </si>
  <si>
    <t>Yes (Eyeball Networks)</t>
  </si>
  <si>
    <t>Yes</t>
  </si>
  <si>
    <t>Sydul Haque Khandker</t>
  </si>
  <si>
    <t>Executive/post-graduate business credentials (unspecified institution)</t>
  </si>
  <si>
    <t>No (intrapreneurial corporate executive appointed by UCB, not an independent founder)</t>
  </si>
  <si>
    <t>No (Banking/corporate finance)</t>
  </si>
  <si>
    <t>Sonia Bashir Kabir</t>
  </si>
  <si>
    <t>Female</t>
  </si>
  <si>
    <t>BS (California State University, East Bay); MBA (Santa Clara University)</t>
  </si>
  <si>
    <t>Aref Bashir</t>
  </si>
  <si>
    <t>BS, Electrical Engineering (University of Maryland); MBA, Strategy &amp; Management</t>
  </si>
  <si>
    <t>Yes (co-founded Syntec; advised the Bill &amp; Melinda Gates Foundation on digital-payment strategy)</t>
  </si>
  <si>
    <t>Anisul Islam</t>
  </si>
  <si>
    <t>~150-250 (parent-company scale, historical)</t>
  </si>
  <si>
    <t>Mohammad Kudratullah</t>
  </si>
  <si>
    <t>Certificate, Digital Transformation Strategy (Boston University)</t>
  </si>
  <si>
    <t>Yes (co-founded PayWell/CloudWell Digital Services Ltd., later acquired by ShopUp; senior roles at British American Tobacco and Airtel; currently leads semiconductor programs at ACI Semiconductor)</t>
  </si>
  <si>
    <t>No</t>
  </si>
  <si>
    <t>Ishtiaque Sarwar</t>
  </si>
  <si>
    <t>BS, Computer Science/IT (Southern University)</t>
  </si>
  <si>
    <t>Yes (Software Innovation Ltd)</t>
  </si>
  <si>
    <t>Sayeeful Islam</t>
  </si>
  <si>
    <t>BSc, Chemical Engineering (Texas A&amp;M Univ., 1977); MBA Finance (IBA, Univ. of Dhaka, 1982)</t>
  </si>
  <si>
    <t>Yes (Chemical Engineering)</t>
  </si>
  <si>
    <t>Michael Brooks</t>
  </si>
  <si>
    <t>Yes (GoLance, Response CRM)</t>
  </si>
  <si>
    <t>Dr. M. Masrur Reaz</t>
  </si>
  <si>
    <t>PhD, Development Economics (University of Manchester, UK); MBA, Finance &amp; Economics (University of New Orleans, USA)</t>
  </si>
  <si>
    <t>11-50 (est.)</t>
  </si>
  <si>
    <t>Yes (co-founded Tredx and Oggrow (HRTech); Senior Economist, World Bank Group, 2010-2020; Adviser, DFID)</t>
  </si>
  <si>
    <t>Waseem Alim</t>
  </si>
  <si>
    <t>BS, Finance (Wharton School)</t>
  </si>
  <si>
    <t>799-2,300+</t>
  </si>
  <si>
    <t>Yes (SigFig)</t>
  </si>
  <si>
    <t>Zia Ashraf</t>
  </si>
  <si>
    <t>MBA, Marketing (North South University)</t>
  </si>
  <si>
    <t>Tejas Viswanath</t>
  </si>
  <si>
    <t>BS, Computer Science (National University of Singapore)</t>
  </si>
  <si>
    <t>A.K.M Fahim Mashroor</t>
  </si>
  <si>
    <t>Notre Dame College; Master's degree, University of Dhaka</t>
  </si>
  <si>
    <t>Yes (founded Bdjobs.com in 2000; also founded AjkerDeal.com, Delivery Tiger, and Beshto; former President, BASIS)</t>
  </si>
  <si>
    <t>Mahmudul Hasan Sohag</t>
  </si>
  <si>
    <t>BS, Electrical &amp; Electronic Engineering (BUET)</t>
  </si>
  <si>
    <t>150+</t>
  </si>
  <si>
    <t>Yes (Pi Labs; Bangladesh's first Electronic Voting Machines)</t>
  </si>
  <si>
    <t>Abul Hasan Liton</t>
  </si>
  <si>
    <t>MBA, Finance (University of Dhaka); CSE (BUET)</t>
  </si>
  <si>
    <t>Ehteshamul Shams Rakib</t>
  </si>
  <si>
    <t>Jubayer Bin Amin</t>
  </si>
  <si>
    <t>Md. Khairul Anam</t>
  </si>
  <si>
    <t>Eshita Sharmin (CEO)</t>
  </si>
  <si>
    <t>BBA, dual major Marketing &amp; HR Management, North South University (2002-2006)</t>
  </si>
  <si>
    <t>418-436</t>
  </si>
  <si>
    <t>No (internal hire since 2012, rose to CEO; no independent startup founded)</t>
  </si>
  <si>
    <t>Morin Hossain Talukder</t>
  </si>
  <si>
    <t>Asikul Alam Khan</t>
  </si>
  <si>
    <t>Business/information-systems track (unspecified institution)</t>
  </si>
  <si>
    <t>Yes (Splendor IT, and an early-stage ed-tech venture, since 2006)</t>
  </si>
  <si>
    <t>Dipty Mandal</t>
  </si>
  <si>
    <t>MBA, Marketing (University of Dhaka, 2011-2012)</t>
  </si>
  <si>
    <t>Not stated in public sources</t>
  </si>
  <si>
    <t>Zeeshan Kingshuk Huq</t>
  </si>
  <si>
    <t>Yes (Zero Gravity Ventures)</t>
  </si>
  <si>
    <t>Abul Kasem Khan</t>
  </si>
  <si>
    <t>Yes (noted entrepreneur; former President, Dhaka Chamber of Commerce &amp; Industry - DCCI)</t>
  </si>
  <si>
    <t>Raja Debnath</t>
  </si>
  <si>
    <t>Global supply-chain finance expert (prior independent startup founding not specified in public sources)</t>
  </si>
  <si>
    <t>Nazmul Sheikh</t>
  </si>
  <si>
    <t>BSc, Electrical &amp; Electronic Engineering (EEE), BUET</t>
  </si>
  <si>
    <t>Sinthia Sharmin Islam</t>
  </si>
  <si>
    <t>Bachelor's, Pharmacy</t>
  </si>
  <si>
    <t>Milky Mahmud</t>
  </si>
  <si>
    <t>BSc, Computer Science, Islamic University of Technology (IUT)</t>
  </si>
  <si>
    <t>A.M.M. Habibul Mustafa</t>
  </si>
  <si>
    <t>BBA &amp; MBA, Institute of Business Administration (IBA), Dhaka University</t>
  </si>
  <si>
    <t>Hussain M. Elius</t>
  </si>
  <si>
    <t>MBA, North South University</t>
  </si>
  <si>
    <t>Yes (Jaben, ride-hailing, pre-Pathao)</t>
  </si>
  <si>
    <t>Shifat Adnan</t>
  </si>
  <si>
    <t>BSc, Computer Science &amp; Engineering, Rajshahi University of Engineering &amp; Technology (RUET)</t>
  </si>
  <si>
    <t>Yes (KaijuThemes; Dugdugi, 2013)</t>
  </si>
  <si>
    <t>Fahim Saleh</t>
  </si>
  <si>
    <t>Maliha M. Quadir</t>
  </si>
  <si>
    <t>MBA, Harvard Business School; BA Computer Science &amp; Economics, Smith College</t>
  </si>
  <si>
    <t>Biplob Ghosh Rahul</t>
  </si>
  <si>
    <t>BSc, Electronics &amp; Communication Engineering; MBA, East West University</t>
  </si>
  <si>
    <t>Yes (Soft Call, pre-eCourier)</t>
  </si>
  <si>
    <t>Anayet Rashid</t>
  </si>
  <si>
    <t>BBA, International Business &amp; Marketing, North South University</t>
  </si>
  <si>
    <t>No (ran family business, Lalmai)</t>
  </si>
  <si>
    <t>Mir Hossain Ekram</t>
  </si>
  <si>
    <t>Reyasat Chowdhury</t>
  </si>
  <si>
    <t>Bachelor's, Business (Finance &amp; Economics), North South University</t>
  </si>
  <si>
    <t>Jawwad Jahangir</t>
  </si>
  <si>
    <t>Bachelor's, Business, North South University</t>
  </si>
  <si>
    <t>Yes (Outbox Events, pre-Shuttle)</t>
  </si>
  <si>
    <t>Shah Sufian Mahmud Chowdhury</t>
  </si>
  <si>
    <t>BSc, Computer Science &amp; Engineering, Ahsanullah University of Science and Technology</t>
  </si>
  <si>
    <t>Yes (Weaver Innovations, pre-Shuttle)</t>
  </si>
  <si>
    <t>Shahriar Hasan</t>
  </si>
  <si>
    <t>Md Razibul Islam</t>
  </si>
  <si>
    <t>Rahath Ahmed</t>
  </si>
  <si>
    <t>Shamsuddin Ahmed</t>
  </si>
  <si>
    <t>Al-Farooque Shubho</t>
  </si>
  <si>
    <t>Biplob Biswas</t>
  </si>
  <si>
    <t>Tanvir Ahmed</t>
  </si>
  <si>
    <t>Tawhidur Rahman</t>
  </si>
  <si>
    <t>Tarequl Islam</t>
  </si>
  <si>
    <t>Ambareen Reza</t>
  </si>
  <si>
    <t>Zubair B A Siddiky</t>
  </si>
  <si>
    <t>Ridwan Hafiz</t>
  </si>
  <si>
    <t>BSc, Computer Science &amp; Engineering, BUET</t>
  </si>
  <si>
    <t>Yes (Analyzen, 2008-2021)</t>
  </si>
  <si>
    <t>Sadia Haque</t>
  </si>
  <si>
    <t>BBA (Marketing &amp; HRM), North South University</t>
  </si>
  <si>
    <t>Kashef Rahman</t>
  </si>
  <si>
    <t>North South University (degree unspecified)</t>
  </si>
  <si>
    <t>Shifatur Rahman</t>
  </si>
  <si>
    <t>Ayman Sadiq</t>
  </si>
  <si>
    <t>BBA, Institute of Business Administration (IBA), University of Dhaka</t>
  </si>
  <si>
    <t>No (first venture)</t>
  </si>
  <si>
    <t>Shahir Chowdhury</t>
  </si>
  <si>
    <t>Bachelor's, Business Management, Cardiff University; CFA charterholder</t>
  </si>
  <si>
    <t>Zeeshan Zakaria</t>
  </si>
  <si>
    <t>Teacher training, UCL Institute of Education (exact degree unspecified)</t>
  </si>
  <si>
    <t>Md. Yanur Islam (Piash)</t>
  </si>
  <si>
    <t>Galib Hassan Khan</t>
  </si>
  <si>
    <t>Rafid Imran</t>
  </si>
  <si>
    <t>Mostafizur Rahman</t>
  </si>
  <si>
    <t>Tauhidul Islam</t>
  </si>
  <si>
    <t>Dhaka University graduate (exact degree unspecified)</t>
  </si>
  <si>
    <t>Abu Shahed</t>
  </si>
  <si>
    <t>Mustafizur R Rahman</t>
  </si>
  <si>
    <t>Fayaz Taher</t>
  </si>
  <si>
    <t>Samad Miraly</t>
  </si>
  <si>
    <t>Rare Al Samir</t>
  </si>
  <si>
    <t>Jamila Bupasha Khushbu</t>
  </si>
  <si>
    <t>Md. Nazmul Haque Sarkar</t>
  </si>
  <si>
    <t>Jhankar Mahbub</t>
  </si>
  <si>
    <t>Postgraduate (MS, Industrial &amp; Production Engineering, Univ. of Minnesota; BSc BUET)</t>
  </si>
  <si>
    <t>Shadman Majid</t>
  </si>
  <si>
    <t>Undergraduate (BUET/MIST-affiliated group)</t>
  </si>
  <si>
    <t>Ibrahim Akbar</t>
  </si>
  <si>
    <t>Ishtiyak Sheyam</t>
  </si>
  <si>
    <t>Some college (started as college student)</t>
  </si>
  <si>
    <t>Fahim Siddique</t>
  </si>
  <si>
    <t>Undergraduate (Mechanical Engineering, KUET)</t>
  </si>
  <si>
    <t>Shourov Barua</t>
  </si>
  <si>
    <t>Abdullah Al Musabbir</t>
  </si>
  <si>
    <t>Yes (also co-founded Udvash, Rokomari, other OnnoRokom Group ventures)</t>
  </si>
  <si>
    <t>Sylvana Q. Sinha</t>
  </si>
  <si>
    <t>Postgraduate (JD, Columbia Law School; MPA/ID, Harvard Kennedy School; BA Philosophy &amp; Economics, Wellesley College)</t>
  </si>
  <si>
    <t>Anowar Hossain</t>
  </si>
  <si>
    <t>Monir Hossain</t>
  </si>
  <si>
    <t>Yes (already ran IT firm Media365)</t>
  </si>
  <si>
    <t>Rosina Mazumder</t>
  </si>
  <si>
    <t>Yes (founded Cake Masters magazine)</t>
  </si>
  <si>
    <t>Yawar Mehboob</t>
  </si>
  <si>
    <t>Shamim Hasan</t>
  </si>
  <si>
    <t>Fahad Hossain</t>
  </si>
  <si>
    <t>Tawhida Shiropa</t>
  </si>
  <si>
    <t>Postgraduate (Bachelor's &amp; Master's degrees, field not specified)</t>
  </si>
  <si>
    <t>Ivy Huq Russell</t>
  </si>
  <si>
    <t>Undergraduate (Finance &amp; Economics, University of Warwick)</t>
  </si>
  <si>
    <t>Rubayat Khan</t>
  </si>
  <si>
    <t>Postgraduate (MPA/ID, Harvard Kennedy School)</t>
  </si>
  <si>
    <t>2-10</t>
  </si>
  <si>
    <t>Yes (co-founded mPower Social Enterprises, 2008)</t>
  </si>
  <si>
    <t>Yes (data scientist background)</t>
  </si>
  <si>
    <t>Arefin Zaman</t>
  </si>
  <si>
    <t>Mohammad Abdul Matin Emon</t>
  </si>
  <si>
    <t>Yes (started a computer hardware business in 1994)</t>
  </si>
  <si>
    <t>Yes (career-long IT/technology professional)</t>
  </si>
  <si>
    <t>Sadman Soeb Adib</t>
  </si>
  <si>
    <t>Areek Zillur</t>
  </si>
  <si>
    <t>Sanjida Alam</t>
  </si>
  <si>
    <t>Bachelor's (Biomedical Sciences)</t>
  </si>
  <si>
    <t>Asif Mahmud Tunan</t>
  </si>
  <si>
    <t>Master's Degree</t>
  </si>
  <si>
    <t>Rubaba Dowla</t>
  </si>
  <si>
    <t>Bachelor's &amp; Master's (BBA &amp; MBA, University of Dhaka)</t>
  </si>
  <si>
    <t>Master's / Post-graduate degree, Smith College</t>
  </si>
  <si>
    <t>Abu Sina Kamal</t>
  </si>
  <si>
    <t>Master's, Edith Cowan University; B.Com, Curtin University of Technology</t>
  </si>
  <si>
    <t>Tazin Shadid</t>
  </si>
  <si>
    <t>BSc Computer Science, USA</t>
  </si>
  <si>
    <t>Ishtiaque Ahmed Zahid</t>
  </si>
  <si>
    <t>MBBS</t>
  </si>
  <si>
    <t>Khondaker A. Mamun</t>
  </si>
  <si>
    <t>PhD (Computer &amp; Biomedical Engineering, University of Southampton)</t>
  </si>
  <si>
    <t>Zaeem Ahmed</t>
  </si>
  <si>
    <t>Bachelor's / Professional Degree</t>
  </si>
  <si>
    <t>Parvez Ahmed</t>
  </si>
  <si>
    <t>Master's / Bachelor's, Industrial Pharmacy / Business</t>
  </si>
  <si>
    <t>Fahad Ifaz</t>
  </si>
  <si>
    <t>MSc Agri-Business Management, AIT; Master's in International Economics</t>
  </si>
  <si>
    <t>Jamil M Akbar</t>
  </si>
  <si>
    <t>Bachelor's, Computer Science &amp; Engineering</t>
  </si>
  <si>
    <t>Sakib Hossain</t>
  </si>
  <si>
    <t>Bachelor's Degree</t>
  </si>
  <si>
    <t>Mamunur Rashid</t>
  </si>
  <si>
    <t>MBA</t>
  </si>
  <si>
    <t>Numair Hussain</t>
  </si>
  <si>
    <t>Higher education — corporate strategy, finance, health systems</t>
  </si>
  <si>
    <t>Medina Ali</t>
  </si>
  <si>
    <t>Bachelor's (New York University)</t>
  </si>
  <si>
    <t>Diptha Saha</t>
  </si>
  <si>
    <t>Bachelor's (Industrial &amp; Production Engineering, BUET)</t>
  </si>
  <si>
    <t>Qazi Bouland</t>
  </si>
  <si>
    <t>Rameez Hoque</t>
  </si>
  <si>
    <t>Sayed Zubaer Hasan</t>
  </si>
  <si>
    <t>Bachelor's; Post-Graduate Diploma in Supply Chain Management (PGDSCM), ISCEA-USA</t>
  </si>
  <si>
    <t>Arfan Hossain</t>
  </si>
  <si>
    <t>MBA, IBA; Post Graduate Diploma in Supply Chain Management (PGDSCM)</t>
  </si>
  <si>
    <t>Fida Haq</t>
  </si>
  <si>
    <t>Master's (Electrical &amp; Electronics Engineering, Bilkent University)</t>
  </si>
  <si>
    <t>Md Mahmudur Rahman</t>
  </si>
  <si>
    <t>MSc Development Economics, Australian National University; BSc Economics, North South University</t>
  </si>
  <si>
    <t>Md. Alvi Rahman</t>
  </si>
  <si>
    <t>Tasfia Tasbin</t>
  </si>
  <si>
    <t>BSc, Electronics &amp; Telecommunication Engineering, CUET</t>
  </si>
  <si>
    <t>Rubaiyat Farhan</t>
  </si>
  <si>
    <t>MBA, IBA, University of Dhaka; Engineering undergraduate degree</t>
  </si>
  <si>
    <t>Mubtaseem Zaman</t>
  </si>
  <si>
    <t>BASc Electrical &amp; Computer Engineering, University of Toronto</t>
  </si>
  <si>
    <t>Mohammad Oli Ahad</t>
  </si>
  <si>
    <t>BBA, IBA, University of Dhaka</t>
  </si>
  <si>
    <t>Shuvo Rahman</t>
  </si>
  <si>
    <t>Bachelor's, Computer Science / Telecom Engineering</t>
  </si>
  <si>
    <t>Zubair Ahmed</t>
  </si>
  <si>
    <t>Michael Schmitz</t>
  </si>
  <si>
    <t>PhD Candidate / Master's in Computer Science, Saarland University</t>
  </si>
  <si>
    <t>Mio Ahmed</t>
  </si>
  <si>
    <t>Mohammad Fayadan Hossain</t>
  </si>
  <si>
    <t>S. M. Saiduzzaman, Mohammad Anisul Islam</t>
  </si>
  <si>
    <t>Bachelor's / Masters (Engineering)</t>
  </si>
  <si>
    <t>11 – 50 employees</t>
  </si>
  <si>
    <t>Male / Male</t>
  </si>
  <si>
    <t>Enam Chowdhury, Zobaida Sultana</t>
  </si>
  <si>
    <t>Master of Business Administration (MBA)</t>
  </si>
  <si>
    <t>Abdullah Jayed</t>
  </si>
  <si>
    <t>Undergraduate / Bachelor's (Business)</t>
  </si>
  <si>
    <t>201 – 500 employees</t>
  </si>
  <si>
    <t>Yes. Had minor prior experience building local digital marketing agencies and affiliate websites before scaling this platform.</t>
  </si>
  <si>
    <t xml:space="preserve">male  </t>
  </si>
  <si>
    <t>Saraban Tahura Zaman, Rizmana Khan</t>
  </si>
  <si>
    <t>Bachelor's / Postgraduate (Tech &amp; Social Enterprise) – Specialized in Technology Entrepreneurship and ecosystem management networks.</t>
  </si>
  <si>
    <t>yes</t>
  </si>
  <si>
    <t>Female/ Female</t>
  </si>
  <si>
    <t>Yes (Internal Pivot). Developed as a spin-off product originating from their first company, Inovace.</t>
  </si>
  <si>
    <t>male/male</t>
  </si>
  <si>
    <t>Gazi Yar Mohammed, Zia Hassan Siddique</t>
  </si>
  <si>
    <t>Tanvir Hussain</t>
  </si>
  <si>
    <t>Bachelor's (Engineering / Computing)</t>
  </si>
  <si>
    <t>male</t>
  </si>
  <si>
    <t>Abul Bashar Mohammad Sharif</t>
  </si>
  <si>
    <t>Master's / Bachelor's (Business Administration)</t>
  </si>
  <si>
    <t>51 – 200 employees</t>
  </si>
  <si>
    <t>Mir Shahrukh Islam, Zafir Shafii Chowdhury</t>
  </si>
  <si>
    <t>Master of Business Administration (MBA) – Asia School of Business in collaboration with MIT Sloan; BSc in Electrical Engineering from Islamic University of Technology (IUT).</t>
  </si>
  <si>
    <t>Dr. Sebastian Groh, Hannes Kirchhoff, Daniel Ciganovic</t>
  </si>
  <si>
    <t>Doctor of Philosophy (PhD)</t>
  </si>
  <si>
    <t>54 employees</t>
  </si>
  <si>
    <t>all male</t>
  </si>
  <si>
    <t>Ahad Mohammad Bhai, Navidul Huq</t>
  </si>
  <si>
    <t>Bachelor's (Business Administration &amp; Finance)</t>
  </si>
  <si>
    <t>Redoan Rony (Chief Operating Officer / Creative Lead under Prothom Alo/Transcom)</t>
  </si>
  <si>
    <t>Bachelor's (Media &amp; Social Sciences)</t>
  </si>
  <si>
    <t>Fahim Mashroor</t>
  </si>
  <si>
    <t>Md. Saidul Islam, Rownak Jahan</t>
  </si>
  <si>
    <t>Mixed</t>
  </si>
  <si>
    <t>Bachelor's (Healthcare Management / Allied Sciences)</t>
  </si>
  <si>
    <t>1 – 10 employees</t>
  </si>
  <si>
    <t>male/female</t>
  </si>
  <si>
    <t>Adnan Imtiaz Halim, Ilmul Haque Sajib</t>
  </si>
  <si>
    <t>Bachelor's (Engineering &amp; Telecommunications)</t>
  </si>
  <si>
    <t>Iqbal Quadir (Co-founder) / Established as a joint venture with Telenor</t>
  </si>
  <si>
    <t>2,500+ employees</t>
  </si>
  <si>
    <t>Md. Shariar Alam</t>
  </si>
  <si>
    <t>Bachelor's (Business Strategy &amp; Logistical Management)</t>
  </si>
  <si>
    <t>Mainul Hameed, Rezwanul Haque</t>
  </si>
  <si>
    <t>Bachelor's (Pharmaceutical Sciences &amp; Tech)</t>
  </si>
  <si>
    <t>Dr. A M Shamim</t>
  </si>
  <si>
    <t>Doctor of Medicine (MBBS)</t>
  </si>
  <si>
    <t>N/A — captive MFS brand of United Commercial Bank (UCB); no independent founder team (UCB is sole owner)</t>
  </si>
  <si>
    <t>N/A (bank subsidiary)</t>
  </si>
  <si>
    <t>N/A — Bangladesh entity of Daraz Group (Rocket Internet-founded, Alibaba-owned since 2018); no independent local founder</t>
  </si>
  <si>
    <t>Aziz Arman</t>
  </si>
  <si>
    <t>Khandokar Taswar Zahin</t>
  </si>
  <si>
    <t>Zia Uddin</t>
  </si>
  <si>
    <t>investor_name</t>
  </si>
  <si>
    <t>investor_type_raw</t>
  </si>
  <si>
    <t>investor_category</t>
  </si>
  <si>
    <t>record_quality</t>
  </si>
  <si>
    <t>decision_clean</t>
  </si>
  <si>
    <t>decision_inferred</t>
  </si>
  <si>
    <t>accepted_flag</t>
  </si>
  <si>
    <t>rejected_flag</t>
  </si>
  <si>
    <t>application_year</t>
  </si>
  <si>
    <t>decision_year</t>
  </si>
  <si>
    <t>amount_requested_usd</t>
  </si>
  <si>
    <t>amount_invested_usd</t>
  </si>
  <si>
    <t>amount_invested_usd_hi</t>
  </si>
  <si>
    <t>amount_is_lower_bound</t>
  </si>
  <si>
    <t>is_round_share</t>
  </si>
  <si>
    <t>round_total_usd</t>
  </si>
  <si>
    <t>valuation_usd_low</t>
  </si>
  <si>
    <t>valuation_usd_high</t>
  </si>
  <si>
    <t>valuation_usd_mid</t>
  </si>
  <si>
    <t>is_acquirer_row</t>
  </si>
  <si>
    <t>reason_mentions_rejection</t>
  </si>
  <si>
    <t>amount_invested_raw</t>
  </si>
  <si>
    <t>valuation_raw</t>
  </si>
  <si>
    <t>reason_text</t>
  </si>
  <si>
    <t>SoftBank Vision Fund II</t>
  </si>
  <si>
    <t>Venture Capital</t>
  </si>
  <si>
    <t>VC/PE</t>
  </si>
  <si>
    <t>Detailed</t>
  </si>
  <si>
    <t>Accepted</t>
  </si>
  <si>
    <t>Unparalleled scale in unbanked demographic transition; first Bangladeshi unicorn.</t>
  </si>
  <si>
    <t>Bill &amp; Melinda Gates Foundation</t>
  </si>
  <si>
    <t>Philanthropic</t>
  </si>
  <si>
    <t>Grant/Philanthropic</t>
  </si>
  <si>
    <t>Strategic operational planning, distribution, and marketing support for financial inclusion.</t>
  </si>
  <si>
    <t>The Osiris Group</t>
  </si>
  <si>
    <t>Private Equity</t>
  </si>
  <si>
    <t>Transformative mobile banking infrastructure and Grameen Bank microcredit disbursement partnership.</t>
  </si>
  <si>
    <t>Early-stage incubation / angel network (unspecified)</t>
  </si>
  <si>
    <t>Angel/Incubator</t>
  </si>
  <si>
    <t>Accelerator</t>
  </si>
  <si>
    <t>Early-stage seed support for Bluetooth/low-bandwidth payment gateway technology.</t>
  </si>
  <si>
    <t>Y Combinator / IFC / IDLC</t>
  </si>
  <si>
    <t>Nano-warehouse architecture solving perishable grocery supply-chain logistics (Series A).</t>
  </si>
  <si>
    <t>Xploration Capital and others</t>
  </si>
  <si>
    <t>Expansion of the proprietary algorithmic inventory system and regional expansion (Series C).</t>
  </si>
  <si>
    <t>IDLC Venture Capital Fund I / Startup Bangladesh Limited</t>
  </si>
  <si>
    <t>Transition to omnichannel model countering counterfeit electronics; operational excellence (Pre-Series A).</t>
  </si>
  <si>
    <t>Century Oak Ventures / Y Combinator</t>
  </si>
  <si>
    <t>B2B retail supply-chain modernization; standard YC deal math executed (pre-Series A).</t>
  </si>
  <si>
    <t>Accelerator/VC</t>
  </si>
  <si>
    <t>VentureSouq</t>
  </si>
  <si>
    <t>VC</t>
  </si>
  <si>
    <t>IFC / IDLC Venture Capital Fund I</t>
  </si>
  <si>
    <t>DFI/VC</t>
  </si>
  <si>
    <t>DFI/Impact</t>
  </si>
  <si>
    <t>Superangel / Falcon Network / Tahseen Consulting</t>
  </si>
  <si>
    <t>Angel/VC</t>
  </si>
  <si>
    <t>Angel</t>
  </si>
  <si>
    <t>South Asia Tech</t>
  </si>
  <si>
    <t>Ecom Express</t>
  </si>
  <si>
    <t>Corporate</t>
  </si>
  <si>
    <t>Bangladesh Angels Network / Startup Bangladesh</t>
  </si>
  <si>
    <t>Angel/Government VC</t>
  </si>
  <si>
    <t>Government</t>
  </si>
  <si>
    <t>Wavemaker Partners</t>
  </si>
  <si>
    <t>Startup Bangladesh Limited</t>
  </si>
  <si>
    <t>Government VC</t>
  </si>
  <si>
    <t>Conjunction Capital</t>
  </si>
  <si>
    <t>Omicon Tech Ventures</t>
  </si>
  <si>
    <t>Sonia Bashir Kabir / Anita Gazi / Zinia Chowdhury (pre-seed angels)</t>
  </si>
  <si>
    <t>Angel investor</t>
  </si>
  <si>
    <t>Undisclosed (pre-seed)</t>
  </si>
  <si>
    <t>Investors cited strong founding team and market opportunity in employability/skills gap</t>
  </si>
  <si>
    <t>VintValley (Samin Yasar) / Anita Gazi (follow-on)</t>
  </si>
  <si>
    <t>100,000+</t>
  </si>
  <si>
    <t>Investor cited founders' track record and impact on local startup ecosystem</t>
  </si>
  <si>
    <t>Flagship Ventures</t>
  </si>
  <si>
    <t>Part of $220,000 round</t>
  </si>
  <si>
    <t>Blue Aura Ventures</t>
  </si>
  <si>
    <t>Mohammad Maaz (angel)</t>
  </si>
  <si>
    <t>SuperCharger Ventures</t>
  </si>
  <si>
    <t>First Bangladeshi startup in SCV's new cohort format</t>
  </si>
  <si>
    <t>100,000</t>
  </si>
  <si>
    <t>Ongoing seed round participation, potential follow-on up to $250,000</t>
  </si>
  <si>
    <t>Open Campus Accelerator</t>
  </si>
  <si>
    <t>Accelerator/Grant</t>
  </si>
  <si>
    <t>100,000 (grant)</t>
  </si>
  <si>
    <t>Share of $1.75M across 7 startups</t>
  </si>
  <si>
    <t>Student to Start-up</t>
  </si>
  <si>
    <t>Government/Accelerator program</t>
  </si>
  <si>
    <t>Bangabandhu Innovation Grant (BIG)</t>
  </si>
  <si>
    <t>Government grant</t>
  </si>
  <si>
    <t>SOSV</t>
  </si>
  <si>
    <t>Part of $170,000 round (2022-02-11)</t>
  </si>
  <si>
    <t>Orbit Ventures</t>
  </si>
  <si>
    <t>Undisclosed investors (2021 round)</t>
  </si>
  <si>
    <t>10,600,000 (cumulative to 2021, incl. earlier rounds)</t>
  </si>
  <si>
    <t>Series B investors (sought)</t>
  </si>
  <si>
    <t>Pending</t>
  </si>
  <si>
    <t>Sinha stated intent to raise $15M Series B (Axios, May 2022); closing not confirmed publicly</t>
  </si>
  <si>
    <t>Falcon Network</t>
  </si>
  <si>
    <t>Part of $200,000 round</t>
  </si>
  <si>
    <t>Angel investors (incl. 6 female angels, Tech in Asia pitch winners)</t>
  </si>
  <si>
    <t>Won Tech in Asia Pitch Competition, March 2021</t>
  </si>
  <si>
    <t>Hyper (Shahed Khan, Josh Buckley)</t>
  </si>
  <si>
    <t>Part of $1.3M seed round</t>
  </si>
  <si>
    <t>First Bangladeshi startup backed by Hyper</t>
  </si>
  <si>
    <t>Ratio Ventures / Sketchnote Partners / SRB Ventures / IDLC / Julian Shapiro (angel)</t>
  </si>
  <si>
    <t>VC/Angel</t>
  </si>
  <si>
    <t>The Venture Collective</t>
  </si>
  <si>
    <t>4,000,000 (part of $5.5M cumulative seed)</t>
  </si>
  <si>
    <t>Led round citing counterfeit-medicine problem and market opportunity</t>
  </si>
  <si>
    <t>Tommy Hilfiger Fashion Frontier Challenge</t>
  </si>
  <si>
    <t>Corporate challenge/Grant</t>
  </si>
  <si>
    <t>~100,000 EUR</t>
  </si>
  <si>
    <t>UNDP / Youth Co:Lab (Citi Foundation)</t>
  </si>
  <si>
    <t>Grant</t>
  </si>
  <si>
    <t>Undisclosed</t>
  </si>
  <si>
    <t>Google for Startups Accelerator</t>
  </si>
  <si>
    <t>First Bangladeshi startup accepted into Google's Launchpad Accelerator</t>
  </si>
  <si>
    <t>Spring Accelerator</t>
  </si>
  <si>
    <t>BRAC</t>
  </si>
  <si>
    <t>Grant/Investor</t>
  </si>
  <si>
    <t>Anchorless Bangladesh</t>
  </si>
  <si>
    <t>Part of $2.2M seed</t>
  </si>
  <si>
    <t>Largest health-tech round in Bangladesh at the time</t>
  </si>
  <si>
    <t>PE/Impact investor</t>
  </si>
  <si>
    <t>Transform Health Challenge</t>
  </si>
  <si>
    <t>Grant/Challenge</t>
  </si>
  <si>
    <t>Echoing Green</t>
  </si>
  <si>
    <t>Fellowship/Grant</t>
  </si>
  <si>
    <t>Grand Challenges Canada</t>
  </si>
  <si>
    <t>USAID</t>
  </si>
  <si>
    <t>Seedstars International Ventures</t>
  </si>
  <si>
    <t>Part of $750,000 seed</t>
  </si>
  <si>
    <t>Cited MedEasy's understanding of Bangladesh's chronic-care market</t>
  </si>
  <si>
    <t>Doha Tech Angels</t>
  </si>
  <si>
    <t>nVentures</t>
  </si>
  <si>
    <t>BD Venture</t>
  </si>
  <si>
    <t>~20,000,000 BDT (~$250,000)</t>
  </si>
  <si>
    <t>First Bangladeshi startup to raise venture capital, per company statement</t>
  </si>
  <si>
    <t>Bangladesh Angels Network</t>
  </si>
  <si>
    <t>Angel network</t>
  </si>
  <si>
    <t>Undisclosed pre-seed</t>
  </si>
  <si>
    <t>Verge HealthTech Fund</t>
  </si>
  <si>
    <t>500,000</t>
  </si>
  <si>
    <t>Early-stage healthtech-focused fund covering Asia-Pacific/MENA</t>
  </si>
  <si>
    <t>None</t>
  </si>
  <si>
    <t>Type-only</t>
  </si>
  <si>
    <t>None recorded</t>
  </si>
  <si>
    <t>No funding or accelerator application on public/dataset record</t>
  </si>
  <si>
    <t>SBK Tech Ventures</t>
  </si>
  <si>
    <t>State-backed VC</t>
  </si>
  <si>
    <t>HEAD Foundation</t>
  </si>
  <si>
    <t>Foundation Prize</t>
  </si>
  <si>
    <t>Biniyog Briddhi</t>
  </si>
  <si>
    <t>Blended Finance</t>
  </si>
  <si>
    <t>UNCDF</t>
  </si>
  <si>
    <t>UN Development Fund</t>
  </si>
  <si>
    <t>IDLC Venture Capital</t>
  </si>
  <si>
    <t>Pioneer Facility</t>
  </si>
  <si>
    <t>International Impact Fund</t>
  </si>
  <si>
    <t>Razor Capital</t>
  </si>
  <si>
    <t>Symbiotics</t>
  </si>
  <si>
    <t>Impact Investor</t>
  </si>
  <si>
    <t>OPEC Fund for International Development</t>
  </si>
  <si>
    <t>Development Finance Institution</t>
  </si>
  <si>
    <t>SOSV / Orbit Startups</t>
  </si>
  <si>
    <t>Accelerator / VC</t>
  </si>
  <si>
    <t>Dekko ISHO</t>
  </si>
  <si>
    <t>Strategic / Corporate Investor</t>
  </si>
  <si>
    <t>Shorooq Partners / Anchorless Bangladesh</t>
  </si>
  <si>
    <t>ADB Ventures</t>
  </si>
  <si>
    <t>Dekko ISHO Venture Capital / Joa Capital / Accelerating Asia</t>
  </si>
  <si>
    <t>Venture Capital / Accelerator</t>
  </si>
  <si>
    <t>i2i Ventures / Oraseya Capital</t>
  </si>
  <si>
    <t>ICMG Co-Creation Fund</t>
  </si>
  <si>
    <t>Venture Capital (Japan)</t>
  </si>
  <si>
    <t>VC / Accelerator</t>
  </si>
  <si>
    <t>VC / Corporate</t>
  </si>
  <si>
    <t>$1.5 Million – $2.61 Million</t>
  </si>
  <si>
    <t>Estimated $8M – $12M USD</t>
  </si>
  <si>
    <t>Rejected by dozens of traditional VCs due to slow financial returns from solar hardware, and later faced capital shortfalls when a local institutional investor failed to deliver promised equity funding.</t>
  </si>
  <si>
    <t>Corporate / Private Equity</t>
  </si>
  <si>
    <t>Bypasses the venture capital track entirely, choosing to self-fund as a fintech conglomerate to avoid institutional equity investor rejections.</t>
  </si>
  <si>
    <t>No public rejections disclosed; acts as an independent startup ecosystem operator and venture studio running its own cohorts.</t>
  </si>
  <si>
    <t>Estimated $2M – $4M USD</t>
  </si>
  <si>
    <t>No public rejections disclosed; officially accepted into the global accelerator portfolios of both Orbit 10 and Accelerating Asia.</t>
  </si>
  <si>
    <t>VC / Angel</t>
  </si>
  <si>
    <t>$200,000+</t>
  </si>
  <si>
    <t>Estimated $2.5M – $5M USD</t>
  </si>
  <si>
    <t>No public rejections disclosed; officially accepted into Accelerating Asia and backed by the state-owned fund Startup Bangladesh Limited.</t>
  </si>
  <si>
    <t>Angel / Bootstrapped</t>
  </si>
  <si>
    <t>No public rejections disclosed; operates primarily via private local angel syndicates and organic bootstrapped revenue.</t>
  </si>
  <si>
    <t>Angel / VC</t>
  </si>
  <si>
    <t>No public rejections disclosed; operates primarily via localized technology angel investors and private business networks.</t>
  </si>
  <si>
    <t>VC / Government fund</t>
  </si>
  <si>
    <t>$3.12 Million – $5.11 Million</t>
  </si>
  <si>
    <t>Estimated $15M – $25M USD</t>
  </si>
  <si>
    <t>Parent/Internal</t>
  </si>
  <si>
    <t>Funded natively as a premium entertainment subsidiary of the Transcom Group conglomerate, eliminating the need to pitch outside VCs or face typical rejection.</t>
  </si>
  <si>
    <t>Corporate / VC</t>
  </si>
  <si>
    <t>$4.3 Million</t>
  </si>
  <si>
    <t>Tk. 300 Crore (BDT) (~$35+ Million USD at time of transaction)</t>
  </si>
  <si>
    <t>Bypassed standard venture capital pipeline rejections by securing direct, high-value strategic corporate acquisitions from global entities like SEEK International.</t>
  </si>
  <si>
    <t>Angel / Accelerator</t>
  </si>
  <si>
    <t>No public rejections disclosed; officially accepted into early-stage pipelines with backing from BYLC Ventures and Startup Bangladesh.</t>
  </si>
  <si>
    <t>No public rejections disclosed; successfully accepted and sustained by multiple rounds of local corporate venture capital and institutional state funds.</t>
  </si>
  <si>
    <t>Corporate / Government fund</t>
  </si>
  <si>
    <t>No public rejections disclosed; officially accepted as a B2B health-tech platform into international cohorts via Accelerating Asia.</t>
  </si>
  <si>
    <t>No public rejections disclosed; funded internally through its parent healthcare corporation and localized direct hospital alignments.</t>
  </si>
  <si>
    <t>Bangladesh Post Office (Directorate of Posts)</t>
  </si>
  <si>
    <t>Government / JV partner</t>
  </si>
  <si>
    <t>51% government ownership per 2020 ownership settlement; revenue-sharing joint venture model</t>
  </si>
  <si>
    <t>Third Wave Technologies Ltd (now Nagad Ltd)</t>
  </si>
  <si>
    <t>Corporate / private partner</t>
  </si>
  <si>
    <t>49% private ownership; operating partner and technology provider</t>
  </si>
  <si>
    <t>Dutch-Bangla Bank PLC (internal division)</t>
  </si>
  <si>
    <t>Bank-internal</t>
  </si>
  <si>
    <t>N/A — internal division, not externally financed</t>
  </si>
  <si>
    <t>United Commercial Bank PLC (UCB Fintech Co. Ltd, sole owner)</t>
  </si>
  <si>
    <t>Bank subsidiary</t>
  </si>
  <si>
    <t>N/A — 100% UCB-owned, no external investors</t>
  </si>
  <si>
    <t>Digital Finance Bangladesh Ltd (Sonia Bashir Kabir, Anjan Chowdhury, Uddipan Energy)</t>
  </si>
  <si>
    <t>Corporate / Angel</t>
  </si>
  <si>
    <t>5,000,000</t>
  </si>
  <si>
    <t>Backers cited ambition to serve unbanked women in remote areas via 100% locally-built software</t>
  </si>
  <si>
    <t>United Commercial Bank PLC (sole owner)</t>
  </si>
  <si>
    <t>N/A — bank product, no external investors</t>
  </si>
  <si>
    <t>Undisclosed seed investors</t>
  </si>
  <si>
    <t>Angel/Seed</t>
  </si>
  <si>
    <t>~100,000</t>
  </si>
  <si>
    <t>Simpaisa</t>
  </si>
  <si>
    <t>Corporate / Strategic acquirer</t>
  </si>
  <si>
    <t>1,000,000</t>
  </si>
  <si>
    <t>Acquired aamarPay to expand cross-border/digital payment capabilities in Bangladesh</t>
  </si>
  <si>
    <t>Alibaba Group (via Daraz Group acquisition, 2018)</t>
  </si>
  <si>
    <t>Undisclosed (reported ~$500M for the whole Daraz Group across 5 countries)</t>
  </si>
  <si>
    <t>Alibaba acquired Rocket Internet's Daraz Group, of which Daraz Bangladesh is the local unit</t>
  </si>
  <si>
    <t>Frontier Fund</t>
  </si>
  <si>
    <t>Series A into parent Zero Gravity Ventures</t>
  </si>
  <si>
    <t>Aavishkaar Frontier Fund</t>
  </si>
  <si>
    <t>VC (impact investor)</t>
  </si>
  <si>
    <t>4,150,000</t>
  </si>
  <si>
    <t>Third institutional investment into the company; cited potential to rewrite the B2B transaction model in Bangladesh</t>
  </si>
  <si>
    <t>Alibaba Group (via Daraz Group, full acquisition)</t>
  </si>
  <si>
    <t>HungryNaki was fully acquired by Alibaba-owned Daraz from its local owners; subsequently scaled down (2022) and moved toward shutdown (2023) amid competition from foodpanda and Pathao Food</t>
  </si>
  <si>
    <t>Delivery Hero SE (parent company)</t>
  </si>
  <si>
    <t>Corporate / Strategic parent</t>
  </si>
  <si>
    <t>Bangladesh unit of the global Delivery Hero-owned foodpanda group; market leader in local food delivery</t>
  </si>
  <si>
    <t>Emerging Markets Property Group (EMPG)</t>
  </si>
  <si>
    <t>Corporate / VC-backed group</t>
  </si>
  <si>
    <t>Original parent; Bproperty later merged into Digital Classifieds Group (Jan 2023), which itself entered external administration in 2025 before Rupayan Group made a capital investment in a May 2025 merger deal</t>
  </si>
  <si>
    <t>Digital Classifieds Group (DCG)</t>
  </si>
  <si>
    <t>DCG entered external administration in 2025, shortly before the Rupayan Group deal</t>
  </si>
  <si>
    <t>Rupayan Group</t>
  </si>
  <si>
    <t>Corporate / Strategic investor</t>
  </si>
  <si>
    <t>Undisclosed ('sizeable capital')</t>
  </si>
  <si>
    <t>Bangladesh's largest real estate conglomerate invested in a merger deal after DCG's financial distress</t>
  </si>
  <si>
    <t>gdp_growth_pct</t>
  </si>
  <si>
    <t>inflation_cpi_pct</t>
  </si>
  <si>
    <t>gdp_source_note</t>
  </si>
  <si>
    <t>inflation_source_note</t>
  </si>
  <si>
    <t>IMF WEO / World Bank WDI (Bangladesh, fiscal-year basis)</t>
  </si>
  <si>
    <t>World Bank WDI CPI (FP.CPI.TOTL.ZG) via FRED / indexmundi</t>
  </si>
  <si>
    <t>rounded; nomad.watch (IMF-based)</t>
  </si>
  <si>
    <t>World Bank / source workbook</t>
  </si>
  <si>
    <t>as recorded in source workbook / nomad.watch</t>
  </si>
  <si>
    <t>FY2024-25 (3.49) as recorded in source workbook</t>
  </si>
  <si>
    <t>World Bank CPI via statisticsoftheworld.com</t>
  </si>
  <si>
    <t>no outturn yet (forecasts only) - left blank on purpose</t>
  </si>
  <si>
    <t>Jul 2026 monthly YoY from source workbook; partial year, not annual average</t>
  </si>
  <si>
    <t>Notes:</t>
  </si>
  <si>
    <t>Values are Bangladesh country-level annual figures, looked up by founding year and (where known) follow-on funding year in Model_Ready_Startups.</t>
  </si>
  <si>
    <t>GDP growth for 2026 is blank on purpose (no outturn yet). Inflation for 2026 is a July-2026 monthly YoY figure, not an annual average.</t>
  </si>
  <si>
    <t>Bangladesh macro series are labelled by fiscal year ending 30 June. Rounded values (2010, 2015, 2019) come from a secondary aggregator and are +/-0.5pp uncertain.</t>
  </si>
  <si>
    <t>The source workbook repeated one value (4.22 / 9.7 etc.) for whole blocks of startups; that carried no information and was replaced by these year-matched values.</t>
  </si>
  <si>
    <t>sheet</t>
  </si>
  <si>
    <t>column</t>
  </si>
  <si>
    <t>column_type</t>
  </si>
  <si>
    <t>description</t>
  </si>
  <si>
    <t>pct_filled</t>
  </si>
  <si>
    <t>Model_Ready_Startups</t>
  </si>
  <si>
    <t>Key</t>
  </si>
  <si>
    <t>Unique key BD-ST-001..100</t>
  </si>
  <si>
    <t>Cleaned source value</t>
  </si>
  <si>
    <t>Cleaned name (stray brackets/prefixes removed)</t>
  </si>
  <si>
    <t>Country of headquarters (Singapore for Hishab, Ekkbaz)</t>
  </si>
  <si>
    <t>HQ city</t>
  </si>
  <si>
    <t>Derived/standardised (Python)</t>
  </si>
  <si>
    <t>1 if HQ outside Bangladesh</t>
  </si>
  <si>
    <t>Independent startup / Corporate division-subsidiary / Established corporation / Venture studio. Use to stratify or exclude non-startups</t>
  </si>
  <si>
    <t>Linked record (e.g. Ucash-&gt;Upay, HungryNaki-&gt;Daraz)</t>
  </si>
  <si>
    <t>BD-ST-095 and BD-ST-096 both describe the Sheba platform - confirm and drop one</t>
  </si>
  <si>
    <t>Integer year (replaces mixed int/text/date cells that parsed as 1970)</t>
  </si>
  <si>
    <t>Month if the source gave one; blank = year only (Jan assumed in formulas)</t>
  </si>
  <si>
    <t>month / year / unknown</t>
  </si>
  <si>
    <t>Reference date for age and censoring (2026-09-30; source used 2026-01-01 and mixed text dates)</t>
  </si>
  <si>
    <t>Excel formula</t>
  </si>
  <si>
    <t>FORMULA: months from founding to baseline_date</t>
  </si>
  <si>
    <t>FORMULA: months_since_inception / 12</t>
  </si>
  <si>
    <t>Original sector text</t>
  </si>
  <si>
    <t>Harmonised sector (9 groups)</t>
  </si>
  <si>
    <t>Original business-model text</t>
  </si>
  <si>
    <t>1 if text mentions B2B</t>
  </si>
  <si>
    <t>1 if B2C/D2C</t>
  </si>
  <si>
    <t>1 if marketplace/OTA/aggregator</t>
  </si>
  <si>
    <t>1 if SaaS/subscription/SVOD/AVOD</t>
  </si>
  <si>
    <t>1 if hardware/IoT</t>
  </si>
  <si>
    <t>1 if commission/transaction/margin/fee revenue</t>
  </si>
  <si>
    <t>Original text (in source this column mixed MVP stage with survival status)</t>
  </si>
  <si>
    <t>1=pilot/early, 2=validated, 3=live/production/scaled; blank=unclear</t>
  </si>
  <si>
    <t>1 if any working product evidenced; blank=unclear</t>
  </si>
  <si>
    <t>1/0 harmonised from Yes/Y/Accepted/No text across Master + Outcomes. Awards, grants and VC funds alone are NOT counted. Blank = no information</t>
  </si>
  <si>
    <t>Program names as given</t>
  </si>
  <si>
    <t>1 if any grant evidenced (Master or Investment_Decisions), 0 if explicit zero; blank = unknown</t>
  </si>
  <si>
    <t>USD amount where disclosed (parsed from 9k+, $1.12 Million+ etc.; EUR converted at 1.08)</t>
  </si>
  <si>
    <t>Where the grant info came from</t>
  </si>
  <si>
    <t>FORMULA: sum of founders_in_row in Founders_Clean (multi-name rows split)</t>
  </si>
  <si>
    <t>FORMULA from Founders_Clean</t>
  </si>
  <si>
    <t>FORMULA: female / (male+female) among known-gender founders</t>
  </si>
  <si>
    <t>FORMULA: 1 if &gt;=1 female founder</t>
  </si>
  <si>
    <t>FORMULA: Blau index 1-(p^2+q^2), range 0-0.5</t>
  </si>
  <si>
    <t>Team-level female % estimate parsed from the old text index (rows 041-060 only)</t>
  </si>
  <si>
    <t>Highest founder education: 0 below bachelor, 1 bachelor, 2 master/MBA/professional (incl. MBBS/JD), 3 PhD</t>
  </si>
  <si>
    <t>Label of edu_max_level</t>
  </si>
  <si>
    <t>1 if any founder has STEM background</t>
  </si>
  <si>
    <t>Share of founders with STEM (known only)</t>
  </si>
  <si>
    <t>1 if any founder has prior startup experience</t>
  </si>
  <si>
    <t>Max founder industry experience (years; "15+" -&gt; 15)</t>
  </si>
  <si>
    <t>Mean founder industry experience</t>
  </si>
  <si>
    <t>Midpoint of reported employee count/range (Founders_Team; LinkedIn fallback)</t>
  </si>
  <si>
    <t>1-10 / 11-50 / 51-200 / 201-500 / 501+</t>
  </si>
  <si>
    <t>Founders_Team or LinkedIn</t>
  </si>
  <si>
    <t>Caveat where headcount is not comparable</t>
  </si>
  <si>
    <t>Active / Acquired / Closed / Unknown (harmonised from many text variants)</t>
  </si>
  <si>
    <t>High / Medium (inferred from master text) / Low (unclear, dormant, legal issues)</t>
  </si>
  <si>
    <t>Context for status</t>
  </si>
  <si>
    <t>1 if acquired (may still operate); 0 if not; blank for Unknown. NOTE: MedEasy (057) is an acquirer, coded 0</t>
  </si>
  <si>
    <t>1 if the startup itself acquired another company</t>
  </si>
  <si>
    <t>SURVIVAL EVENT: 1=closed/shut down, 0=active or acquired (censored), blank=unknown</t>
  </si>
  <si>
    <t>Year of closure</t>
  </si>
  <si>
    <t>Month if known (031: Jul 2023; 098: mid-2024 -&gt; 6)</t>
  </si>
  <si>
    <t>FORMULA: time at risk. Closed: founding-&gt;closure (month 7 assumed if unknown). Others: months_since_inception</t>
  </si>
  <si>
    <t>1/0 harmonised from Yes/Y/No/N</t>
  </si>
  <si>
    <t>USD amount parsed from free text (see funding_amount_basis); 0 if explicitly none</t>
  </si>
  <si>
    <t>round / cumulative / none / unknown</t>
  </si>
  <si>
    <t>Latest year mentioned in funding date text</t>
  </si>
  <si>
    <t>SCREENING PROXY LABEL: 1 = received external funding/support, 0 = explicitly bootstrapped/internal/no funding, blank = unknown. NOT a true accept/reject label</t>
  </si>
  <si>
    <t>FORMULA: accepted investor rows in Investments_Clean</t>
  </si>
  <si>
    <t>FORMULA: 1 if a VC/PE investor row exists (blank if no investor rows)</t>
  </si>
  <si>
    <t>FORMULA</t>
  </si>
  <si>
    <t>FORMULA: grant/philanthropic or DFI/impact funder</t>
  </si>
  <si>
    <t>Star rating converted to 1-5 (only 6 records exist)</t>
  </si>
  <si>
    <t>Midpoint of reported % growth (month-on-month figures excluded)</t>
  </si>
  <si>
    <t>Midpoint of reported % growth</t>
  </si>
  <si>
    <t>Midpoint monthly web visits</t>
  </si>
  <si>
    <t>Midpoint news mention count</t>
  </si>
  <si>
    <t>Social media growth % midpoint</t>
  </si>
  <si>
    <t>Lower-bound downloads/users parsed from text</t>
  </si>
  <si>
    <t>App rating 1-5</t>
  </si>
  <si>
    <t>How many of web/news/app/social were available</t>
  </si>
  <si>
    <t>COMPUTED 0-100: mean percentile rank of available web, news, app, social indicators; needs &gt;=2 components. Blank otherwise</t>
  </si>
  <si>
    <t>FORMULA lookup in Macro_Lookup by founding_year</t>
  </si>
  <si>
    <t>FORMULA lookup</t>
  </si>
  <si>
    <t>FORMULA lookup by follow_on_year</t>
  </si>
  <si>
    <t>Count of 10 key modelling fields missing (+1 if status unknown)</t>
  </si>
  <si>
    <t>ML_Matrix_Imputed</t>
  </si>
  <si>
    <t>(all columns)</t>
  </si>
  <si>
    <t>Derived</t>
  </si>
  <si>
    <t>Modelling matrix. Targets (event_closed, duration_months, any_external_funding, follow_on_funding_received, acquired_flag) are NOT imputed. Numeric features are median-imputed with a &lt;name&gt;_missing indicator; binary features are filled 0 with an indicator; sector is one-hot; team size and prior grants are log-transformed. include_survival_model / include_screening_model mark rows with usable targets.</t>
  </si>
  <si>
    <t>Founders_Clean</t>
  </si>
  <si>
    <t>Cleaned/derived</t>
  </si>
  <si>
    <t>Number of founders named in the row (names split on comma/and/&amp;; 0 for "Unconfirmed")</t>
  </si>
  <si>
    <t>Male founders in row</t>
  </si>
  <si>
    <t>Female founders in row</t>
  </si>
  <si>
    <t>Male/Female/Mixed/Unknown</t>
  </si>
  <si>
    <t>0-3 code (see edu_max_level)</t>
  </si>
  <si>
    <t>1 if source had "+"</t>
  </si>
  <si>
    <t>Midpoint of reported team size</t>
  </si>
  <si>
    <t>Investments_Clean</t>
  </si>
  <si>
    <t>VC/PE, Angel, Accelerator, Corporate, Government, Grant/Philanthropic, DFI/Impact, Parent/Internal, Unknown, None</t>
  </si>
  <si>
    <t>Detailed = named investor or amount; Type-only = placeholder with investor type only</t>
  </si>
  <si>
    <t>Accepted / Pending / Unknown / None recorded. There is NO Rejected value - none exists in the data</t>
  </si>
  <si>
    <t>1 if "Accepted" was inferred because a named investor/amount exists but the decision cell was blank</t>
  </si>
  <si>
    <t>1 if Accepted</t>
  </si>
  <si>
    <t>always blank - no rejections recorded</t>
  </si>
  <si>
    <t>1 if the amount is a share of a larger round (see round_total_usd); do not sum</t>
  </si>
  <si>
    <t>Size of the whole round when stated</t>
  </si>
  <si>
    <t>Stars converted to number</t>
  </si>
  <si>
    <t>1 if the reason text says the startup was rejected by other investors (BD-ST-082 only)</t>
  </si>
  <si>
    <t>LEGEND: fill one row per startup-investor application. Include REJECTED and never-funded cases. Keep column names; the first data row below is an EXAMPLE ROW with made-up values - delete it.</t>
  </si>
  <si>
    <t>decision (Accepted/Rejected/No response)</t>
  </si>
  <si>
    <t>reason</t>
  </si>
  <si>
    <t>source_citation</t>
  </si>
  <si>
    <t>date_collected</t>
  </si>
  <si>
    <t>BD-ST-101</t>
  </si>
  <si>
    <t>Example Startup Ltd</t>
  </si>
  <si>
    <t>Example Seed Fund</t>
  </si>
  <si>
    <t>Rejected</t>
  </si>
  <si>
    <t>Traction below fund threshold (example)</t>
  </si>
  <si>
    <t>Accelerator cohort list, 2024</t>
  </si>
  <si>
    <t>2026-10-06</t>
  </si>
  <si>
    <t>item</t>
  </si>
  <si>
    <t>detail</t>
  </si>
  <si>
    <t>Source file</t>
  </si>
  <si>
    <t>Startup_Data_Combined_BD-ST-001_to_100.xlsx</t>
  </si>
  <si>
    <t>Source MD5</t>
  </si>
  <si>
    <t>66191afcdd3bbce44eb0663fea1a5821</t>
  </si>
  <si>
    <t>Source sheets</t>
  </si>
  <si>
    <t>Instructions, Startups_Master (100), Founders_Team (159), Outcomes_Followup (100), Public_Macro_Data (100), Investment_Decisions (149)</t>
  </si>
  <si>
    <t>Processed on</t>
  </si>
  <si>
    <t>This file</t>
  </si>
  <si>
    <t>Startup_Data_MODEL_READY_BD-ST-001_to_100.xlsx (version 1)</t>
  </si>
  <si>
    <t>Loose files mentioned</t>
  </si>
  <si>
    <t>"Copy of ... Person_5", "Person_2 (3)" - not provided; cannot confirm which are final. Please send/identify them to reconcile.</t>
  </si>
  <si>
    <t>Row counts after cleaning</t>
  </si>
  <si>
    <t>Startups 100; Founders_Clean 158 (1 duplicate removed); Investments_Clean 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</si>
</sst>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10"/>
      <name val="Arial"/>
      <charset val="1"/>
    </font>
    <font>
      <i/>
      <sz val="10"/>
      <color rgb="FF80808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030A0"/>
        <bgColor rgb="FF993366"/>
      </patternFill>
    </fill>
    <fill>
      <patternFill patternType="solid">
        <fgColor rgb="FF2E7D32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  <xf numFmtId="1" fontId="2" fillId="0" borderId="0" xfId="0" applyNumberFormat="1" applyFont="1"/>
    <xf numFmtId="164" fontId="2" fillId="0" borderId="0" xfId="0" applyNumberFormat="1" applyFont="1"/>
    <xf numFmtId="3" fontId="2" fillId="0" borderId="0" xfId="0" applyNumberFormat="1" applyFont="1"/>
    <xf numFmtId="2" fontId="2" fillId="0" borderId="0" xfId="0" applyNumberFormat="1" applyFont="1"/>
    <xf numFmtId="0" fontId="3" fillId="0" borderId="0" xfId="0" applyFont="1"/>
    <xf numFmtId="0" fontId="4" fillId="0" borderId="0" xfId="0" applyFont="1"/>
    <xf numFmtId="9" fontId="2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G1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6" customWidth="1"/>
    <col min="2" max="2" width="26" customWidth="1"/>
    <col min="3" max="14" width="16" customWidth="1"/>
    <col min="15" max="15" width="30" customWidth="1"/>
    <col min="16" max="16" width="16" customWidth="1"/>
    <col min="17" max="17" width="36" customWidth="1"/>
    <col min="18" max="23" width="16" customWidth="1"/>
    <col min="24" max="24" width="28" customWidth="1"/>
    <col min="25" max="27" width="16" customWidth="1"/>
    <col min="28" max="28" width="34" customWidth="1"/>
    <col min="29" max="50" width="16" customWidth="1"/>
    <col min="51" max="51" width="34" customWidth="1"/>
    <col min="52" max="52" width="16" customWidth="1"/>
    <col min="53" max="53" width="40" customWidth="1"/>
    <col min="54" max="85" width="16" customWidth="1"/>
  </cols>
  <sheetData>
    <row r="1" spans="1:85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3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2" t="s">
        <v>84</v>
      </c>
    </row>
    <row r="2" spans="1:85" x14ac:dyDescent="0.3">
      <c r="A2" s="4" t="s">
        <v>85</v>
      </c>
      <c r="B2" s="4" t="s">
        <v>86</v>
      </c>
      <c r="C2" s="4" t="s">
        <v>87</v>
      </c>
      <c r="D2" s="4" t="s">
        <v>88</v>
      </c>
      <c r="E2" s="4">
        <v>0</v>
      </c>
      <c r="F2" s="4" t="s">
        <v>89</v>
      </c>
      <c r="G2" s="4"/>
      <c r="H2" s="4"/>
      <c r="I2" s="5">
        <v>2010</v>
      </c>
      <c r="J2" s="4"/>
      <c r="K2" s="4" t="s">
        <v>90</v>
      </c>
      <c r="L2" s="6">
        <v>46295</v>
      </c>
      <c r="M2" s="4">
        <f t="shared" ref="M2:M33" si="0">IF(I2="","",(YEAR(L2)-I2)*12+MONTH(L2)-IF(J2="",1,J2))</f>
        <v>200</v>
      </c>
      <c r="N2" s="4">
        <f t="shared" ref="N2:N33" si="1">IF(M2="","",ROUND(M2/12,2))</f>
        <v>16.670000000000002</v>
      </c>
      <c r="O2" s="4" t="s">
        <v>91</v>
      </c>
      <c r="P2" s="4" t="s">
        <v>92</v>
      </c>
      <c r="Q2" s="4" t="s">
        <v>93</v>
      </c>
      <c r="R2" s="4">
        <v>1</v>
      </c>
      <c r="S2" s="4">
        <v>1</v>
      </c>
      <c r="T2" s="4">
        <v>0</v>
      </c>
      <c r="U2" s="4">
        <v>0</v>
      </c>
      <c r="V2" s="4">
        <v>0</v>
      </c>
      <c r="W2" s="4">
        <v>0</v>
      </c>
      <c r="X2" s="4" t="s">
        <v>94</v>
      </c>
      <c r="Y2" s="4">
        <v>3</v>
      </c>
      <c r="Z2" s="4">
        <v>1</v>
      </c>
      <c r="AA2" s="4">
        <v>0</v>
      </c>
      <c r="AB2" s="4"/>
      <c r="AC2" s="4">
        <v>1</v>
      </c>
      <c r="AD2" s="7">
        <v>10000000</v>
      </c>
      <c r="AE2" s="4" t="s">
        <v>95</v>
      </c>
      <c r="AF2" s="4">
        <f>IF(SUMIF(Founders_Clean!$A$2:$A$159,A2,Founders_Clean!$C$2:$C$159)=0,"",SUMIF(Founders_Clean!$A$2:$A$159,A2,Founders_Clean!$C$2:$C$159))</f>
        <v>2</v>
      </c>
      <c r="AG2" s="4">
        <f>IF(AF2="","",SUMIF(Founders_Clean!$A$2:$A$159,A2,Founders_Clean!$D$2:$D$159))</f>
        <v>2</v>
      </c>
      <c r="AH2" s="4">
        <f>IF(AF2="","",SUMIF(Founders_Clean!$A$2:$A$159,A2,Founders_Clean!$E$2:$E$159))</f>
        <v>0</v>
      </c>
      <c r="AI2" s="8">
        <f t="shared" ref="AI2:AI33" si="2">IF(AF2="","",IF((AG2+AH2)=0,"",AH2/(AG2+AH2)))</f>
        <v>0</v>
      </c>
      <c r="AJ2" s="4">
        <f t="shared" ref="AJ2:AJ33" si="3">IF(AI2="","",IF(AH2&gt;0,1,0))</f>
        <v>0</v>
      </c>
      <c r="AK2" s="8">
        <f t="shared" ref="AK2:AK33" si="4">IF(AI2="","",ROUND(1-(AI2^2+(1-AI2)^2),3))</f>
        <v>0</v>
      </c>
      <c r="AL2" s="4"/>
      <c r="AM2" s="4">
        <v>2</v>
      </c>
      <c r="AN2" s="4" t="s">
        <v>96</v>
      </c>
      <c r="AO2" s="4">
        <v>1</v>
      </c>
      <c r="AP2" s="8">
        <v>0.5</v>
      </c>
      <c r="AQ2" s="4">
        <v>1</v>
      </c>
      <c r="AR2" s="4">
        <v>25</v>
      </c>
      <c r="AS2" s="4">
        <v>20</v>
      </c>
      <c r="AT2" s="7">
        <v>1750</v>
      </c>
      <c r="AU2" s="4" t="s">
        <v>97</v>
      </c>
      <c r="AV2" s="4" t="s">
        <v>98</v>
      </c>
      <c r="AW2" s="4"/>
      <c r="AX2" s="4" t="s">
        <v>99</v>
      </c>
      <c r="AY2" s="4" t="s">
        <v>100</v>
      </c>
      <c r="AZ2" s="4"/>
      <c r="BA2" s="4">
        <v>0</v>
      </c>
      <c r="BB2" s="4">
        <v>0</v>
      </c>
      <c r="BC2" s="4">
        <v>0</v>
      </c>
      <c r="BD2" s="5"/>
      <c r="BE2" s="4"/>
      <c r="BF2" s="4">
        <f t="shared" ref="BF2:BF33" si="5">IF(OR(I2="",BC2=""),"",IF(BC2=1,(BD2-I2)*12+IF(BE2="",7,BE2)-IF(J2="",1,J2),M2))</f>
        <v>200</v>
      </c>
      <c r="BG2" s="4">
        <v>1</v>
      </c>
      <c r="BH2" s="7">
        <v>250000000</v>
      </c>
      <c r="BI2" s="4" t="s">
        <v>101</v>
      </c>
      <c r="BJ2" s="5">
        <v>2021</v>
      </c>
      <c r="BK2" s="4">
        <v>1</v>
      </c>
      <c r="BL2" s="4">
        <f>COUNTIFS(Investments_Clean!$A$2:$A$150,A2,Investments_Clean!$F$2:$F$150,"Accepted")</f>
        <v>2</v>
      </c>
      <c r="BM2" s="4">
        <f>IF(BL2=0,"",IF((COUNTIFS(Investments_Clean!$A$2:$A$150,A2,Investments_Clean!$D$2:$D$150,"VC/PE",Investments_Clean!$F$2:$F$150,"Accepted"))&gt;0,1,0))</f>
        <v>1</v>
      </c>
      <c r="BN2" s="4">
        <f>IF(BL2=0,"",IF((COUNTIFS(Investments_Clean!$A$2:$A$150,A2,Investments_Clean!$D$2:$D$150,"Angel",Investments_Clean!$F$2:$F$150,"Accepted"))&gt;0,1,0))</f>
        <v>0</v>
      </c>
      <c r="BO2" s="4">
        <f>IF(BL2=0,"",IF((COUNTIFS(Investments_Clean!$A$2:$A$150,A2,Investments_Clean!$D$2:$D$150,"Accelerator",Investments_Clean!$F$2:$F$150,"Accepted"))&gt;0,1,0))</f>
        <v>0</v>
      </c>
      <c r="BP2" s="4">
        <f>IF(BL2=0,"",IF((COUNTIFS(Investments_Clean!$A$2:$A$150,A2,Investments_Clean!$D$2:$D$150,"Corporate",Investments_Clean!$F$2:$F$150,"Accepted"))&gt;0,1,0))</f>
        <v>0</v>
      </c>
      <c r="BQ2" s="4">
        <f>IF(BL2=0,"",IF((COUNTIFS(Investments_Clean!$A$2:$A$150,A2,Investments_Clean!$D$2:$D$150,"Government",Investments_Clean!$F$2:$F$150,"Accepted"))&gt;0,1,0))</f>
        <v>0</v>
      </c>
      <c r="BR2" s="4">
        <f>IF(BL2=0,"",IF((COUNTIFS(Investments_Clean!$A$2:$A$150,A2,Investments_Clean!$D$2:$D$150,"Grant/Philanthropic",Investments_Clean!$F$2:$F$150,"Accepted")+COUNTIFS(Investments_Clean!$A$2:$A$150,A2,Investments_Clean!$D$2:$D$150,"DFI/Impact",Investments_Clean!$F$2:$F$150,"Accepted"))&gt;0,1,0))</f>
        <v>1</v>
      </c>
      <c r="BS2" s="4"/>
      <c r="BT2" s="4"/>
      <c r="BU2" s="4"/>
      <c r="BV2" s="7"/>
      <c r="BW2" s="4"/>
      <c r="BX2" s="4"/>
      <c r="BY2" s="7"/>
      <c r="BZ2" s="4"/>
      <c r="CA2" s="4">
        <v>0</v>
      </c>
      <c r="CB2" s="4"/>
      <c r="CC2" s="4">
        <f>IF(I2="","",IFERROR(IF(INDEX(Macro_Lookup!$B$2:$B$31,MATCH(I2,Macro_Lookup!$A$2:$A$31,0))="","",INDEX(Macro_Lookup!$B$2:$B$31,MATCH(I2,Macro_Lookup!$A$2:$A$31,0))),""))</f>
        <v>5.57</v>
      </c>
      <c r="CD2" s="4">
        <f>IF(I2="","",IFERROR(IF(INDEX(Macro_Lookup!$C$2:$C$31,MATCH(I2,Macro_Lookup!$A$2:$A$31,0))="","",INDEX(Macro_Lookup!$C$2:$C$31,MATCH(I2,Macro_Lookup!$A$2:$A$31,0))),""))</f>
        <v>7.3</v>
      </c>
      <c r="CE2" s="4">
        <f>IF(BJ2="","",IFERROR(IF(INDEX(Macro_Lookup!$B$2:$B$31,MATCH(BJ2,Macro_Lookup!$A$2:$A$31,0))="","",INDEX(Macro_Lookup!$B$2:$B$31,MATCH(BJ2,Macro_Lookup!$A$2:$A$31,0))),""))</f>
        <v>6.94</v>
      </c>
      <c r="CF2" s="4">
        <f>IF(BJ2="","",IFERROR(IF(INDEX(Macro_Lookup!$C$2:$C$31,MATCH(BJ2,Macro_Lookup!$A$2:$A$31,0))="","",INDEX(Macro_Lookup!$C$2:$C$31,MATCH(BJ2,Macro_Lookup!$A$2:$A$31,0))),""))</f>
        <v>5.55</v>
      </c>
      <c r="CG2" s="4">
        <v>1</v>
      </c>
    </row>
    <row r="3" spans="1:85" x14ac:dyDescent="0.3">
      <c r="A3" s="4" t="s">
        <v>102</v>
      </c>
      <c r="B3" s="4" t="s">
        <v>103</v>
      </c>
      <c r="C3" s="4" t="s">
        <v>87</v>
      </c>
      <c r="D3" s="4" t="s">
        <v>88</v>
      </c>
      <c r="E3" s="4">
        <v>0</v>
      </c>
      <c r="F3" s="4" t="s">
        <v>89</v>
      </c>
      <c r="G3" s="4"/>
      <c r="H3" s="4"/>
      <c r="I3" s="5">
        <v>2019</v>
      </c>
      <c r="J3" s="4"/>
      <c r="K3" s="4" t="s">
        <v>90</v>
      </c>
      <c r="L3" s="6">
        <v>46295</v>
      </c>
      <c r="M3" s="4">
        <f t="shared" si="0"/>
        <v>92</v>
      </c>
      <c r="N3" s="4">
        <f t="shared" si="1"/>
        <v>7.67</v>
      </c>
      <c r="O3" s="4" t="s">
        <v>91</v>
      </c>
      <c r="P3" s="4" t="s">
        <v>92</v>
      </c>
      <c r="Q3" s="4" t="s">
        <v>104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 t="s">
        <v>99</v>
      </c>
      <c r="Y3" s="4">
        <v>3</v>
      </c>
      <c r="Z3" s="4">
        <v>1</v>
      </c>
      <c r="AA3" s="4"/>
      <c r="AB3" s="4"/>
      <c r="AC3" s="4"/>
      <c r="AD3" s="7"/>
      <c r="AE3" s="4"/>
      <c r="AF3" s="4">
        <f>IF(SUMIF(Founders_Clean!$A$2:$A$159,A3,Founders_Clean!$C$2:$C$159)=0,"",SUMIF(Founders_Clean!$A$2:$A$159,A3,Founders_Clean!$C$2:$C$159))</f>
        <v>1</v>
      </c>
      <c r="AG3" s="4">
        <f>IF(AF3="","",SUMIF(Founders_Clean!$A$2:$A$159,A3,Founders_Clean!$D$2:$D$159))</f>
        <v>1</v>
      </c>
      <c r="AH3" s="4">
        <f>IF(AF3="","",SUMIF(Founders_Clean!$A$2:$A$159,A3,Founders_Clean!$E$2:$E$159))</f>
        <v>0</v>
      </c>
      <c r="AI3" s="8">
        <f t="shared" si="2"/>
        <v>0</v>
      </c>
      <c r="AJ3" s="4">
        <f t="shared" si="3"/>
        <v>0</v>
      </c>
      <c r="AK3" s="8">
        <f t="shared" si="4"/>
        <v>0</v>
      </c>
      <c r="AL3" s="4"/>
      <c r="AM3" s="4">
        <v>2</v>
      </c>
      <c r="AN3" s="4" t="s">
        <v>96</v>
      </c>
      <c r="AO3" s="4">
        <v>0</v>
      </c>
      <c r="AP3" s="8">
        <v>0</v>
      </c>
      <c r="AQ3" s="4">
        <v>1</v>
      </c>
      <c r="AR3" s="4">
        <v>11</v>
      </c>
      <c r="AS3" s="4">
        <v>11</v>
      </c>
      <c r="AT3" s="7">
        <v>1000</v>
      </c>
      <c r="AU3" s="4" t="s">
        <v>97</v>
      </c>
      <c r="AV3" s="4" t="s">
        <v>98</v>
      </c>
      <c r="AW3" s="4"/>
      <c r="AX3" s="4" t="s">
        <v>99</v>
      </c>
      <c r="AY3" s="4" t="s">
        <v>100</v>
      </c>
      <c r="AZ3" s="4"/>
      <c r="BA3" s="4">
        <v>0</v>
      </c>
      <c r="BB3" s="4">
        <v>0</v>
      </c>
      <c r="BC3" s="4">
        <v>0</v>
      </c>
      <c r="BD3" s="5"/>
      <c r="BE3" s="4"/>
      <c r="BF3" s="4">
        <f t="shared" si="5"/>
        <v>92</v>
      </c>
      <c r="BG3" s="4">
        <v>1</v>
      </c>
      <c r="BH3" s="7"/>
      <c r="BI3" s="4" t="s">
        <v>105</v>
      </c>
      <c r="BJ3" s="5">
        <v>2026</v>
      </c>
      <c r="BK3" s="4">
        <v>1</v>
      </c>
      <c r="BL3" s="4">
        <f>COUNTIFS(Investments_Clean!$A$2:$A$150,A3,Investments_Clean!$F$2:$F$150,"Accepted")</f>
        <v>2</v>
      </c>
      <c r="BM3" s="4">
        <f>IF(BL3=0,"",IF((COUNTIFS(Investments_Clean!$A$2:$A$150,A3,Investments_Clean!$D$2:$D$150,"VC/PE",Investments_Clean!$F$2:$F$150,"Accepted"))&gt;0,1,0))</f>
        <v>0</v>
      </c>
      <c r="BN3" s="4">
        <f>IF(BL3=0,"",IF((COUNTIFS(Investments_Clean!$A$2:$A$150,A3,Investments_Clean!$D$2:$D$150,"Angel",Investments_Clean!$F$2:$F$150,"Accepted"))&gt;0,1,0))</f>
        <v>0</v>
      </c>
      <c r="BO3" s="4">
        <f>IF(BL3=0,"",IF((COUNTIFS(Investments_Clean!$A$2:$A$150,A3,Investments_Clean!$D$2:$D$150,"Accelerator",Investments_Clean!$F$2:$F$150,"Accepted"))&gt;0,1,0))</f>
        <v>0</v>
      </c>
      <c r="BP3" s="4">
        <f>IF(BL3=0,"",IF((COUNTIFS(Investments_Clean!$A$2:$A$150,A3,Investments_Clean!$D$2:$D$150,"Corporate",Investments_Clean!$F$2:$F$150,"Accepted"))&gt;0,1,0))</f>
        <v>1</v>
      </c>
      <c r="BQ3" s="4">
        <f>IF(BL3=0,"",IF((COUNTIFS(Investments_Clean!$A$2:$A$150,A3,Investments_Clean!$D$2:$D$150,"Government",Investments_Clean!$F$2:$F$150,"Accepted"))&gt;0,1,0))</f>
        <v>1</v>
      </c>
      <c r="BR3" s="4">
        <f>IF(BL3=0,"",IF((COUNTIFS(Investments_Clean!$A$2:$A$150,A3,Investments_Clean!$D$2:$D$150,"Grant/Philanthropic",Investments_Clean!$F$2:$F$150,"Accepted")+COUNTIFS(Investments_Clean!$A$2:$A$150,A3,Investments_Clean!$D$2:$D$150,"DFI/Impact",Investments_Clean!$F$2:$F$150,"Accepted"))&gt;0,1,0))</f>
        <v>0</v>
      </c>
      <c r="BS3" s="4"/>
      <c r="BT3" s="4"/>
      <c r="BU3" s="4"/>
      <c r="BV3" s="7"/>
      <c r="BW3" s="4"/>
      <c r="BX3" s="4"/>
      <c r="BY3" s="7"/>
      <c r="BZ3" s="4"/>
      <c r="CA3" s="4">
        <v>0</v>
      </c>
      <c r="CB3" s="4"/>
      <c r="CC3" s="4">
        <f>IF(I3="","",IFERROR(IF(INDEX(Macro_Lookup!$B$2:$B$31,MATCH(I3,Macro_Lookup!$A$2:$A$31,0))="","",INDEX(Macro_Lookup!$B$2:$B$31,MATCH(I3,Macro_Lookup!$A$2:$A$31,0))),""))</f>
        <v>7.88</v>
      </c>
      <c r="CD3" s="4">
        <f>IF(I3="","",IFERROR(IF(INDEX(Macro_Lookup!$C$2:$C$31,MATCH(I3,Macro_Lookup!$A$2:$A$31,0))="","",INDEX(Macro_Lookup!$C$2:$C$31,MATCH(I3,Macro_Lookup!$A$2:$A$31,0))),""))</f>
        <v>5.5</v>
      </c>
      <c r="CE3" s="4" t="str">
        <f>IF(BJ3="","",IFERROR(IF(INDEX(Macro_Lookup!$B$2:$B$31,MATCH(BJ3,Macro_Lookup!$A$2:$A$31,0))="","",INDEX(Macro_Lookup!$B$2:$B$31,MATCH(BJ3,Macro_Lookup!$A$2:$A$31,0))),""))</f>
        <v/>
      </c>
      <c r="CF3" s="4">
        <f>IF(BJ3="","",IFERROR(IF(INDEX(Macro_Lookup!$C$2:$C$31,MATCH(BJ3,Macro_Lookup!$A$2:$A$31,0))="","",INDEX(Macro_Lookup!$C$2:$C$31,MATCH(BJ3,Macro_Lookup!$A$2:$A$31,0))),""))</f>
        <v>9.16</v>
      </c>
      <c r="CG3" s="4">
        <v>3</v>
      </c>
    </row>
    <row r="4" spans="1:85" x14ac:dyDescent="0.3">
      <c r="A4" s="4" t="s">
        <v>106</v>
      </c>
      <c r="B4" s="4" t="s">
        <v>107</v>
      </c>
      <c r="C4" s="4" t="s">
        <v>87</v>
      </c>
      <c r="D4" s="4" t="s">
        <v>88</v>
      </c>
      <c r="E4" s="4">
        <v>0</v>
      </c>
      <c r="F4" s="4" t="s">
        <v>108</v>
      </c>
      <c r="G4" s="4"/>
      <c r="H4" s="4"/>
      <c r="I4" s="5">
        <v>2011</v>
      </c>
      <c r="J4" s="4"/>
      <c r="K4" s="4" t="s">
        <v>90</v>
      </c>
      <c r="L4" s="6">
        <v>46295</v>
      </c>
      <c r="M4" s="4">
        <f t="shared" si="0"/>
        <v>188</v>
      </c>
      <c r="N4" s="4">
        <f t="shared" si="1"/>
        <v>15.67</v>
      </c>
      <c r="O4" s="4" t="s">
        <v>91</v>
      </c>
      <c r="P4" s="4" t="s">
        <v>92</v>
      </c>
      <c r="Q4" s="4" t="s">
        <v>109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 t="s">
        <v>99</v>
      </c>
      <c r="Y4" s="4">
        <v>3</v>
      </c>
      <c r="Z4" s="4">
        <v>1</v>
      </c>
      <c r="AA4" s="4"/>
      <c r="AB4" s="4"/>
      <c r="AC4" s="4"/>
      <c r="AD4" s="7"/>
      <c r="AE4" s="4"/>
      <c r="AF4" s="4">
        <f>IF(SUMIF(Founders_Clean!$A$2:$A$159,A4,Founders_Clean!$C$2:$C$159)=0,"",SUMIF(Founders_Clean!$A$2:$A$159,A4,Founders_Clean!$C$2:$C$159))</f>
        <v>1</v>
      </c>
      <c r="AG4" s="4">
        <f>IF(AF4="","",SUMIF(Founders_Clean!$A$2:$A$159,A4,Founders_Clean!$D$2:$D$159))</f>
        <v>1</v>
      </c>
      <c r="AH4" s="4">
        <f>IF(AF4="","",SUMIF(Founders_Clean!$A$2:$A$159,A4,Founders_Clean!$E$2:$E$159))</f>
        <v>0</v>
      </c>
      <c r="AI4" s="8">
        <f t="shared" si="2"/>
        <v>0</v>
      </c>
      <c r="AJ4" s="4">
        <f t="shared" si="3"/>
        <v>0</v>
      </c>
      <c r="AK4" s="8">
        <f t="shared" si="4"/>
        <v>0</v>
      </c>
      <c r="AL4" s="4"/>
      <c r="AM4" s="4"/>
      <c r="AN4" s="4"/>
      <c r="AO4" s="4"/>
      <c r="AP4" s="8"/>
      <c r="AQ4" s="4"/>
      <c r="AR4" s="4">
        <v>30</v>
      </c>
      <c r="AS4" s="4">
        <v>30</v>
      </c>
      <c r="AT4" s="7"/>
      <c r="AU4" s="4"/>
      <c r="AV4" s="4" t="s">
        <v>110</v>
      </c>
      <c r="AW4" s="4" t="s">
        <v>111</v>
      </c>
      <c r="AX4" s="4" t="s">
        <v>99</v>
      </c>
      <c r="AY4" s="4" t="s">
        <v>100</v>
      </c>
      <c r="AZ4" s="4"/>
      <c r="BA4" s="4">
        <v>0</v>
      </c>
      <c r="BB4" s="4">
        <v>0</v>
      </c>
      <c r="BC4" s="4">
        <v>0</v>
      </c>
      <c r="BD4" s="5"/>
      <c r="BE4" s="4"/>
      <c r="BF4" s="4">
        <f t="shared" si="5"/>
        <v>188</v>
      </c>
      <c r="BG4" s="4">
        <v>0</v>
      </c>
      <c r="BH4" s="7">
        <v>0</v>
      </c>
      <c r="BI4" s="4" t="s">
        <v>112</v>
      </c>
      <c r="BJ4" s="5"/>
      <c r="BK4" s="4">
        <v>0</v>
      </c>
      <c r="BL4" s="4">
        <f>COUNTIFS(Investments_Clean!$A$2:$A$150,A4,Investments_Clean!$F$2:$F$150,"Accepted")</f>
        <v>1</v>
      </c>
      <c r="BM4" s="4">
        <f>IF(BL4=0,"",IF((COUNTIFS(Investments_Clean!$A$2:$A$150,A4,Investments_Clean!$D$2:$D$150,"VC/PE",Investments_Clean!$F$2:$F$150,"Accepted"))&gt;0,1,0))</f>
        <v>0</v>
      </c>
      <c r="BN4" s="4">
        <f>IF(BL4=0,"",IF((COUNTIFS(Investments_Clean!$A$2:$A$150,A4,Investments_Clean!$D$2:$D$150,"Angel",Investments_Clean!$F$2:$F$150,"Accepted"))&gt;0,1,0))</f>
        <v>0</v>
      </c>
      <c r="BO4" s="4">
        <f>IF(BL4=0,"",IF((COUNTIFS(Investments_Clean!$A$2:$A$150,A4,Investments_Clean!$D$2:$D$150,"Accelerator",Investments_Clean!$F$2:$F$150,"Accepted"))&gt;0,1,0))</f>
        <v>0</v>
      </c>
      <c r="BP4" s="4">
        <f>IF(BL4=0,"",IF((COUNTIFS(Investments_Clean!$A$2:$A$150,A4,Investments_Clean!$D$2:$D$150,"Corporate",Investments_Clean!$F$2:$F$150,"Accepted"))&gt;0,1,0))</f>
        <v>0</v>
      </c>
      <c r="BQ4" s="4">
        <f>IF(BL4=0,"",IF((COUNTIFS(Investments_Clean!$A$2:$A$150,A4,Investments_Clean!$D$2:$D$150,"Government",Investments_Clean!$F$2:$F$150,"Accepted"))&gt;0,1,0))</f>
        <v>0</v>
      </c>
      <c r="BR4" s="4">
        <f>IF(BL4=0,"",IF((COUNTIFS(Investments_Clean!$A$2:$A$150,A4,Investments_Clean!$D$2:$D$150,"Grant/Philanthropic",Investments_Clean!$F$2:$F$150,"Accepted")+COUNTIFS(Investments_Clean!$A$2:$A$150,A4,Investments_Clean!$D$2:$D$150,"DFI/Impact",Investments_Clean!$F$2:$F$150,"Accepted"))&gt;0,1,0))</f>
        <v>0</v>
      </c>
      <c r="BS4" s="4"/>
      <c r="BT4" s="4"/>
      <c r="BU4" s="4"/>
      <c r="BV4" s="7"/>
      <c r="BW4" s="4"/>
      <c r="BX4" s="4"/>
      <c r="BY4" s="7"/>
      <c r="BZ4" s="4"/>
      <c r="CA4" s="4">
        <v>0</v>
      </c>
      <c r="CB4" s="4"/>
      <c r="CC4" s="4">
        <f>IF(I4="","",IFERROR(IF(INDEX(Macro_Lookup!$B$2:$B$31,MATCH(I4,Macro_Lookup!$A$2:$A$31,0))="","",INDEX(Macro_Lookup!$B$2:$B$31,MATCH(I4,Macro_Lookup!$A$2:$A$31,0))),""))</f>
        <v>6.46</v>
      </c>
      <c r="CD4" s="4">
        <f>IF(I4="","",IFERROR(IF(INDEX(Macro_Lookup!$C$2:$C$31,MATCH(I4,Macro_Lookup!$A$2:$A$31,0))="","",INDEX(Macro_Lookup!$C$2:$C$31,MATCH(I4,Macro_Lookup!$A$2:$A$31,0))),""))</f>
        <v>11.4</v>
      </c>
      <c r="CE4" s="4" t="str">
        <f>IF(BJ4="","",IFERROR(IF(INDEX(Macro_Lookup!$B$2:$B$31,MATCH(BJ4,Macro_Lookup!$A$2:$A$31,0))="","",INDEX(Macro_Lookup!$B$2:$B$31,MATCH(BJ4,Macro_Lookup!$A$2:$A$31,0))),""))</f>
        <v/>
      </c>
      <c r="CF4" s="4" t="str">
        <f>IF(BJ4="","",IFERROR(IF(INDEX(Macro_Lookup!$C$2:$C$31,MATCH(BJ4,Macro_Lookup!$A$2:$A$31,0))="","",INDEX(Macro_Lookup!$C$2:$C$31,MATCH(BJ4,Macro_Lookup!$A$2:$A$31,0))),""))</f>
        <v/>
      </c>
      <c r="CG4" s="4">
        <v>5</v>
      </c>
    </row>
    <row r="5" spans="1:85" x14ac:dyDescent="0.3">
      <c r="A5" s="4" t="s">
        <v>113</v>
      </c>
      <c r="B5" s="4" t="s">
        <v>114</v>
      </c>
      <c r="C5" s="4" t="s">
        <v>87</v>
      </c>
      <c r="D5" s="4" t="s">
        <v>88</v>
      </c>
      <c r="E5" s="4">
        <v>0</v>
      </c>
      <c r="F5" s="4" t="s">
        <v>89</v>
      </c>
      <c r="G5" s="4"/>
      <c r="H5" s="4"/>
      <c r="I5" s="5">
        <v>2010</v>
      </c>
      <c r="J5" s="4"/>
      <c r="K5" s="4" t="s">
        <v>90</v>
      </c>
      <c r="L5" s="6">
        <v>46295</v>
      </c>
      <c r="M5" s="4">
        <f t="shared" si="0"/>
        <v>200</v>
      </c>
      <c r="N5" s="4">
        <f t="shared" si="1"/>
        <v>16.670000000000002</v>
      </c>
      <c r="O5" s="4" t="s">
        <v>91</v>
      </c>
      <c r="P5" s="4" t="s">
        <v>92</v>
      </c>
      <c r="Q5" s="4" t="s">
        <v>115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 t="s">
        <v>99</v>
      </c>
      <c r="Y5" s="4">
        <v>3</v>
      </c>
      <c r="Z5" s="4">
        <v>1</v>
      </c>
      <c r="AA5" s="4">
        <v>0</v>
      </c>
      <c r="AB5" s="4"/>
      <c r="AC5" s="4"/>
      <c r="AD5" s="7"/>
      <c r="AE5" s="4"/>
      <c r="AF5" s="4">
        <f>IF(SUMIF(Founders_Clean!$A$2:$A$159,A5,Founders_Clean!$C$2:$C$159)=0,"",SUMIF(Founders_Clean!$A$2:$A$159,A5,Founders_Clean!$C$2:$C$159))</f>
        <v>1</v>
      </c>
      <c r="AG5" s="4">
        <f>IF(AF5="","",SUMIF(Founders_Clean!$A$2:$A$159,A5,Founders_Clean!$D$2:$D$159))</f>
        <v>1</v>
      </c>
      <c r="AH5" s="4">
        <f>IF(AF5="","",SUMIF(Founders_Clean!$A$2:$A$159,A5,Founders_Clean!$E$2:$E$159))</f>
        <v>0</v>
      </c>
      <c r="AI5" s="8">
        <f t="shared" si="2"/>
        <v>0</v>
      </c>
      <c r="AJ5" s="4">
        <f t="shared" si="3"/>
        <v>0</v>
      </c>
      <c r="AK5" s="8">
        <f t="shared" si="4"/>
        <v>0</v>
      </c>
      <c r="AL5" s="4"/>
      <c r="AM5" s="4">
        <v>3</v>
      </c>
      <c r="AN5" s="4" t="s">
        <v>116</v>
      </c>
      <c r="AO5" s="4">
        <v>1</v>
      </c>
      <c r="AP5" s="8">
        <v>1</v>
      </c>
      <c r="AQ5" s="4">
        <v>1</v>
      </c>
      <c r="AR5" s="4">
        <v>23</v>
      </c>
      <c r="AS5" s="4">
        <v>23</v>
      </c>
      <c r="AT5" s="7">
        <v>260</v>
      </c>
      <c r="AU5" s="4" t="s">
        <v>117</v>
      </c>
      <c r="AV5" s="4" t="s">
        <v>118</v>
      </c>
      <c r="AW5" s="4"/>
      <c r="AX5" s="4" t="s">
        <v>99</v>
      </c>
      <c r="AY5" s="4" t="s">
        <v>100</v>
      </c>
      <c r="AZ5" s="4"/>
      <c r="BA5" s="4">
        <v>0</v>
      </c>
      <c r="BB5" s="4">
        <v>0</v>
      </c>
      <c r="BC5" s="4">
        <v>0</v>
      </c>
      <c r="BD5" s="5"/>
      <c r="BE5" s="4"/>
      <c r="BF5" s="4">
        <f t="shared" si="5"/>
        <v>200</v>
      </c>
      <c r="BG5" s="4">
        <v>1</v>
      </c>
      <c r="BH5" s="7">
        <v>7000000</v>
      </c>
      <c r="BI5" s="4" t="s">
        <v>101</v>
      </c>
      <c r="BJ5" s="5">
        <v>2015</v>
      </c>
      <c r="BK5" s="4">
        <v>1</v>
      </c>
      <c r="BL5" s="4">
        <f>COUNTIFS(Investments_Clean!$A$2:$A$150,A5,Investments_Clean!$F$2:$F$150,"Accepted")</f>
        <v>1</v>
      </c>
      <c r="BM5" s="4">
        <f>IF(BL5=0,"",IF((COUNTIFS(Investments_Clean!$A$2:$A$150,A5,Investments_Clean!$D$2:$D$150,"VC/PE",Investments_Clean!$F$2:$F$150,"Accepted"))&gt;0,1,0))</f>
        <v>1</v>
      </c>
      <c r="BN5" s="4">
        <f>IF(BL5=0,"",IF((COUNTIFS(Investments_Clean!$A$2:$A$150,A5,Investments_Clean!$D$2:$D$150,"Angel",Investments_Clean!$F$2:$F$150,"Accepted"))&gt;0,1,0))</f>
        <v>0</v>
      </c>
      <c r="BO5" s="4">
        <f>IF(BL5=0,"",IF((COUNTIFS(Investments_Clean!$A$2:$A$150,A5,Investments_Clean!$D$2:$D$150,"Accelerator",Investments_Clean!$F$2:$F$150,"Accepted"))&gt;0,1,0))</f>
        <v>0</v>
      </c>
      <c r="BP5" s="4">
        <f>IF(BL5=0,"",IF((COUNTIFS(Investments_Clean!$A$2:$A$150,A5,Investments_Clean!$D$2:$D$150,"Corporate",Investments_Clean!$F$2:$F$150,"Accepted"))&gt;0,1,0))</f>
        <v>0</v>
      </c>
      <c r="BQ5" s="4">
        <f>IF(BL5=0,"",IF((COUNTIFS(Investments_Clean!$A$2:$A$150,A5,Investments_Clean!$D$2:$D$150,"Government",Investments_Clean!$F$2:$F$150,"Accepted"))&gt;0,1,0))</f>
        <v>0</v>
      </c>
      <c r="BR5" s="4">
        <f>IF(BL5=0,"",IF((COUNTIFS(Investments_Clean!$A$2:$A$150,A5,Investments_Clean!$D$2:$D$150,"Grant/Philanthropic",Investments_Clean!$F$2:$F$150,"Accepted")+COUNTIFS(Investments_Clean!$A$2:$A$150,A5,Investments_Clean!$D$2:$D$150,"DFI/Impact",Investments_Clean!$F$2:$F$150,"Accepted"))&gt;0,1,0))</f>
        <v>0</v>
      </c>
      <c r="BS5" s="4"/>
      <c r="BT5" s="4"/>
      <c r="BU5" s="4"/>
      <c r="BV5" s="7"/>
      <c r="BW5" s="4"/>
      <c r="BX5" s="4"/>
      <c r="BY5" s="7"/>
      <c r="BZ5" s="4"/>
      <c r="CA5" s="4">
        <v>0</v>
      </c>
      <c r="CB5" s="4"/>
      <c r="CC5" s="4">
        <f>IF(I5="","",IFERROR(IF(INDEX(Macro_Lookup!$B$2:$B$31,MATCH(I5,Macro_Lookup!$A$2:$A$31,0))="","",INDEX(Macro_Lookup!$B$2:$B$31,MATCH(I5,Macro_Lookup!$A$2:$A$31,0))),""))</f>
        <v>5.57</v>
      </c>
      <c r="CD5" s="4">
        <f>IF(I5="","",IFERROR(IF(INDEX(Macro_Lookup!$C$2:$C$31,MATCH(I5,Macro_Lookup!$A$2:$A$31,0))="","",INDEX(Macro_Lookup!$C$2:$C$31,MATCH(I5,Macro_Lookup!$A$2:$A$31,0))),""))</f>
        <v>7.3</v>
      </c>
      <c r="CE5" s="4">
        <f>IF(BJ5="","",IFERROR(IF(INDEX(Macro_Lookup!$B$2:$B$31,MATCH(BJ5,Macro_Lookup!$A$2:$A$31,0))="","",INDEX(Macro_Lookup!$B$2:$B$31,MATCH(BJ5,Macro_Lookup!$A$2:$A$31,0))),""))</f>
        <v>6.55</v>
      </c>
      <c r="CF5" s="4">
        <f>IF(BJ5="","",IFERROR(IF(INDEX(Macro_Lookup!$C$2:$C$31,MATCH(BJ5,Macro_Lookup!$A$2:$A$31,0))="","",INDEX(Macro_Lookup!$C$2:$C$31,MATCH(BJ5,Macro_Lookup!$A$2:$A$31,0))),""))</f>
        <v>6.4</v>
      </c>
      <c r="CG5" s="4">
        <v>2</v>
      </c>
    </row>
    <row r="6" spans="1:85" x14ac:dyDescent="0.3">
      <c r="A6" s="4" t="s">
        <v>119</v>
      </c>
      <c r="B6" s="4" t="s">
        <v>120</v>
      </c>
      <c r="C6" s="4" t="s">
        <v>87</v>
      </c>
      <c r="D6" s="4" t="s">
        <v>88</v>
      </c>
      <c r="E6" s="4">
        <v>0</v>
      </c>
      <c r="F6" s="4" t="s">
        <v>108</v>
      </c>
      <c r="G6" s="4" t="s">
        <v>121</v>
      </c>
      <c r="H6" s="4"/>
      <c r="I6" s="5">
        <v>2021</v>
      </c>
      <c r="J6" s="4"/>
      <c r="K6" s="4" t="s">
        <v>90</v>
      </c>
      <c r="L6" s="6">
        <v>46295</v>
      </c>
      <c r="M6" s="4">
        <f t="shared" si="0"/>
        <v>68</v>
      </c>
      <c r="N6" s="4">
        <f t="shared" si="1"/>
        <v>5.67</v>
      </c>
      <c r="O6" s="4" t="s">
        <v>91</v>
      </c>
      <c r="P6" s="4" t="s">
        <v>92</v>
      </c>
      <c r="Q6" s="4" t="s">
        <v>122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 t="s">
        <v>99</v>
      </c>
      <c r="Y6" s="4">
        <v>3</v>
      </c>
      <c r="Z6" s="4">
        <v>1</v>
      </c>
      <c r="AA6" s="4"/>
      <c r="AB6" s="4"/>
      <c r="AC6" s="4"/>
      <c r="AD6" s="7"/>
      <c r="AE6" s="4"/>
      <c r="AF6" s="4">
        <f>IF(SUMIF(Founders_Clean!$A$2:$A$159,A6,Founders_Clean!$C$2:$C$159)=0,"",SUMIF(Founders_Clean!$A$2:$A$159,A6,Founders_Clean!$C$2:$C$159))</f>
        <v>1</v>
      </c>
      <c r="AG6" s="4">
        <f>IF(AF6="","",SUMIF(Founders_Clean!$A$2:$A$159,A6,Founders_Clean!$D$2:$D$159))</f>
        <v>1</v>
      </c>
      <c r="AH6" s="4">
        <f>IF(AF6="","",SUMIF(Founders_Clean!$A$2:$A$159,A6,Founders_Clean!$E$2:$E$159))</f>
        <v>0</v>
      </c>
      <c r="AI6" s="8">
        <f t="shared" si="2"/>
        <v>0</v>
      </c>
      <c r="AJ6" s="4">
        <f t="shared" si="3"/>
        <v>0</v>
      </c>
      <c r="AK6" s="8">
        <f t="shared" si="4"/>
        <v>0</v>
      </c>
      <c r="AL6" s="4"/>
      <c r="AM6" s="4">
        <v>2</v>
      </c>
      <c r="AN6" s="4" t="s">
        <v>96</v>
      </c>
      <c r="AO6" s="4">
        <v>0</v>
      </c>
      <c r="AP6" s="8">
        <v>0</v>
      </c>
      <c r="AQ6" s="4">
        <v>0</v>
      </c>
      <c r="AR6" s="4">
        <v>20</v>
      </c>
      <c r="AS6" s="4">
        <v>20</v>
      </c>
      <c r="AT6" s="7">
        <v>350</v>
      </c>
      <c r="AU6" s="4" t="s">
        <v>117</v>
      </c>
      <c r="AV6" s="4" t="s">
        <v>98</v>
      </c>
      <c r="AW6" s="4"/>
      <c r="AX6" s="4" t="s">
        <v>99</v>
      </c>
      <c r="AY6" s="4" t="s">
        <v>100</v>
      </c>
      <c r="AZ6" s="4"/>
      <c r="BA6" s="4">
        <v>0</v>
      </c>
      <c r="BB6" s="4">
        <v>0</v>
      </c>
      <c r="BC6" s="4">
        <v>0</v>
      </c>
      <c r="BD6" s="5"/>
      <c r="BE6" s="4"/>
      <c r="BF6" s="4">
        <f t="shared" si="5"/>
        <v>68</v>
      </c>
      <c r="BG6" s="4">
        <v>0</v>
      </c>
      <c r="BH6" s="7">
        <v>0</v>
      </c>
      <c r="BI6" s="4" t="s">
        <v>112</v>
      </c>
      <c r="BJ6" s="5">
        <v>2021</v>
      </c>
      <c r="BK6" s="4">
        <v>0</v>
      </c>
      <c r="BL6" s="4">
        <f>COUNTIFS(Investments_Clean!$A$2:$A$150,A6,Investments_Clean!$F$2:$F$150,"Accepted")</f>
        <v>1</v>
      </c>
      <c r="BM6" s="4">
        <f>IF(BL6=0,"",IF((COUNTIFS(Investments_Clean!$A$2:$A$150,A6,Investments_Clean!$D$2:$D$150,"VC/PE",Investments_Clean!$F$2:$F$150,"Accepted"))&gt;0,1,0))</f>
        <v>0</v>
      </c>
      <c r="BN6" s="4">
        <f>IF(BL6=0,"",IF((COUNTIFS(Investments_Clean!$A$2:$A$150,A6,Investments_Clean!$D$2:$D$150,"Angel",Investments_Clean!$F$2:$F$150,"Accepted"))&gt;0,1,0))</f>
        <v>0</v>
      </c>
      <c r="BO6" s="4">
        <f>IF(BL6=0,"",IF((COUNTIFS(Investments_Clean!$A$2:$A$150,A6,Investments_Clean!$D$2:$D$150,"Accelerator",Investments_Clean!$F$2:$F$150,"Accepted"))&gt;0,1,0))</f>
        <v>0</v>
      </c>
      <c r="BP6" s="4">
        <f>IF(BL6=0,"",IF((COUNTIFS(Investments_Clean!$A$2:$A$150,A6,Investments_Clean!$D$2:$D$150,"Corporate",Investments_Clean!$F$2:$F$150,"Accepted"))&gt;0,1,0))</f>
        <v>0</v>
      </c>
      <c r="BQ6" s="4">
        <f>IF(BL6=0,"",IF((COUNTIFS(Investments_Clean!$A$2:$A$150,A6,Investments_Clean!$D$2:$D$150,"Government",Investments_Clean!$F$2:$F$150,"Accepted"))&gt;0,1,0))</f>
        <v>0</v>
      </c>
      <c r="BR6" s="4">
        <f>IF(BL6=0,"",IF((COUNTIFS(Investments_Clean!$A$2:$A$150,A6,Investments_Clean!$D$2:$D$150,"Grant/Philanthropic",Investments_Clean!$F$2:$F$150,"Accepted")+COUNTIFS(Investments_Clean!$A$2:$A$150,A6,Investments_Clean!$D$2:$D$150,"DFI/Impact",Investments_Clean!$F$2:$F$150,"Accepted"))&gt;0,1,0))</f>
        <v>0</v>
      </c>
      <c r="BS6" s="4"/>
      <c r="BT6" s="4"/>
      <c r="BU6" s="4"/>
      <c r="BV6" s="7"/>
      <c r="BW6" s="4"/>
      <c r="BX6" s="4"/>
      <c r="BY6" s="7"/>
      <c r="BZ6" s="4"/>
      <c r="CA6" s="4">
        <v>0</v>
      </c>
      <c r="CB6" s="4"/>
      <c r="CC6" s="4">
        <f>IF(I6="","",IFERROR(IF(INDEX(Macro_Lookup!$B$2:$B$31,MATCH(I6,Macro_Lookup!$A$2:$A$31,0))="","",INDEX(Macro_Lookup!$B$2:$B$31,MATCH(I6,Macro_Lookup!$A$2:$A$31,0))),""))</f>
        <v>6.94</v>
      </c>
      <c r="CD6" s="4">
        <f>IF(I6="","",IFERROR(IF(INDEX(Macro_Lookup!$C$2:$C$31,MATCH(I6,Macro_Lookup!$A$2:$A$31,0))="","",INDEX(Macro_Lookup!$C$2:$C$31,MATCH(I6,Macro_Lookup!$A$2:$A$31,0))),""))</f>
        <v>5.55</v>
      </c>
      <c r="CE6" s="4">
        <f>IF(BJ6="","",IFERROR(IF(INDEX(Macro_Lookup!$B$2:$B$31,MATCH(BJ6,Macro_Lookup!$A$2:$A$31,0))="","",INDEX(Macro_Lookup!$B$2:$B$31,MATCH(BJ6,Macro_Lookup!$A$2:$A$31,0))),""))</f>
        <v>6.94</v>
      </c>
      <c r="CF6" s="4">
        <f>IF(BJ6="","",IFERROR(IF(INDEX(Macro_Lookup!$C$2:$C$31,MATCH(BJ6,Macro_Lookup!$A$2:$A$31,0))="","",INDEX(Macro_Lookup!$C$2:$C$31,MATCH(BJ6,Macro_Lookup!$A$2:$A$31,0))),""))</f>
        <v>5.55</v>
      </c>
      <c r="CG6" s="4">
        <v>3</v>
      </c>
    </row>
    <row r="7" spans="1:85" x14ac:dyDescent="0.3">
      <c r="A7" s="4" t="s">
        <v>123</v>
      </c>
      <c r="B7" s="4" t="s">
        <v>124</v>
      </c>
      <c r="C7" s="4" t="s">
        <v>87</v>
      </c>
      <c r="D7" s="4" t="s">
        <v>88</v>
      </c>
      <c r="E7" s="4">
        <v>0</v>
      </c>
      <c r="F7" s="4" t="s">
        <v>89</v>
      </c>
      <c r="G7" s="4"/>
      <c r="H7" s="4"/>
      <c r="I7" s="5">
        <v>2016</v>
      </c>
      <c r="J7" s="4"/>
      <c r="K7" s="4" t="s">
        <v>90</v>
      </c>
      <c r="L7" s="6">
        <v>46295</v>
      </c>
      <c r="M7" s="4">
        <f t="shared" si="0"/>
        <v>128</v>
      </c>
      <c r="N7" s="4">
        <f t="shared" si="1"/>
        <v>10.67</v>
      </c>
      <c r="O7" s="4" t="s">
        <v>91</v>
      </c>
      <c r="P7" s="4" t="s">
        <v>92</v>
      </c>
      <c r="Q7" s="4" t="s">
        <v>125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 t="s">
        <v>99</v>
      </c>
      <c r="Y7" s="4">
        <v>3</v>
      </c>
      <c r="Z7" s="4">
        <v>1</v>
      </c>
      <c r="AA7" s="4"/>
      <c r="AB7" s="4"/>
      <c r="AC7" s="4"/>
      <c r="AD7" s="7"/>
      <c r="AE7" s="4"/>
      <c r="AF7" s="4">
        <f>IF(SUMIF(Founders_Clean!$A$2:$A$159,A7,Founders_Clean!$C$2:$C$159)=0,"",SUMIF(Founders_Clean!$A$2:$A$159,A7,Founders_Clean!$C$2:$C$159))</f>
        <v>2</v>
      </c>
      <c r="AG7" s="4">
        <f>IF(AF7="","",SUMIF(Founders_Clean!$A$2:$A$159,A7,Founders_Clean!$D$2:$D$159))</f>
        <v>1</v>
      </c>
      <c r="AH7" s="4">
        <f>IF(AF7="","",SUMIF(Founders_Clean!$A$2:$A$159,A7,Founders_Clean!$E$2:$E$159))</f>
        <v>1</v>
      </c>
      <c r="AI7" s="8">
        <f t="shared" si="2"/>
        <v>0.5</v>
      </c>
      <c r="AJ7" s="4">
        <f t="shared" si="3"/>
        <v>1</v>
      </c>
      <c r="AK7" s="8">
        <f t="shared" si="4"/>
        <v>0.5</v>
      </c>
      <c r="AL7" s="4"/>
      <c r="AM7" s="4">
        <v>2</v>
      </c>
      <c r="AN7" s="4" t="s">
        <v>96</v>
      </c>
      <c r="AO7" s="4">
        <v>1</v>
      </c>
      <c r="AP7" s="8">
        <v>1</v>
      </c>
      <c r="AQ7" s="4">
        <v>1</v>
      </c>
      <c r="AR7" s="4">
        <v>25</v>
      </c>
      <c r="AS7" s="4">
        <v>22.5</v>
      </c>
      <c r="AT7" s="7">
        <v>150</v>
      </c>
      <c r="AU7" s="4" t="s">
        <v>126</v>
      </c>
      <c r="AV7" s="4" t="s">
        <v>98</v>
      </c>
      <c r="AW7" s="4"/>
      <c r="AX7" s="4" t="s">
        <v>99</v>
      </c>
      <c r="AY7" s="4" t="s">
        <v>100</v>
      </c>
      <c r="AZ7" s="4"/>
      <c r="BA7" s="4">
        <v>0</v>
      </c>
      <c r="BB7" s="4">
        <v>0</v>
      </c>
      <c r="BC7" s="4">
        <v>0</v>
      </c>
      <c r="BD7" s="5"/>
      <c r="BE7" s="4"/>
      <c r="BF7" s="4">
        <f t="shared" si="5"/>
        <v>128</v>
      </c>
      <c r="BG7" s="4">
        <v>1</v>
      </c>
      <c r="BH7" s="7">
        <v>5000000</v>
      </c>
      <c r="BI7" s="4" t="s">
        <v>101</v>
      </c>
      <c r="BJ7" s="5">
        <v>2019</v>
      </c>
      <c r="BK7" s="4">
        <v>1</v>
      </c>
      <c r="BL7" s="4">
        <f>COUNTIFS(Investments_Clean!$A$2:$A$150,A7,Investments_Clean!$F$2:$F$150,"Accepted")</f>
        <v>1</v>
      </c>
      <c r="BM7" s="4">
        <f>IF(BL7=0,"",IF((COUNTIFS(Investments_Clean!$A$2:$A$150,A7,Investments_Clean!$D$2:$D$150,"VC/PE",Investments_Clean!$F$2:$F$150,"Accepted"))&gt;0,1,0))</f>
        <v>0</v>
      </c>
      <c r="BN7" s="4">
        <f>IF(BL7=0,"",IF((COUNTIFS(Investments_Clean!$A$2:$A$150,A7,Investments_Clean!$D$2:$D$150,"Angel",Investments_Clean!$F$2:$F$150,"Accepted"))&gt;0,1,0))</f>
        <v>0</v>
      </c>
      <c r="BO7" s="4">
        <f>IF(BL7=0,"",IF((COUNTIFS(Investments_Clean!$A$2:$A$150,A7,Investments_Clean!$D$2:$D$150,"Accelerator",Investments_Clean!$F$2:$F$150,"Accepted"))&gt;0,1,0))</f>
        <v>0</v>
      </c>
      <c r="BP7" s="4">
        <f>IF(BL7=0,"",IF((COUNTIFS(Investments_Clean!$A$2:$A$150,A7,Investments_Clean!$D$2:$D$150,"Corporate",Investments_Clean!$F$2:$F$150,"Accepted"))&gt;0,1,0))</f>
        <v>1</v>
      </c>
      <c r="BQ7" s="4">
        <f>IF(BL7=0,"",IF((COUNTIFS(Investments_Clean!$A$2:$A$150,A7,Investments_Clean!$D$2:$D$150,"Government",Investments_Clean!$F$2:$F$150,"Accepted"))&gt;0,1,0))</f>
        <v>0</v>
      </c>
      <c r="BR7" s="4">
        <f>IF(BL7=0,"",IF((COUNTIFS(Investments_Clean!$A$2:$A$150,A7,Investments_Clean!$D$2:$D$150,"Grant/Philanthropic",Investments_Clean!$F$2:$F$150,"Accepted")+COUNTIFS(Investments_Clean!$A$2:$A$150,A7,Investments_Clean!$D$2:$D$150,"DFI/Impact",Investments_Clean!$F$2:$F$150,"Accepted"))&gt;0,1,0))</f>
        <v>0</v>
      </c>
      <c r="BS7" s="4"/>
      <c r="BT7" s="4"/>
      <c r="BU7" s="4"/>
      <c r="BV7" s="7"/>
      <c r="BW7" s="4"/>
      <c r="BX7" s="4"/>
      <c r="BY7" s="7"/>
      <c r="BZ7" s="4"/>
      <c r="CA7" s="4">
        <v>0</v>
      </c>
      <c r="CB7" s="4"/>
      <c r="CC7" s="4">
        <f>IF(I7="","",IFERROR(IF(INDEX(Macro_Lookup!$B$2:$B$31,MATCH(I7,Macro_Lookup!$A$2:$A$31,0))="","",INDEX(Macro_Lookup!$B$2:$B$31,MATCH(I7,Macro_Lookup!$A$2:$A$31,0))),""))</f>
        <v>7.11</v>
      </c>
      <c r="CD7" s="4">
        <f>IF(I7="","",IFERROR(IF(INDEX(Macro_Lookup!$C$2:$C$31,MATCH(I7,Macro_Lookup!$A$2:$A$31,0))="","",INDEX(Macro_Lookup!$C$2:$C$31,MATCH(I7,Macro_Lookup!$A$2:$A$31,0))),""))</f>
        <v>5.51</v>
      </c>
      <c r="CE7" s="4">
        <f>IF(BJ7="","",IFERROR(IF(INDEX(Macro_Lookup!$B$2:$B$31,MATCH(BJ7,Macro_Lookup!$A$2:$A$31,0))="","",INDEX(Macro_Lookup!$B$2:$B$31,MATCH(BJ7,Macro_Lookup!$A$2:$A$31,0))),""))</f>
        <v>7.88</v>
      </c>
      <c r="CF7" s="4">
        <f>IF(BJ7="","",IFERROR(IF(INDEX(Macro_Lookup!$C$2:$C$31,MATCH(BJ7,Macro_Lookup!$A$2:$A$31,0))="","",INDEX(Macro_Lookup!$C$2:$C$31,MATCH(BJ7,Macro_Lookup!$A$2:$A$31,0))),""))</f>
        <v>5.5</v>
      </c>
      <c r="CG7" s="4">
        <v>3</v>
      </c>
    </row>
    <row r="8" spans="1:85" x14ac:dyDescent="0.3">
      <c r="A8" s="4" t="s">
        <v>127</v>
      </c>
      <c r="B8" s="4" t="s">
        <v>128</v>
      </c>
      <c r="C8" s="4" t="s">
        <v>87</v>
      </c>
      <c r="D8" s="4" t="s">
        <v>88</v>
      </c>
      <c r="E8" s="4">
        <v>0</v>
      </c>
      <c r="F8" s="4" t="s">
        <v>89</v>
      </c>
      <c r="G8" s="4"/>
      <c r="H8" s="4"/>
      <c r="I8" s="5">
        <v>2012</v>
      </c>
      <c r="J8" s="4">
        <v>11</v>
      </c>
      <c r="K8" s="4" t="s">
        <v>129</v>
      </c>
      <c r="L8" s="6">
        <v>46295</v>
      </c>
      <c r="M8" s="4">
        <f t="shared" si="0"/>
        <v>166</v>
      </c>
      <c r="N8" s="4">
        <f t="shared" si="1"/>
        <v>13.83</v>
      </c>
      <c r="O8" s="4" t="s">
        <v>91</v>
      </c>
      <c r="P8" s="4" t="s">
        <v>92</v>
      </c>
      <c r="Q8" s="4" t="s">
        <v>130</v>
      </c>
      <c r="R8" s="4">
        <v>1</v>
      </c>
      <c r="S8" s="4">
        <v>1</v>
      </c>
      <c r="T8" s="4">
        <v>1</v>
      </c>
      <c r="U8" s="4">
        <v>0</v>
      </c>
      <c r="V8" s="4">
        <v>0</v>
      </c>
      <c r="W8" s="4">
        <v>1</v>
      </c>
      <c r="X8" s="4" t="s">
        <v>131</v>
      </c>
      <c r="Y8" s="4">
        <v>3</v>
      </c>
      <c r="Z8" s="4">
        <v>1</v>
      </c>
      <c r="AA8" s="4"/>
      <c r="AB8" s="4"/>
      <c r="AC8" s="4">
        <v>0</v>
      </c>
      <c r="AD8" s="7">
        <v>0</v>
      </c>
      <c r="AE8" s="4" t="s">
        <v>95</v>
      </c>
      <c r="AF8" s="4">
        <f>IF(SUMIF(Founders_Clean!$A$2:$A$159,A8,Founders_Clean!$C$2:$C$159)=0,"",SUMIF(Founders_Clean!$A$2:$A$159,A8,Founders_Clean!$C$2:$C$159))</f>
        <v>2</v>
      </c>
      <c r="AG8" s="4">
        <f>IF(AF8="","",SUMIF(Founders_Clean!$A$2:$A$159,A8,Founders_Clean!$D$2:$D$159))</f>
        <v>1</v>
      </c>
      <c r="AH8" s="4">
        <f>IF(AF8="","",SUMIF(Founders_Clean!$A$2:$A$159,A8,Founders_Clean!$E$2:$E$159))</f>
        <v>0</v>
      </c>
      <c r="AI8" s="8">
        <f t="shared" si="2"/>
        <v>0</v>
      </c>
      <c r="AJ8" s="4">
        <f t="shared" si="3"/>
        <v>0</v>
      </c>
      <c r="AK8" s="8">
        <f t="shared" si="4"/>
        <v>0</v>
      </c>
      <c r="AL8" s="4"/>
      <c r="AM8" s="4">
        <v>0</v>
      </c>
      <c r="AN8" s="4" t="s">
        <v>132</v>
      </c>
      <c r="AO8" s="4">
        <v>0</v>
      </c>
      <c r="AP8" s="8">
        <v>0</v>
      </c>
      <c r="AQ8" s="4">
        <v>1</v>
      </c>
      <c r="AR8" s="4">
        <v>15</v>
      </c>
      <c r="AS8" s="4">
        <v>15</v>
      </c>
      <c r="AT8" s="7">
        <v>200</v>
      </c>
      <c r="AU8" s="4" t="s">
        <v>126</v>
      </c>
      <c r="AV8" s="4" t="s">
        <v>118</v>
      </c>
      <c r="AW8" s="4" t="s">
        <v>133</v>
      </c>
      <c r="AX8" s="4" t="s">
        <v>134</v>
      </c>
      <c r="AY8" s="4" t="s">
        <v>100</v>
      </c>
      <c r="AZ8" s="4"/>
      <c r="BA8" s="4">
        <v>1</v>
      </c>
      <c r="BB8" s="4">
        <v>0</v>
      </c>
      <c r="BC8" s="4">
        <v>0</v>
      </c>
      <c r="BD8" s="5"/>
      <c r="BE8" s="4"/>
      <c r="BF8" s="4">
        <f t="shared" si="5"/>
        <v>166</v>
      </c>
      <c r="BG8" s="4"/>
      <c r="BH8" s="7"/>
      <c r="BI8" s="4"/>
      <c r="BJ8" s="5"/>
      <c r="BK8" s="4"/>
      <c r="BL8" s="4">
        <f>COUNTIFS(Investments_Clean!$A$2:$A$150,A8,Investments_Clean!$F$2:$F$150,"Accepted")</f>
        <v>0</v>
      </c>
      <c r="BM8" s="4" t="str">
        <f>IF(BL8=0,"",IF((COUNTIFS(Investments_Clean!$A$2:$A$150,A8,Investments_Clean!$D$2:$D$150,"VC/PE",Investments_Clean!$F$2:$F$150,"Accepted"))&gt;0,1,0))</f>
        <v/>
      </c>
      <c r="BN8" s="4" t="str">
        <f>IF(BL8=0,"",IF((COUNTIFS(Investments_Clean!$A$2:$A$150,A8,Investments_Clean!$D$2:$D$150,"Angel",Investments_Clean!$F$2:$F$150,"Accepted"))&gt;0,1,0))</f>
        <v/>
      </c>
      <c r="BO8" s="4" t="str">
        <f>IF(BL8=0,"",IF((COUNTIFS(Investments_Clean!$A$2:$A$150,A8,Investments_Clean!$D$2:$D$150,"Accelerator",Investments_Clean!$F$2:$F$150,"Accepted"))&gt;0,1,0))</f>
        <v/>
      </c>
      <c r="BP8" s="4" t="str">
        <f>IF(BL8=0,"",IF((COUNTIFS(Investments_Clean!$A$2:$A$150,A8,Investments_Clean!$D$2:$D$150,"Corporate",Investments_Clean!$F$2:$F$150,"Accepted"))&gt;0,1,0))</f>
        <v/>
      </c>
      <c r="BQ8" s="4" t="str">
        <f>IF(BL8=0,"",IF((COUNTIFS(Investments_Clean!$A$2:$A$150,A8,Investments_Clean!$D$2:$D$150,"Government",Investments_Clean!$F$2:$F$150,"Accepted"))&gt;0,1,0))</f>
        <v/>
      </c>
      <c r="BR8" s="4" t="str">
        <f>IF(BL8=0,"",IF((COUNTIFS(Investments_Clean!$A$2:$A$150,A8,Investments_Clean!$D$2:$D$150,"Grant/Philanthropic",Investments_Clean!$F$2:$F$150,"Accepted")+COUNTIFS(Investments_Clean!$A$2:$A$150,A8,Investments_Clean!$D$2:$D$150,"DFI/Impact",Investments_Clean!$F$2:$F$150,"Accepted"))&gt;0,1,0))</f>
        <v/>
      </c>
      <c r="BS8" s="4"/>
      <c r="BT8" s="4"/>
      <c r="BU8" s="4"/>
      <c r="BV8" s="7"/>
      <c r="BW8" s="4"/>
      <c r="BX8" s="4"/>
      <c r="BY8" s="7"/>
      <c r="BZ8" s="4"/>
      <c r="CA8" s="4">
        <v>0</v>
      </c>
      <c r="CB8" s="4"/>
      <c r="CC8" s="4">
        <f>IF(I8="","",IFERROR(IF(INDEX(Macro_Lookup!$B$2:$B$31,MATCH(I8,Macro_Lookup!$A$2:$A$31,0))="","",INDEX(Macro_Lookup!$B$2:$B$31,MATCH(I8,Macro_Lookup!$A$2:$A$31,0))),""))</f>
        <v>6.52</v>
      </c>
      <c r="CD8" s="4">
        <f>IF(I8="","",IFERROR(IF(INDEX(Macro_Lookup!$C$2:$C$31,MATCH(I8,Macro_Lookup!$A$2:$A$31,0))="","",INDEX(Macro_Lookup!$C$2:$C$31,MATCH(I8,Macro_Lookup!$A$2:$A$31,0))),""))</f>
        <v>6.22</v>
      </c>
      <c r="CE8" s="4" t="str">
        <f>IF(BJ8="","",IFERROR(IF(INDEX(Macro_Lookup!$B$2:$B$31,MATCH(BJ8,Macro_Lookup!$A$2:$A$31,0))="","",INDEX(Macro_Lookup!$B$2:$B$31,MATCH(BJ8,Macro_Lookup!$A$2:$A$31,0))),""))</f>
        <v/>
      </c>
      <c r="CF8" s="4" t="str">
        <f>IF(BJ8="","",IFERROR(IF(INDEX(Macro_Lookup!$C$2:$C$31,MATCH(BJ8,Macro_Lookup!$A$2:$A$31,0))="","",INDEX(Macro_Lookup!$C$2:$C$31,MATCH(BJ8,Macro_Lookup!$A$2:$A$31,0))),""))</f>
        <v/>
      </c>
      <c r="CG8" s="4">
        <v>4</v>
      </c>
    </row>
    <row r="9" spans="1:85" x14ac:dyDescent="0.3">
      <c r="A9" s="4" t="s">
        <v>121</v>
      </c>
      <c r="B9" s="4" t="s">
        <v>135</v>
      </c>
      <c r="C9" s="4" t="s">
        <v>87</v>
      </c>
      <c r="D9" s="4" t="s">
        <v>88</v>
      </c>
      <c r="E9" s="4">
        <v>0</v>
      </c>
      <c r="F9" s="4" t="s">
        <v>108</v>
      </c>
      <c r="G9" s="4" t="s">
        <v>119</v>
      </c>
      <c r="H9" s="4"/>
      <c r="I9" s="5">
        <v>2013</v>
      </c>
      <c r="J9" s="4"/>
      <c r="K9" s="4" t="s">
        <v>90</v>
      </c>
      <c r="L9" s="6">
        <v>46295</v>
      </c>
      <c r="M9" s="4">
        <f t="shared" si="0"/>
        <v>164</v>
      </c>
      <c r="N9" s="4">
        <f t="shared" si="1"/>
        <v>13.67</v>
      </c>
      <c r="O9" s="4" t="s">
        <v>91</v>
      </c>
      <c r="P9" s="4" t="s">
        <v>92</v>
      </c>
      <c r="Q9" s="4" t="s">
        <v>136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 t="s">
        <v>137</v>
      </c>
      <c r="Y9" s="4">
        <v>3</v>
      </c>
      <c r="Z9" s="4">
        <v>1</v>
      </c>
      <c r="AA9" s="4">
        <v>0</v>
      </c>
      <c r="AB9" s="4"/>
      <c r="AC9" s="4"/>
      <c r="AD9" s="7"/>
      <c r="AE9" s="4"/>
      <c r="AF9" s="4">
        <f>IF(SUMIF(Founders_Clean!$A$2:$A$159,A9,Founders_Clean!$C$2:$C$159)=0,"",SUMIF(Founders_Clean!$A$2:$A$159,A9,Founders_Clean!$C$2:$C$159))</f>
        <v>1</v>
      </c>
      <c r="AG9" s="4">
        <f>IF(AF9="","",SUMIF(Founders_Clean!$A$2:$A$159,A9,Founders_Clean!$D$2:$D$159))</f>
        <v>0</v>
      </c>
      <c r="AH9" s="4">
        <f>IF(AF9="","",SUMIF(Founders_Clean!$A$2:$A$159,A9,Founders_Clean!$E$2:$E$159))</f>
        <v>0</v>
      </c>
      <c r="AI9" s="8" t="str">
        <f t="shared" si="2"/>
        <v/>
      </c>
      <c r="AJ9" s="4" t="str">
        <f t="shared" si="3"/>
        <v/>
      </c>
      <c r="AK9" s="8" t="str">
        <f t="shared" si="4"/>
        <v/>
      </c>
      <c r="AL9" s="4"/>
      <c r="AM9" s="4"/>
      <c r="AN9" s="4"/>
      <c r="AO9" s="4"/>
      <c r="AP9" s="8"/>
      <c r="AQ9" s="4"/>
      <c r="AR9" s="4"/>
      <c r="AS9" s="4"/>
      <c r="AT9" s="7">
        <v>150</v>
      </c>
      <c r="AU9" s="4" t="s">
        <v>126</v>
      </c>
      <c r="AV9" s="4" t="s">
        <v>98</v>
      </c>
      <c r="AW9" s="4"/>
      <c r="AX9" s="4" t="s">
        <v>138</v>
      </c>
      <c r="AY9" s="4" t="s">
        <v>100</v>
      </c>
      <c r="AZ9" s="4" t="s">
        <v>139</v>
      </c>
      <c r="BA9" s="4">
        <v>0</v>
      </c>
      <c r="BB9" s="4">
        <v>0</v>
      </c>
      <c r="BC9" s="4">
        <v>1</v>
      </c>
      <c r="BD9" s="5">
        <v>2021</v>
      </c>
      <c r="BE9" s="4"/>
      <c r="BF9" s="4">
        <f t="shared" si="5"/>
        <v>102</v>
      </c>
      <c r="BG9" s="4">
        <v>0</v>
      </c>
      <c r="BH9" s="7">
        <v>0</v>
      </c>
      <c r="BI9" s="4" t="s">
        <v>112</v>
      </c>
      <c r="BJ9" s="5"/>
      <c r="BK9" s="4">
        <v>0</v>
      </c>
      <c r="BL9" s="4">
        <f>COUNTIFS(Investments_Clean!$A$2:$A$150,A9,Investments_Clean!$F$2:$F$150,"Accepted")</f>
        <v>1</v>
      </c>
      <c r="BM9" s="4">
        <f>IF(BL9=0,"",IF((COUNTIFS(Investments_Clean!$A$2:$A$150,A9,Investments_Clean!$D$2:$D$150,"VC/PE",Investments_Clean!$F$2:$F$150,"Accepted"))&gt;0,1,0))</f>
        <v>0</v>
      </c>
      <c r="BN9" s="4">
        <f>IF(BL9=0,"",IF((COUNTIFS(Investments_Clean!$A$2:$A$150,A9,Investments_Clean!$D$2:$D$150,"Angel",Investments_Clean!$F$2:$F$150,"Accepted"))&gt;0,1,0))</f>
        <v>0</v>
      </c>
      <c r="BO9" s="4">
        <f>IF(BL9=0,"",IF((COUNTIFS(Investments_Clean!$A$2:$A$150,A9,Investments_Clean!$D$2:$D$150,"Accelerator",Investments_Clean!$F$2:$F$150,"Accepted"))&gt;0,1,0))</f>
        <v>0</v>
      </c>
      <c r="BP9" s="4">
        <f>IF(BL9=0,"",IF((COUNTIFS(Investments_Clean!$A$2:$A$150,A9,Investments_Clean!$D$2:$D$150,"Corporate",Investments_Clean!$F$2:$F$150,"Accepted"))&gt;0,1,0))</f>
        <v>0</v>
      </c>
      <c r="BQ9" s="4">
        <f>IF(BL9=0,"",IF((COUNTIFS(Investments_Clean!$A$2:$A$150,A9,Investments_Clean!$D$2:$D$150,"Government",Investments_Clean!$F$2:$F$150,"Accepted"))&gt;0,1,0))</f>
        <v>0</v>
      </c>
      <c r="BR9" s="4">
        <f>IF(BL9=0,"",IF((COUNTIFS(Investments_Clean!$A$2:$A$150,A9,Investments_Clean!$D$2:$D$150,"Grant/Philanthropic",Investments_Clean!$F$2:$F$150,"Accepted")+COUNTIFS(Investments_Clean!$A$2:$A$150,A9,Investments_Clean!$D$2:$D$150,"DFI/Impact",Investments_Clean!$F$2:$F$150,"Accepted"))&gt;0,1,0))</f>
        <v>0</v>
      </c>
      <c r="BS9" s="4"/>
      <c r="BT9" s="4"/>
      <c r="BU9" s="4"/>
      <c r="BV9" s="7"/>
      <c r="BW9" s="4"/>
      <c r="BX9" s="4"/>
      <c r="BY9" s="7"/>
      <c r="BZ9" s="4"/>
      <c r="CA9" s="4">
        <v>0</v>
      </c>
      <c r="CB9" s="4"/>
      <c r="CC9" s="4">
        <f>IF(I9="","",IFERROR(IF(INDEX(Macro_Lookup!$B$2:$B$31,MATCH(I9,Macro_Lookup!$A$2:$A$31,0))="","",INDEX(Macro_Lookup!$B$2:$B$31,MATCH(I9,Macro_Lookup!$A$2:$A$31,0))),""))</f>
        <v>6.01</v>
      </c>
      <c r="CD9" s="4">
        <f>IF(I9="","",IFERROR(IF(INDEX(Macro_Lookup!$C$2:$C$31,MATCH(I9,Macro_Lookup!$A$2:$A$31,0))="","",INDEX(Macro_Lookup!$C$2:$C$31,MATCH(I9,Macro_Lookup!$A$2:$A$31,0))),""))</f>
        <v>7.53</v>
      </c>
      <c r="CE9" s="4" t="str">
        <f>IF(BJ9="","",IFERROR(IF(INDEX(Macro_Lookup!$B$2:$B$31,MATCH(BJ9,Macro_Lookup!$A$2:$A$31,0))="","",INDEX(Macro_Lookup!$B$2:$B$31,MATCH(BJ9,Macro_Lookup!$A$2:$A$31,0))),""))</f>
        <v/>
      </c>
      <c r="CF9" s="4" t="str">
        <f>IF(BJ9="","",IFERROR(IF(INDEX(Macro_Lookup!$C$2:$C$31,MATCH(BJ9,Macro_Lookup!$A$2:$A$31,0))="","",INDEX(Macro_Lookup!$C$2:$C$31,MATCH(BJ9,Macro_Lookup!$A$2:$A$31,0))),""))</f>
        <v/>
      </c>
      <c r="CG9" s="4">
        <v>3</v>
      </c>
    </row>
    <row r="10" spans="1:85" x14ac:dyDescent="0.3">
      <c r="A10" s="4" t="s">
        <v>140</v>
      </c>
      <c r="B10" s="4" t="s">
        <v>141</v>
      </c>
      <c r="C10" s="4" t="s">
        <v>87</v>
      </c>
      <c r="D10" s="4" t="s">
        <v>88</v>
      </c>
      <c r="E10" s="4">
        <v>0</v>
      </c>
      <c r="F10" s="4" t="s">
        <v>89</v>
      </c>
      <c r="G10" s="4"/>
      <c r="H10" s="4"/>
      <c r="I10" s="5">
        <v>2015</v>
      </c>
      <c r="J10" s="4"/>
      <c r="K10" s="4" t="s">
        <v>90</v>
      </c>
      <c r="L10" s="6">
        <v>46295</v>
      </c>
      <c r="M10" s="4">
        <f t="shared" si="0"/>
        <v>140</v>
      </c>
      <c r="N10" s="4">
        <f t="shared" si="1"/>
        <v>11.67</v>
      </c>
      <c r="O10" s="4" t="s">
        <v>91</v>
      </c>
      <c r="P10" s="4" t="s">
        <v>92</v>
      </c>
      <c r="Q10" s="4" t="s">
        <v>142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 t="s">
        <v>99</v>
      </c>
      <c r="Y10" s="4">
        <v>3</v>
      </c>
      <c r="Z10" s="4">
        <v>1</v>
      </c>
      <c r="AA10" s="4"/>
      <c r="AB10" s="4"/>
      <c r="AC10" s="4"/>
      <c r="AD10" s="7"/>
      <c r="AE10" s="4"/>
      <c r="AF10" s="4">
        <f>IF(SUMIF(Founders_Clean!$A$2:$A$159,A10,Founders_Clean!$C$2:$C$159)=0,"",SUMIF(Founders_Clean!$A$2:$A$159,A10,Founders_Clean!$C$2:$C$159))</f>
        <v>1</v>
      </c>
      <c r="AG10" s="4">
        <f>IF(AF10="","",SUMIF(Founders_Clean!$A$2:$A$159,A10,Founders_Clean!$D$2:$D$159))</f>
        <v>1</v>
      </c>
      <c r="AH10" s="4">
        <f>IF(AF10="","",SUMIF(Founders_Clean!$A$2:$A$159,A10,Founders_Clean!$E$2:$E$159))</f>
        <v>0</v>
      </c>
      <c r="AI10" s="8">
        <f t="shared" si="2"/>
        <v>0</v>
      </c>
      <c r="AJ10" s="4">
        <f t="shared" si="3"/>
        <v>0</v>
      </c>
      <c r="AK10" s="8">
        <f t="shared" si="4"/>
        <v>0</v>
      </c>
      <c r="AL10" s="4"/>
      <c r="AM10" s="4">
        <v>1</v>
      </c>
      <c r="AN10" s="4" t="s">
        <v>143</v>
      </c>
      <c r="AO10" s="4">
        <v>1</v>
      </c>
      <c r="AP10" s="8">
        <v>1</v>
      </c>
      <c r="AQ10" s="4">
        <v>1</v>
      </c>
      <c r="AR10" s="4">
        <v>10</v>
      </c>
      <c r="AS10" s="4">
        <v>10</v>
      </c>
      <c r="AT10" s="7">
        <v>100</v>
      </c>
      <c r="AU10" s="4" t="s">
        <v>126</v>
      </c>
      <c r="AV10" s="4" t="s">
        <v>98</v>
      </c>
      <c r="AW10" s="4"/>
      <c r="AX10" s="4" t="s">
        <v>99</v>
      </c>
      <c r="AY10" s="4" t="s">
        <v>100</v>
      </c>
      <c r="AZ10" s="4" t="s">
        <v>144</v>
      </c>
      <c r="BA10" s="4">
        <v>1</v>
      </c>
      <c r="BB10" s="4">
        <v>0</v>
      </c>
      <c r="BC10" s="4">
        <v>0</v>
      </c>
      <c r="BD10" s="5"/>
      <c r="BE10" s="4"/>
      <c r="BF10" s="4">
        <f t="shared" si="5"/>
        <v>140</v>
      </c>
      <c r="BG10" s="4">
        <v>1</v>
      </c>
      <c r="BH10" s="7">
        <v>1100000</v>
      </c>
      <c r="BI10" s="4" t="s">
        <v>145</v>
      </c>
      <c r="BJ10" s="5">
        <v>2026</v>
      </c>
      <c r="BK10" s="4">
        <v>1</v>
      </c>
      <c r="BL10" s="4">
        <f>COUNTIFS(Investments_Clean!$A$2:$A$150,A10,Investments_Clean!$F$2:$F$150,"Accepted")</f>
        <v>2</v>
      </c>
      <c r="BM10" s="4">
        <f>IF(BL10=0,"",IF((COUNTIFS(Investments_Clean!$A$2:$A$150,A10,Investments_Clean!$D$2:$D$150,"VC/PE",Investments_Clean!$F$2:$F$150,"Accepted"))&gt;0,1,0))</f>
        <v>0</v>
      </c>
      <c r="BN10" s="4">
        <f>IF(BL10=0,"",IF((COUNTIFS(Investments_Clean!$A$2:$A$150,A10,Investments_Clean!$D$2:$D$150,"Angel",Investments_Clean!$F$2:$F$150,"Accepted"))&gt;0,1,0))</f>
        <v>1</v>
      </c>
      <c r="BO10" s="4">
        <f>IF(BL10=0,"",IF((COUNTIFS(Investments_Clean!$A$2:$A$150,A10,Investments_Clean!$D$2:$D$150,"Accelerator",Investments_Clean!$F$2:$F$150,"Accepted"))&gt;0,1,0))</f>
        <v>0</v>
      </c>
      <c r="BP10" s="4">
        <f>IF(BL10=0,"",IF((COUNTIFS(Investments_Clean!$A$2:$A$150,A10,Investments_Clean!$D$2:$D$150,"Corporate",Investments_Clean!$F$2:$F$150,"Accepted"))&gt;0,1,0))</f>
        <v>1</v>
      </c>
      <c r="BQ10" s="4">
        <f>IF(BL10=0,"",IF((COUNTIFS(Investments_Clean!$A$2:$A$150,A10,Investments_Clean!$D$2:$D$150,"Government",Investments_Clean!$F$2:$F$150,"Accepted"))&gt;0,1,0))</f>
        <v>0</v>
      </c>
      <c r="BR10" s="4">
        <f>IF(BL10=0,"",IF((COUNTIFS(Investments_Clean!$A$2:$A$150,A10,Investments_Clean!$D$2:$D$150,"Grant/Philanthropic",Investments_Clean!$F$2:$F$150,"Accepted")+COUNTIFS(Investments_Clean!$A$2:$A$150,A10,Investments_Clean!$D$2:$D$150,"DFI/Impact",Investments_Clean!$F$2:$F$150,"Accepted"))&gt;0,1,0))</f>
        <v>0</v>
      </c>
      <c r="BS10" s="4"/>
      <c r="BT10" s="4"/>
      <c r="BU10" s="4"/>
      <c r="BV10" s="7"/>
      <c r="BW10" s="4"/>
      <c r="BX10" s="4"/>
      <c r="BY10" s="7"/>
      <c r="BZ10" s="4"/>
      <c r="CA10" s="4">
        <v>0</v>
      </c>
      <c r="CB10" s="4"/>
      <c r="CC10" s="4">
        <f>IF(I10="","",IFERROR(IF(INDEX(Macro_Lookup!$B$2:$B$31,MATCH(I10,Macro_Lookup!$A$2:$A$31,0))="","",INDEX(Macro_Lookup!$B$2:$B$31,MATCH(I10,Macro_Lookup!$A$2:$A$31,0))),""))</f>
        <v>6.55</v>
      </c>
      <c r="CD10" s="4">
        <f>IF(I10="","",IFERROR(IF(INDEX(Macro_Lookup!$C$2:$C$31,MATCH(I10,Macro_Lookup!$A$2:$A$31,0))="","",INDEX(Macro_Lookup!$C$2:$C$31,MATCH(I10,Macro_Lookup!$A$2:$A$31,0))),""))</f>
        <v>6.4</v>
      </c>
      <c r="CE10" s="4" t="str">
        <f>IF(BJ10="","",IFERROR(IF(INDEX(Macro_Lookup!$B$2:$B$31,MATCH(BJ10,Macro_Lookup!$A$2:$A$31,0))="","",INDEX(Macro_Lookup!$B$2:$B$31,MATCH(BJ10,Macro_Lookup!$A$2:$A$31,0))),""))</f>
        <v/>
      </c>
      <c r="CF10" s="4">
        <f>IF(BJ10="","",IFERROR(IF(INDEX(Macro_Lookup!$C$2:$C$31,MATCH(BJ10,Macro_Lookup!$A$2:$A$31,0))="","",INDEX(Macro_Lookup!$C$2:$C$31,MATCH(BJ10,Macro_Lookup!$A$2:$A$31,0))),""))</f>
        <v>9.16</v>
      </c>
      <c r="CG10" s="4">
        <v>3</v>
      </c>
    </row>
    <row r="11" spans="1:85" x14ac:dyDescent="0.3">
      <c r="A11" s="4" t="s">
        <v>146</v>
      </c>
      <c r="B11" s="4" t="s">
        <v>147</v>
      </c>
      <c r="C11" s="4" t="s">
        <v>87</v>
      </c>
      <c r="D11" s="4" t="s">
        <v>88</v>
      </c>
      <c r="E11" s="4">
        <v>0</v>
      </c>
      <c r="F11" s="4" t="s">
        <v>89</v>
      </c>
      <c r="G11" s="4"/>
      <c r="H11" s="4"/>
      <c r="I11" s="5">
        <v>2010</v>
      </c>
      <c r="J11" s="4"/>
      <c r="K11" s="4" t="s">
        <v>90</v>
      </c>
      <c r="L11" s="6">
        <v>46295</v>
      </c>
      <c r="M11" s="4">
        <f t="shared" si="0"/>
        <v>200</v>
      </c>
      <c r="N11" s="4">
        <f t="shared" si="1"/>
        <v>16.670000000000002</v>
      </c>
      <c r="O11" s="4" t="s">
        <v>91</v>
      </c>
      <c r="P11" s="4" t="s">
        <v>92</v>
      </c>
      <c r="Q11" s="4" t="s">
        <v>142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 t="s">
        <v>99</v>
      </c>
      <c r="Y11" s="4">
        <v>3</v>
      </c>
      <c r="Z11" s="4">
        <v>1</v>
      </c>
      <c r="AA11" s="4"/>
      <c r="AB11" s="4"/>
      <c r="AC11" s="4"/>
      <c r="AD11" s="7"/>
      <c r="AE11" s="4"/>
      <c r="AF11" s="4">
        <f>IF(SUMIF(Founders_Clean!$A$2:$A$159,A11,Founders_Clean!$C$2:$C$159)=0,"",SUMIF(Founders_Clean!$A$2:$A$159,A11,Founders_Clean!$C$2:$C$159))</f>
        <v>1</v>
      </c>
      <c r="AG11" s="4">
        <f>IF(AF11="","",SUMIF(Founders_Clean!$A$2:$A$159,A11,Founders_Clean!$D$2:$D$159))</f>
        <v>1</v>
      </c>
      <c r="AH11" s="4">
        <f>IF(AF11="","",SUMIF(Founders_Clean!$A$2:$A$159,A11,Founders_Clean!$E$2:$E$159))</f>
        <v>0</v>
      </c>
      <c r="AI11" s="8">
        <f t="shared" si="2"/>
        <v>0</v>
      </c>
      <c r="AJ11" s="4">
        <f t="shared" si="3"/>
        <v>0</v>
      </c>
      <c r="AK11" s="8">
        <f t="shared" si="4"/>
        <v>0</v>
      </c>
      <c r="AL11" s="4"/>
      <c r="AM11" s="4">
        <v>2</v>
      </c>
      <c r="AN11" s="4" t="s">
        <v>96</v>
      </c>
      <c r="AO11" s="4">
        <v>1</v>
      </c>
      <c r="AP11" s="8">
        <v>1</v>
      </c>
      <c r="AQ11" s="4">
        <v>1</v>
      </c>
      <c r="AR11" s="4">
        <v>25</v>
      </c>
      <c r="AS11" s="4">
        <v>25</v>
      </c>
      <c r="AT11" s="7">
        <v>275</v>
      </c>
      <c r="AU11" s="4" t="s">
        <v>117</v>
      </c>
      <c r="AV11" s="4" t="s">
        <v>98</v>
      </c>
      <c r="AW11" s="4"/>
      <c r="AX11" s="4" t="s">
        <v>99</v>
      </c>
      <c r="AY11" s="4" t="s">
        <v>100</v>
      </c>
      <c r="AZ11" s="4"/>
      <c r="BA11" s="4">
        <v>0</v>
      </c>
      <c r="BB11" s="4">
        <v>0</v>
      </c>
      <c r="BC11" s="4">
        <v>0</v>
      </c>
      <c r="BD11" s="5"/>
      <c r="BE11" s="4"/>
      <c r="BF11" s="4">
        <f t="shared" si="5"/>
        <v>200</v>
      </c>
      <c r="BG11" s="4">
        <v>0</v>
      </c>
      <c r="BH11" s="7">
        <v>0</v>
      </c>
      <c r="BI11" s="4" t="s">
        <v>112</v>
      </c>
      <c r="BJ11" s="5"/>
      <c r="BK11" s="4">
        <v>0</v>
      </c>
      <c r="BL11" s="4">
        <f>COUNTIFS(Investments_Clean!$A$2:$A$150,A11,Investments_Clean!$F$2:$F$150,"Accepted")</f>
        <v>0</v>
      </c>
      <c r="BM11" s="4" t="str">
        <f>IF(BL11=0,"",IF((COUNTIFS(Investments_Clean!$A$2:$A$150,A11,Investments_Clean!$D$2:$D$150,"VC/PE",Investments_Clean!$F$2:$F$150,"Accepted"))&gt;0,1,0))</f>
        <v/>
      </c>
      <c r="BN11" s="4" t="str">
        <f>IF(BL11=0,"",IF((COUNTIFS(Investments_Clean!$A$2:$A$150,A11,Investments_Clean!$D$2:$D$150,"Angel",Investments_Clean!$F$2:$F$150,"Accepted"))&gt;0,1,0))</f>
        <v/>
      </c>
      <c r="BO11" s="4" t="str">
        <f>IF(BL11=0,"",IF((COUNTIFS(Investments_Clean!$A$2:$A$150,A11,Investments_Clean!$D$2:$D$150,"Accelerator",Investments_Clean!$F$2:$F$150,"Accepted"))&gt;0,1,0))</f>
        <v/>
      </c>
      <c r="BP11" s="4" t="str">
        <f>IF(BL11=0,"",IF((COUNTIFS(Investments_Clean!$A$2:$A$150,A11,Investments_Clean!$D$2:$D$150,"Corporate",Investments_Clean!$F$2:$F$150,"Accepted"))&gt;0,1,0))</f>
        <v/>
      </c>
      <c r="BQ11" s="4" t="str">
        <f>IF(BL11=0,"",IF((COUNTIFS(Investments_Clean!$A$2:$A$150,A11,Investments_Clean!$D$2:$D$150,"Government",Investments_Clean!$F$2:$F$150,"Accepted"))&gt;0,1,0))</f>
        <v/>
      </c>
      <c r="BR11" s="4" t="str">
        <f>IF(BL11=0,"",IF((COUNTIFS(Investments_Clean!$A$2:$A$150,A11,Investments_Clean!$D$2:$D$150,"Grant/Philanthropic",Investments_Clean!$F$2:$F$150,"Accepted")+COUNTIFS(Investments_Clean!$A$2:$A$150,A11,Investments_Clean!$D$2:$D$150,"DFI/Impact",Investments_Clean!$F$2:$F$150,"Accepted"))&gt;0,1,0))</f>
        <v/>
      </c>
      <c r="BS11" s="4"/>
      <c r="BT11" s="4"/>
      <c r="BU11" s="4"/>
      <c r="BV11" s="7"/>
      <c r="BW11" s="4"/>
      <c r="BX11" s="4"/>
      <c r="BY11" s="7"/>
      <c r="BZ11" s="4"/>
      <c r="CA11" s="4">
        <v>0</v>
      </c>
      <c r="CB11" s="4"/>
      <c r="CC11" s="4">
        <f>IF(I11="","",IFERROR(IF(INDEX(Macro_Lookup!$B$2:$B$31,MATCH(I11,Macro_Lookup!$A$2:$A$31,0))="","",INDEX(Macro_Lookup!$B$2:$B$31,MATCH(I11,Macro_Lookup!$A$2:$A$31,0))),""))</f>
        <v>5.57</v>
      </c>
      <c r="CD11" s="4">
        <f>IF(I11="","",IFERROR(IF(INDEX(Macro_Lookup!$C$2:$C$31,MATCH(I11,Macro_Lookup!$A$2:$A$31,0))="","",INDEX(Macro_Lookup!$C$2:$C$31,MATCH(I11,Macro_Lookup!$A$2:$A$31,0))),""))</f>
        <v>7.3</v>
      </c>
      <c r="CE11" s="4" t="str">
        <f>IF(BJ11="","",IFERROR(IF(INDEX(Macro_Lookup!$B$2:$B$31,MATCH(BJ11,Macro_Lookup!$A$2:$A$31,0))="","",INDEX(Macro_Lookup!$B$2:$B$31,MATCH(BJ11,Macro_Lookup!$A$2:$A$31,0))),""))</f>
        <v/>
      </c>
      <c r="CF11" s="4" t="str">
        <f>IF(BJ11="","",IFERROR(IF(INDEX(Macro_Lookup!$C$2:$C$31,MATCH(BJ11,Macro_Lookup!$A$2:$A$31,0))="","",INDEX(Macro_Lookup!$C$2:$C$31,MATCH(BJ11,Macro_Lookup!$A$2:$A$31,0))),""))</f>
        <v/>
      </c>
      <c r="CG11" s="4">
        <v>3</v>
      </c>
    </row>
    <row r="12" spans="1:85" x14ac:dyDescent="0.3">
      <c r="A12" s="4" t="s">
        <v>148</v>
      </c>
      <c r="B12" s="4" t="s">
        <v>149</v>
      </c>
      <c r="C12" s="4" t="s">
        <v>87</v>
      </c>
      <c r="D12" s="4" t="s">
        <v>88</v>
      </c>
      <c r="E12" s="4">
        <v>0</v>
      </c>
      <c r="F12" s="4" t="s">
        <v>89</v>
      </c>
      <c r="G12" s="4"/>
      <c r="H12" s="4"/>
      <c r="I12" s="5"/>
      <c r="J12" s="4"/>
      <c r="K12" s="4" t="s">
        <v>105</v>
      </c>
      <c r="L12" s="6">
        <v>46295</v>
      </c>
      <c r="M12" s="4" t="str">
        <f t="shared" si="0"/>
        <v/>
      </c>
      <c r="N12" s="4" t="str">
        <f t="shared" si="1"/>
        <v/>
      </c>
      <c r="O12" s="4" t="s">
        <v>91</v>
      </c>
      <c r="P12" s="4" t="s">
        <v>92</v>
      </c>
      <c r="Q12" s="4" t="s">
        <v>150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1</v>
      </c>
      <c r="X12" s="4" t="s">
        <v>99</v>
      </c>
      <c r="Y12" s="4">
        <v>3</v>
      </c>
      <c r="Z12" s="4">
        <v>1</v>
      </c>
      <c r="AA12" s="4">
        <v>0</v>
      </c>
      <c r="AB12" s="4"/>
      <c r="AC12" s="4"/>
      <c r="AD12" s="7"/>
      <c r="AE12" s="4"/>
      <c r="AF12" s="4">
        <f>IF(SUMIF(Founders_Clean!$A$2:$A$159,A12,Founders_Clean!$C$2:$C$159)=0,"",SUMIF(Founders_Clean!$A$2:$A$159,A12,Founders_Clean!$C$2:$C$159))</f>
        <v>1</v>
      </c>
      <c r="AG12" s="4">
        <f>IF(AF12="","",SUMIF(Founders_Clean!$A$2:$A$159,A12,Founders_Clean!$D$2:$D$159))</f>
        <v>1</v>
      </c>
      <c r="AH12" s="4">
        <f>IF(AF12="","",SUMIF(Founders_Clean!$A$2:$A$159,A12,Founders_Clean!$E$2:$E$159))</f>
        <v>0</v>
      </c>
      <c r="AI12" s="8">
        <f t="shared" si="2"/>
        <v>0</v>
      </c>
      <c r="AJ12" s="4">
        <f t="shared" si="3"/>
        <v>0</v>
      </c>
      <c r="AK12" s="8">
        <f t="shared" si="4"/>
        <v>0</v>
      </c>
      <c r="AL12" s="4"/>
      <c r="AM12" s="4"/>
      <c r="AN12" s="4"/>
      <c r="AO12" s="4"/>
      <c r="AP12" s="8"/>
      <c r="AQ12" s="4">
        <v>1</v>
      </c>
      <c r="AR12" s="4">
        <v>17</v>
      </c>
      <c r="AS12" s="4">
        <v>17</v>
      </c>
      <c r="AT12" s="7">
        <v>5.5</v>
      </c>
      <c r="AU12" s="4" t="s">
        <v>151</v>
      </c>
      <c r="AV12" s="4" t="s">
        <v>118</v>
      </c>
      <c r="AW12" s="4"/>
      <c r="AX12" s="4" t="s">
        <v>99</v>
      </c>
      <c r="AY12" s="4" t="s">
        <v>100</v>
      </c>
      <c r="AZ12" s="4"/>
      <c r="BA12" s="4">
        <v>0</v>
      </c>
      <c r="BB12" s="4">
        <v>0</v>
      </c>
      <c r="BC12" s="4">
        <v>0</v>
      </c>
      <c r="BD12" s="5"/>
      <c r="BE12" s="4"/>
      <c r="BF12" s="4" t="str">
        <f t="shared" si="5"/>
        <v/>
      </c>
      <c r="BG12" s="4">
        <v>1</v>
      </c>
      <c r="BH12" s="7">
        <v>37100</v>
      </c>
      <c r="BI12" s="4" t="s">
        <v>101</v>
      </c>
      <c r="BJ12" s="5">
        <v>2020</v>
      </c>
      <c r="BK12" s="4">
        <v>1</v>
      </c>
      <c r="BL12" s="4">
        <f>COUNTIFS(Investments_Clean!$A$2:$A$150,A12,Investments_Clean!$F$2:$F$150,"Accepted")</f>
        <v>1</v>
      </c>
      <c r="BM12" s="4">
        <f>IF(BL12=0,"",IF((COUNTIFS(Investments_Clean!$A$2:$A$150,A12,Investments_Clean!$D$2:$D$150,"VC/PE",Investments_Clean!$F$2:$F$150,"Accepted"))&gt;0,1,0))</f>
        <v>0</v>
      </c>
      <c r="BN12" s="4">
        <f>IF(BL12=0,"",IF((COUNTIFS(Investments_Clean!$A$2:$A$150,A12,Investments_Clean!$D$2:$D$150,"Angel",Investments_Clean!$F$2:$F$150,"Accepted"))&gt;0,1,0))</f>
        <v>0</v>
      </c>
      <c r="BO12" s="4">
        <f>IF(BL12=0,"",IF((COUNTIFS(Investments_Clean!$A$2:$A$150,A12,Investments_Clean!$D$2:$D$150,"Accelerator",Investments_Clean!$F$2:$F$150,"Accepted"))&gt;0,1,0))</f>
        <v>1</v>
      </c>
      <c r="BP12" s="4">
        <f>IF(BL12=0,"",IF((COUNTIFS(Investments_Clean!$A$2:$A$150,A12,Investments_Clean!$D$2:$D$150,"Corporate",Investments_Clean!$F$2:$F$150,"Accepted"))&gt;0,1,0))</f>
        <v>0</v>
      </c>
      <c r="BQ12" s="4">
        <f>IF(BL12=0,"",IF((COUNTIFS(Investments_Clean!$A$2:$A$150,A12,Investments_Clean!$D$2:$D$150,"Government",Investments_Clean!$F$2:$F$150,"Accepted"))&gt;0,1,0))</f>
        <v>0</v>
      </c>
      <c r="BR12" s="4">
        <f>IF(BL12=0,"",IF((COUNTIFS(Investments_Clean!$A$2:$A$150,A12,Investments_Clean!$D$2:$D$150,"Grant/Philanthropic",Investments_Clean!$F$2:$F$150,"Accepted")+COUNTIFS(Investments_Clean!$A$2:$A$150,A12,Investments_Clean!$D$2:$D$150,"DFI/Impact",Investments_Clean!$F$2:$F$150,"Accepted"))&gt;0,1,0))</f>
        <v>0</v>
      </c>
      <c r="BS12" s="4"/>
      <c r="BT12" s="4"/>
      <c r="BU12" s="4"/>
      <c r="BV12" s="7"/>
      <c r="BW12" s="4"/>
      <c r="BX12" s="4"/>
      <c r="BY12" s="7"/>
      <c r="BZ12" s="4"/>
      <c r="CA12" s="4">
        <v>0</v>
      </c>
      <c r="CB12" s="4"/>
      <c r="CC12" s="4" t="str">
        <f>IF(I12="","",IFERROR(IF(INDEX(Macro_Lookup!$B$2:$B$31,MATCH(I12,Macro_Lookup!$A$2:$A$31,0))="","",INDEX(Macro_Lookup!$B$2:$B$31,MATCH(I12,Macro_Lookup!$A$2:$A$31,0))),""))</f>
        <v/>
      </c>
      <c r="CD12" s="4" t="str">
        <f>IF(I12="","",IFERROR(IF(INDEX(Macro_Lookup!$C$2:$C$31,MATCH(I12,Macro_Lookup!$A$2:$A$31,0))="","",INDEX(Macro_Lookup!$C$2:$C$31,MATCH(I12,Macro_Lookup!$A$2:$A$31,0))),""))</f>
        <v/>
      </c>
      <c r="CE12" s="4">
        <f>IF(BJ12="","",IFERROR(IF(INDEX(Macro_Lookup!$B$2:$B$31,MATCH(BJ12,Macro_Lookup!$A$2:$A$31,0))="","",INDEX(Macro_Lookup!$B$2:$B$31,MATCH(BJ12,Macro_Lookup!$A$2:$A$31,0))),""))</f>
        <v>3.45</v>
      </c>
      <c r="CF12" s="4">
        <f>IF(BJ12="","",IFERROR(IF(INDEX(Macro_Lookup!$C$2:$C$31,MATCH(BJ12,Macro_Lookup!$A$2:$A$31,0))="","",INDEX(Macro_Lookup!$C$2:$C$31,MATCH(BJ12,Macro_Lookup!$A$2:$A$31,0))),""))</f>
        <v>5.69</v>
      </c>
      <c r="CG12" s="4">
        <v>4</v>
      </c>
    </row>
    <row r="13" spans="1:85" x14ac:dyDescent="0.3">
      <c r="A13" s="4" t="s">
        <v>152</v>
      </c>
      <c r="B13" s="4" t="s">
        <v>153</v>
      </c>
      <c r="C13" s="4" t="s">
        <v>87</v>
      </c>
      <c r="D13" s="4" t="s">
        <v>88</v>
      </c>
      <c r="E13" s="4">
        <v>0</v>
      </c>
      <c r="F13" s="4" t="s">
        <v>89</v>
      </c>
      <c r="G13" s="4"/>
      <c r="H13" s="4"/>
      <c r="I13" s="5">
        <v>2022</v>
      </c>
      <c r="J13" s="4">
        <v>8</v>
      </c>
      <c r="K13" s="4" t="s">
        <v>129</v>
      </c>
      <c r="L13" s="6">
        <v>46295</v>
      </c>
      <c r="M13" s="4">
        <f t="shared" si="0"/>
        <v>49</v>
      </c>
      <c r="N13" s="4">
        <f t="shared" si="1"/>
        <v>4.08</v>
      </c>
      <c r="O13" s="4" t="s">
        <v>154</v>
      </c>
      <c r="P13" s="4" t="s">
        <v>92</v>
      </c>
      <c r="Q13" s="4" t="s">
        <v>155</v>
      </c>
      <c r="R13" s="4">
        <v>0</v>
      </c>
      <c r="S13" s="4">
        <v>0</v>
      </c>
      <c r="T13" s="4">
        <v>1</v>
      </c>
      <c r="U13" s="4">
        <v>0</v>
      </c>
      <c r="V13" s="4">
        <v>0</v>
      </c>
      <c r="W13" s="4">
        <v>0</v>
      </c>
      <c r="X13" s="4" t="s">
        <v>156</v>
      </c>
      <c r="Y13" s="4">
        <v>3</v>
      </c>
      <c r="Z13" s="4">
        <v>1</v>
      </c>
      <c r="AA13" s="4">
        <v>0</v>
      </c>
      <c r="AB13" s="4"/>
      <c r="AC13" s="4">
        <v>0</v>
      </c>
      <c r="AD13" s="7">
        <v>0</v>
      </c>
      <c r="AE13" s="4" t="s">
        <v>95</v>
      </c>
      <c r="AF13" s="4">
        <f>IF(SUMIF(Founders_Clean!$A$2:$A$159,A13,Founders_Clean!$C$2:$C$159)=0,"",SUMIF(Founders_Clean!$A$2:$A$159,A13,Founders_Clean!$C$2:$C$159))</f>
        <v>3</v>
      </c>
      <c r="AG13" s="4">
        <f>IF(AF13="","",SUMIF(Founders_Clean!$A$2:$A$159,A13,Founders_Clean!$D$2:$D$159))</f>
        <v>3</v>
      </c>
      <c r="AH13" s="4">
        <f>IF(AF13="","",SUMIF(Founders_Clean!$A$2:$A$159,A13,Founders_Clean!$E$2:$E$159))</f>
        <v>0</v>
      </c>
      <c r="AI13" s="8">
        <f t="shared" si="2"/>
        <v>0</v>
      </c>
      <c r="AJ13" s="4">
        <f t="shared" si="3"/>
        <v>0</v>
      </c>
      <c r="AK13" s="8">
        <f t="shared" si="4"/>
        <v>0</v>
      </c>
      <c r="AL13" s="4"/>
      <c r="AM13" s="4">
        <v>3</v>
      </c>
      <c r="AN13" s="4" t="s">
        <v>116</v>
      </c>
      <c r="AO13" s="4">
        <v>0</v>
      </c>
      <c r="AP13" s="8">
        <v>0</v>
      </c>
      <c r="AQ13" s="4">
        <v>1</v>
      </c>
      <c r="AR13" s="4">
        <v>20</v>
      </c>
      <c r="AS13" s="4">
        <v>20</v>
      </c>
      <c r="AT13" s="7">
        <v>30.5</v>
      </c>
      <c r="AU13" s="4" t="s">
        <v>157</v>
      </c>
      <c r="AV13" s="4" t="s">
        <v>118</v>
      </c>
      <c r="AW13" s="4"/>
      <c r="AX13" s="4" t="s">
        <v>99</v>
      </c>
      <c r="AY13" s="4" t="s">
        <v>100</v>
      </c>
      <c r="AZ13" s="4"/>
      <c r="BA13" s="4">
        <v>0</v>
      </c>
      <c r="BB13" s="4">
        <v>0</v>
      </c>
      <c r="BC13" s="4">
        <v>0</v>
      </c>
      <c r="BD13" s="5"/>
      <c r="BE13" s="4"/>
      <c r="BF13" s="4">
        <f t="shared" si="5"/>
        <v>49</v>
      </c>
      <c r="BG13" s="4"/>
      <c r="BH13" s="7"/>
      <c r="BI13" s="4"/>
      <c r="BJ13" s="5"/>
      <c r="BK13" s="4"/>
      <c r="BL13" s="4">
        <f>COUNTIFS(Investments_Clean!$A$2:$A$150,A13,Investments_Clean!$F$2:$F$150,"Accepted")</f>
        <v>0</v>
      </c>
      <c r="BM13" s="4" t="str">
        <f>IF(BL13=0,"",IF((COUNTIFS(Investments_Clean!$A$2:$A$150,A13,Investments_Clean!$D$2:$D$150,"VC/PE",Investments_Clean!$F$2:$F$150,"Accepted"))&gt;0,1,0))</f>
        <v/>
      </c>
      <c r="BN13" s="4" t="str">
        <f>IF(BL13=0,"",IF((COUNTIFS(Investments_Clean!$A$2:$A$150,A13,Investments_Clean!$D$2:$D$150,"Angel",Investments_Clean!$F$2:$F$150,"Accepted"))&gt;0,1,0))</f>
        <v/>
      </c>
      <c r="BO13" s="4" t="str">
        <f>IF(BL13=0,"",IF((COUNTIFS(Investments_Clean!$A$2:$A$150,A13,Investments_Clean!$D$2:$D$150,"Accelerator",Investments_Clean!$F$2:$F$150,"Accepted"))&gt;0,1,0))</f>
        <v/>
      </c>
      <c r="BP13" s="4" t="str">
        <f>IF(BL13=0,"",IF((COUNTIFS(Investments_Clean!$A$2:$A$150,A13,Investments_Clean!$D$2:$D$150,"Corporate",Investments_Clean!$F$2:$F$150,"Accepted"))&gt;0,1,0))</f>
        <v/>
      </c>
      <c r="BQ13" s="4" t="str">
        <f>IF(BL13=0,"",IF((COUNTIFS(Investments_Clean!$A$2:$A$150,A13,Investments_Clean!$D$2:$D$150,"Government",Investments_Clean!$F$2:$F$150,"Accepted"))&gt;0,1,0))</f>
        <v/>
      </c>
      <c r="BR13" s="4" t="str">
        <f>IF(BL13=0,"",IF((COUNTIFS(Investments_Clean!$A$2:$A$150,A13,Investments_Clean!$D$2:$D$150,"Grant/Philanthropic",Investments_Clean!$F$2:$F$150,"Accepted")+COUNTIFS(Investments_Clean!$A$2:$A$150,A13,Investments_Clean!$D$2:$D$150,"DFI/Impact",Investments_Clean!$F$2:$F$150,"Accepted"))&gt;0,1,0))</f>
        <v/>
      </c>
      <c r="BS13" s="4"/>
      <c r="BT13" s="4"/>
      <c r="BU13" s="4"/>
      <c r="BV13" s="7"/>
      <c r="BW13" s="4"/>
      <c r="BX13" s="4"/>
      <c r="BY13" s="7"/>
      <c r="BZ13" s="4"/>
      <c r="CA13" s="4">
        <v>0</v>
      </c>
      <c r="CB13" s="4"/>
      <c r="CC13" s="4">
        <f>IF(I13="","",IFERROR(IF(INDEX(Macro_Lookup!$B$2:$B$31,MATCH(I13,Macro_Lookup!$A$2:$A$31,0))="","",INDEX(Macro_Lookup!$B$2:$B$31,MATCH(I13,Macro_Lookup!$A$2:$A$31,0))),""))</f>
        <v>7.1</v>
      </c>
      <c r="CD13" s="4">
        <f>IF(I13="","",IFERROR(IF(INDEX(Macro_Lookup!$C$2:$C$31,MATCH(I13,Macro_Lookup!$A$2:$A$31,0))="","",INDEX(Macro_Lookup!$C$2:$C$31,MATCH(I13,Macro_Lookup!$A$2:$A$31,0))),""))</f>
        <v>7.7</v>
      </c>
      <c r="CE13" s="4" t="str">
        <f>IF(BJ13="","",IFERROR(IF(INDEX(Macro_Lookup!$B$2:$B$31,MATCH(BJ13,Macro_Lookup!$A$2:$A$31,0))="","",INDEX(Macro_Lookup!$B$2:$B$31,MATCH(BJ13,Macro_Lookup!$A$2:$A$31,0))),""))</f>
        <v/>
      </c>
      <c r="CF13" s="4" t="str">
        <f>IF(BJ13="","",IFERROR(IF(INDEX(Macro_Lookup!$C$2:$C$31,MATCH(BJ13,Macro_Lookup!$A$2:$A$31,0))="","",INDEX(Macro_Lookup!$C$2:$C$31,MATCH(BJ13,Macro_Lookup!$A$2:$A$31,0))),""))</f>
        <v/>
      </c>
      <c r="CG13" s="4">
        <v>3</v>
      </c>
    </row>
    <row r="14" spans="1:85" x14ac:dyDescent="0.3">
      <c r="A14" s="4" t="s">
        <v>158</v>
      </c>
      <c r="B14" s="4" t="s">
        <v>159</v>
      </c>
      <c r="C14" s="4" t="s">
        <v>87</v>
      </c>
      <c r="D14" s="4" t="s">
        <v>88</v>
      </c>
      <c r="E14" s="4">
        <v>0</v>
      </c>
      <c r="F14" s="4" t="s">
        <v>89</v>
      </c>
      <c r="G14" s="4"/>
      <c r="H14" s="4"/>
      <c r="I14" s="5">
        <v>2013</v>
      </c>
      <c r="J14" s="4">
        <v>9</v>
      </c>
      <c r="K14" s="4" t="s">
        <v>129</v>
      </c>
      <c r="L14" s="6">
        <v>46295</v>
      </c>
      <c r="M14" s="4">
        <f t="shared" si="0"/>
        <v>156</v>
      </c>
      <c r="N14" s="4">
        <f t="shared" si="1"/>
        <v>13</v>
      </c>
      <c r="O14" s="4" t="s">
        <v>160</v>
      </c>
      <c r="P14" s="4" t="s">
        <v>161</v>
      </c>
      <c r="Q14" s="4" t="s">
        <v>162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 t="s">
        <v>99</v>
      </c>
      <c r="Y14" s="4">
        <v>3</v>
      </c>
      <c r="Z14" s="4">
        <v>1</v>
      </c>
      <c r="AA14" s="4">
        <v>1</v>
      </c>
      <c r="AB14" s="4" t="s">
        <v>163</v>
      </c>
      <c r="AC14" s="4"/>
      <c r="AD14" s="7"/>
      <c r="AE14" s="4"/>
      <c r="AF14" s="4">
        <f>IF(SUMIF(Founders_Clean!$A$2:$A$159,A14,Founders_Clean!$C$2:$C$159)=0,"",SUMIF(Founders_Clean!$A$2:$A$159,A14,Founders_Clean!$C$2:$C$159))</f>
        <v>3</v>
      </c>
      <c r="AG14" s="4">
        <f>IF(AF14="","",SUMIF(Founders_Clean!$A$2:$A$159,A14,Founders_Clean!$D$2:$D$159))</f>
        <v>3</v>
      </c>
      <c r="AH14" s="4">
        <f>IF(AF14="","",SUMIF(Founders_Clean!$A$2:$A$159,A14,Founders_Clean!$E$2:$E$159))</f>
        <v>0</v>
      </c>
      <c r="AI14" s="8">
        <f t="shared" si="2"/>
        <v>0</v>
      </c>
      <c r="AJ14" s="4">
        <f t="shared" si="3"/>
        <v>0</v>
      </c>
      <c r="AK14" s="8">
        <f t="shared" si="4"/>
        <v>0</v>
      </c>
      <c r="AL14" s="4"/>
      <c r="AM14" s="4">
        <v>2</v>
      </c>
      <c r="AN14" s="4" t="s">
        <v>96</v>
      </c>
      <c r="AO14" s="4">
        <v>1</v>
      </c>
      <c r="AP14" s="8">
        <v>0.33333333333333298</v>
      </c>
      <c r="AQ14" s="4">
        <v>1</v>
      </c>
      <c r="AR14" s="4">
        <v>10</v>
      </c>
      <c r="AS14" s="4">
        <v>10</v>
      </c>
      <c r="AT14" s="7">
        <v>1549.5</v>
      </c>
      <c r="AU14" s="4" t="s">
        <v>97</v>
      </c>
      <c r="AV14" s="4" t="s">
        <v>118</v>
      </c>
      <c r="AW14" s="4"/>
      <c r="AX14" s="4" t="s">
        <v>99</v>
      </c>
      <c r="AY14" s="4" t="s">
        <v>100</v>
      </c>
      <c r="AZ14" s="4"/>
      <c r="BA14" s="4">
        <v>0</v>
      </c>
      <c r="BB14" s="4">
        <v>0</v>
      </c>
      <c r="BC14" s="4">
        <v>0</v>
      </c>
      <c r="BD14" s="5"/>
      <c r="BE14" s="4"/>
      <c r="BF14" s="4">
        <f t="shared" si="5"/>
        <v>156</v>
      </c>
      <c r="BG14" s="4">
        <v>1</v>
      </c>
      <c r="BH14" s="7">
        <v>30000000</v>
      </c>
      <c r="BI14" s="4" t="s">
        <v>145</v>
      </c>
      <c r="BJ14" s="5">
        <v>2024</v>
      </c>
      <c r="BK14" s="4">
        <v>1</v>
      </c>
      <c r="BL14" s="4">
        <f>COUNTIFS(Investments_Clean!$A$2:$A$150,A14,Investments_Clean!$F$2:$F$150,"Accepted")</f>
        <v>2</v>
      </c>
      <c r="BM14" s="4">
        <f>IF(BL14=0,"",IF((COUNTIFS(Investments_Clean!$A$2:$A$150,A14,Investments_Clean!$D$2:$D$150,"VC/PE",Investments_Clean!$F$2:$F$150,"Accepted"))&gt;0,1,0))</f>
        <v>1</v>
      </c>
      <c r="BN14" s="4">
        <f>IF(BL14=0,"",IF((COUNTIFS(Investments_Clean!$A$2:$A$150,A14,Investments_Clean!$D$2:$D$150,"Angel",Investments_Clean!$F$2:$F$150,"Accepted"))&gt;0,1,0))</f>
        <v>0</v>
      </c>
      <c r="BO14" s="4">
        <f>IF(BL14=0,"",IF((COUNTIFS(Investments_Clean!$A$2:$A$150,A14,Investments_Clean!$D$2:$D$150,"Accelerator",Investments_Clean!$F$2:$F$150,"Accepted"))&gt;0,1,0))</f>
        <v>0</v>
      </c>
      <c r="BP14" s="4">
        <f>IF(BL14=0,"",IF((COUNTIFS(Investments_Clean!$A$2:$A$150,A14,Investments_Clean!$D$2:$D$150,"Corporate",Investments_Clean!$F$2:$F$150,"Accepted"))&gt;0,1,0))</f>
        <v>0</v>
      </c>
      <c r="BQ14" s="4">
        <f>IF(BL14=0,"",IF((COUNTIFS(Investments_Clean!$A$2:$A$150,A14,Investments_Clean!$D$2:$D$150,"Government",Investments_Clean!$F$2:$F$150,"Accepted"))&gt;0,1,0))</f>
        <v>0</v>
      </c>
      <c r="BR14" s="4">
        <f>IF(BL14=0,"",IF((COUNTIFS(Investments_Clean!$A$2:$A$150,A14,Investments_Clean!$D$2:$D$150,"Grant/Philanthropic",Investments_Clean!$F$2:$F$150,"Accepted")+COUNTIFS(Investments_Clean!$A$2:$A$150,A14,Investments_Clean!$D$2:$D$150,"DFI/Impact",Investments_Clean!$F$2:$F$150,"Accepted"))&gt;0,1,0))</f>
        <v>0</v>
      </c>
      <c r="BS14" s="4"/>
      <c r="BT14" s="4"/>
      <c r="BU14" s="4"/>
      <c r="BV14" s="7"/>
      <c r="BW14" s="4"/>
      <c r="BX14" s="4"/>
      <c r="BY14" s="7"/>
      <c r="BZ14" s="4"/>
      <c r="CA14" s="4">
        <v>0</v>
      </c>
      <c r="CB14" s="4"/>
      <c r="CC14" s="4">
        <f>IF(I14="","",IFERROR(IF(INDEX(Macro_Lookup!$B$2:$B$31,MATCH(I14,Macro_Lookup!$A$2:$A$31,0))="","",INDEX(Macro_Lookup!$B$2:$B$31,MATCH(I14,Macro_Lookup!$A$2:$A$31,0))),""))</f>
        <v>6.01</v>
      </c>
      <c r="CD14" s="4">
        <f>IF(I14="","",IFERROR(IF(INDEX(Macro_Lookup!$C$2:$C$31,MATCH(I14,Macro_Lookup!$A$2:$A$31,0))="","",INDEX(Macro_Lookup!$C$2:$C$31,MATCH(I14,Macro_Lookup!$A$2:$A$31,0))),""))</f>
        <v>7.53</v>
      </c>
      <c r="CE14" s="4">
        <f>IF(BJ14="","",IFERROR(IF(INDEX(Macro_Lookup!$B$2:$B$31,MATCH(BJ14,Macro_Lookup!$A$2:$A$31,0))="","",INDEX(Macro_Lookup!$B$2:$B$31,MATCH(BJ14,Macro_Lookup!$A$2:$A$31,0))),""))</f>
        <v>4.22</v>
      </c>
      <c r="CF14" s="4">
        <f>IF(BJ14="","",IFERROR(IF(INDEX(Macro_Lookup!$C$2:$C$31,MATCH(BJ14,Macro_Lookup!$A$2:$A$31,0))="","",INDEX(Macro_Lookup!$C$2:$C$31,MATCH(BJ14,Macro_Lookup!$A$2:$A$31,0))),""))</f>
        <v>9.6999999999999993</v>
      </c>
      <c r="CG14" s="4">
        <v>2</v>
      </c>
    </row>
    <row r="15" spans="1:85" x14ac:dyDescent="0.3">
      <c r="A15" s="4" t="s">
        <v>164</v>
      </c>
      <c r="B15" s="4" t="s">
        <v>165</v>
      </c>
      <c r="C15" s="4" t="s">
        <v>87</v>
      </c>
      <c r="D15" s="4" t="s">
        <v>88</v>
      </c>
      <c r="E15" s="4">
        <v>0</v>
      </c>
      <c r="F15" s="4" t="s">
        <v>166</v>
      </c>
      <c r="G15" s="4"/>
      <c r="H15" s="4"/>
      <c r="I15" s="5">
        <v>2012</v>
      </c>
      <c r="J15" s="4"/>
      <c r="K15" s="4" t="s">
        <v>90</v>
      </c>
      <c r="L15" s="6">
        <v>46295</v>
      </c>
      <c r="M15" s="4">
        <f t="shared" si="0"/>
        <v>176</v>
      </c>
      <c r="N15" s="4">
        <f t="shared" si="1"/>
        <v>14.67</v>
      </c>
      <c r="O15" s="4" t="s">
        <v>167</v>
      </c>
      <c r="P15" s="4" t="s">
        <v>161</v>
      </c>
      <c r="Q15" s="4" t="s">
        <v>168</v>
      </c>
      <c r="R15" s="4">
        <v>0</v>
      </c>
      <c r="S15" s="4">
        <v>0</v>
      </c>
      <c r="T15" s="4">
        <v>1</v>
      </c>
      <c r="U15" s="4">
        <v>0</v>
      </c>
      <c r="V15" s="4">
        <v>0</v>
      </c>
      <c r="W15" s="4">
        <v>0</v>
      </c>
      <c r="X15" s="4" t="s">
        <v>99</v>
      </c>
      <c r="Y15" s="4">
        <v>3</v>
      </c>
      <c r="Z15" s="4">
        <v>1</v>
      </c>
      <c r="AA15" s="4">
        <v>0</v>
      </c>
      <c r="AB15" s="4"/>
      <c r="AC15" s="4"/>
      <c r="AD15" s="7"/>
      <c r="AE15" s="4"/>
      <c r="AF15" s="4">
        <f>IF(SUMIF(Founders_Clean!$A$2:$A$159,A15,Founders_Clean!$C$2:$C$159)=0,"",SUMIF(Founders_Clean!$A$2:$A$159,A15,Founders_Clean!$C$2:$C$159))</f>
        <v>2</v>
      </c>
      <c r="AG15" s="4">
        <f>IF(AF15="","",SUMIF(Founders_Clean!$A$2:$A$159,A15,Founders_Clean!$D$2:$D$159))</f>
        <v>0</v>
      </c>
      <c r="AH15" s="4">
        <f>IF(AF15="","",SUMIF(Founders_Clean!$A$2:$A$159,A15,Founders_Clean!$E$2:$E$159))</f>
        <v>0</v>
      </c>
      <c r="AI15" s="8" t="str">
        <f t="shared" si="2"/>
        <v/>
      </c>
      <c r="AJ15" s="4" t="str">
        <f t="shared" si="3"/>
        <v/>
      </c>
      <c r="AK15" s="8" t="str">
        <f t="shared" si="4"/>
        <v/>
      </c>
      <c r="AL15" s="4"/>
      <c r="AM15" s="4"/>
      <c r="AN15" s="4"/>
      <c r="AO15" s="4"/>
      <c r="AP15" s="8"/>
      <c r="AQ15" s="4"/>
      <c r="AR15" s="4"/>
      <c r="AS15" s="4"/>
      <c r="AT15" s="7">
        <v>1000</v>
      </c>
      <c r="AU15" s="4" t="s">
        <v>97</v>
      </c>
      <c r="AV15" s="4" t="s">
        <v>98</v>
      </c>
      <c r="AW15" s="4"/>
      <c r="AX15" s="4" t="s">
        <v>99</v>
      </c>
      <c r="AY15" s="4" t="s">
        <v>100</v>
      </c>
      <c r="AZ15" s="4"/>
      <c r="BA15" s="4">
        <v>1</v>
      </c>
      <c r="BB15" s="4">
        <v>0</v>
      </c>
      <c r="BC15" s="4">
        <v>0</v>
      </c>
      <c r="BD15" s="5"/>
      <c r="BE15" s="4"/>
      <c r="BF15" s="4">
        <f t="shared" si="5"/>
        <v>176</v>
      </c>
      <c r="BG15" s="4"/>
      <c r="BH15" s="7"/>
      <c r="BI15" s="4"/>
      <c r="BJ15" s="5"/>
      <c r="BK15" s="4">
        <v>1</v>
      </c>
      <c r="BL15" s="4">
        <f>COUNTIFS(Investments_Clean!$A$2:$A$150,A15,Investments_Clean!$F$2:$F$150,"Accepted")</f>
        <v>1</v>
      </c>
      <c r="BM15" s="4">
        <f>IF(BL15=0,"",IF((COUNTIFS(Investments_Clean!$A$2:$A$150,A15,Investments_Clean!$D$2:$D$150,"VC/PE",Investments_Clean!$F$2:$F$150,"Accepted"))&gt;0,1,0))</f>
        <v>0</v>
      </c>
      <c r="BN15" s="4">
        <f>IF(BL15=0,"",IF((COUNTIFS(Investments_Clean!$A$2:$A$150,A15,Investments_Clean!$D$2:$D$150,"Angel",Investments_Clean!$F$2:$F$150,"Accepted"))&gt;0,1,0))</f>
        <v>0</v>
      </c>
      <c r="BO15" s="4">
        <f>IF(BL15=0,"",IF((COUNTIFS(Investments_Clean!$A$2:$A$150,A15,Investments_Clean!$D$2:$D$150,"Accelerator",Investments_Clean!$F$2:$F$150,"Accepted"))&gt;0,1,0))</f>
        <v>0</v>
      </c>
      <c r="BP15" s="4">
        <f>IF(BL15=0,"",IF((COUNTIFS(Investments_Clean!$A$2:$A$150,A15,Investments_Clean!$D$2:$D$150,"Corporate",Investments_Clean!$F$2:$F$150,"Accepted"))&gt;0,1,0))</f>
        <v>1</v>
      </c>
      <c r="BQ15" s="4">
        <f>IF(BL15=0,"",IF((COUNTIFS(Investments_Clean!$A$2:$A$150,A15,Investments_Clean!$D$2:$D$150,"Government",Investments_Clean!$F$2:$F$150,"Accepted"))&gt;0,1,0))</f>
        <v>0</v>
      </c>
      <c r="BR15" s="4">
        <f>IF(BL15=0,"",IF((COUNTIFS(Investments_Clean!$A$2:$A$150,A15,Investments_Clean!$D$2:$D$150,"Grant/Philanthropic",Investments_Clean!$F$2:$F$150,"Accepted")+COUNTIFS(Investments_Clean!$A$2:$A$150,A15,Investments_Clean!$D$2:$D$150,"DFI/Impact",Investments_Clean!$F$2:$F$150,"Accepted"))&gt;0,1,0))</f>
        <v>0</v>
      </c>
      <c r="BS15" s="4"/>
      <c r="BT15" s="4"/>
      <c r="BU15" s="4"/>
      <c r="BV15" s="7"/>
      <c r="BW15" s="4"/>
      <c r="BX15" s="4"/>
      <c r="BY15" s="7"/>
      <c r="BZ15" s="4"/>
      <c r="CA15" s="4">
        <v>0</v>
      </c>
      <c r="CB15" s="4"/>
      <c r="CC15" s="4">
        <f>IF(I15="","",IFERROR(IF(INDEX(Macro_Lookup!$B$2:$B$31,MATCH(I15,Macro_Lookup!$A$2:$A$31,0))="","",INDEX(Macro_Lookup!$B$2:$B$31,MATCH(I15,Macro_Lookup!$A$2:$A$31,0))),""))</f>
        <v>6.52</v>
      </c>
      <c r="CD15" s="4">
        <f>IF(I15="","",IFERROR(IF(INDEX(Macro_Lookup!$C$2:$C$31,MATCH(I15,Macro_Lookup!$A$2:$A$31,0))="","",INDEX(Macro_Lookup!$C$2:$C$31,MATCH(I15,Macro_Lookup!$A$2:$A$31,0))),""))</f>
        <v>6.22</v>
      </c>
      <c r="CE15" s="4" t="str">
        <f>IF(BJ15="","",IFERROR(IF(INDEX(Macro_Lookup!$B$2:$B$31,MATCH(BJ15,Macro_Lookup!$A$2:$A$31,0))="","",INDEX(Macro_Lookup!$B$2:$B$31,MATCH(BJ15,Macro_Lookup!$A$2:$A$31,0))),""))</f>
        <v/>
      </c>
      <c r="CF15" s="4" t="str">
        <f>IF(BJ15="","",IFERROR(IF(INDEX(Macro_Lookup!$C$2:$C$31,MATCH(BJ15,Macro_Lookup!$A$2:$A$31,0))="","",INDEX(Macro_Lookup!$C$2:$C$31,MATCH(BJ15,Macro_Lookup!$A$2:$A$31,0))),""))</f>
        <v/>
      </c>
      <c r="CG15" s="4">
        <v>4</v>
      </c>
    </row>
    <row r="16" spans="1:85" x14ac:dyDescent="0.3">
      <c r="A16" s="4" t="s">
        <v>169</v>
      </c>
      <c r="B16" s="4" t="s">
        <v>170</v>
      </c>
      <c r="C16" s="4" t="s">
        <v>87</v>
      </c>
      <c r="D16" s="4" t="s">
        <v>88</v>
      </c>
      <c r="E16" s="4">
        <v>0</v>
      </c>
      <c r="F16" s="4" t="s">
        <v>89</v>
      </c>
      <c r="G16" s="4"/>
      <c r="H16" s="4"/>
      <c r="I16" s="5">
        <v>2011</v>
      </c>
      <c r="J16" s="4"/>
      <c r="K16" s="4" t="s">
        <v>90</v>
      </c>
      <c r="L16" s="6">
        <v>46295</v>
      </c>
      <c r="M16" s="4">
        <f t="shared" si="0"/>
        <v>188</v>
      </c>
      <c r="N16" s="4">
        <f t="shared" si="1"/>
        <v>15.67</v>
      </c>
      <c r="O16" s="4" t="s">
        <v>167</v>
      </c>
      <c r="P16" s="4" t="s">
        <v>161</v>
      </c>
      <c r="Q16" s="4" t="s">
        <v>171</v>
      </c>
      <c r="R16" s="4">
        <v>0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 t="s">
        <v>99</v>
      </c>
      <c r="Y16" s="4">
        <v>3</v>
      </c>
      <c r="Z16" s="4">
        <v>1</v>
      </c>
      <c r="AA16" s="4"/>
      <c r="AB16" s="4"/>
      <c r="AC16" s="4"/>
      <c r="AD16" s="7"/>
      <c r="AE16" s="4"/>
      <c r="AF16" s="4">
        <f>IF(SUMIF(Founders_Clean!$A$2:$A$159,A16,Founders_Clean!$C$2:$C$159)=0,"",SUMIF(Founders_Clean!$A$2:$A$159,A16,Founders_Clean!$C$2:$C$159))</f>
        <v>1</v>
      </c>
      <c r="AG16" s="4">
        <f>IF(AF16="","",SUMIF(Founders_Clean!$A$2:$A$159,A16,Founders_Clean!$D$2:$D$159))</f>
        <v>1</v>
      </c>
      <c r="AH16" s="4">
        <f>IF(AF16="","",SUMIF(Founders_Clean!$A$2:$A$159,A16,Founders_Clean!$E$2:$E$159))</f>
        <v>0</v>
      </c>
      <c r="AI16" s="8">
        <f t="shared" si="2"/>
        <v>0</v>
      </c>
      <c r="AJ16" s="4">
        <f t="shared" si="3"/>
        <v>0</v>
      </c>
      <c r="AK16" s="8">
        <f t="shared" si="4"/>
        <v>0</v>
      </c>
      <c r="AL16" s="4"/>
      <c r="AM16" s="4">
        <v>2</v>
      </c>
      <c r="AN16" s="4" t="s">
        <v>96</v>
      </c>
      <c r="AO16" s="4">
        <v>0</v>
      </c>
      <c r="AP16" s="8">
        <v>0</v>
      </c>
      <c r="AQ16" s="4">
        <v>1</v>
      </c>
      <c r="AR16" s="4">
        <v>25</v>
      </c>
      <c r="AS16" s="4">
        <v>25</v>
      </c>
      <c r="AT16" s="7">
        <v>75</v>
      </c>
      <c r="AU16" s="4" t="s">
        <v>126</v>
      </c>
      <c r="AV16" s="4" t="s">
        <v>98</v>
      </c>
      <c r="AW16" s="4"/>
      <c r="AX16" s="4" t="s">
        <v>99</v>
      </c>
      <c r="AY16" s="4" t="s">
        <v>100</v>
      </c>
      <c r="AZ16" s="4"/>
      <c r="BA16" s="4">
        <v>0</v>
      </c>
      <c r="BB16" s="4">
        <v>0</v>
      </c>
      <c r="BC16" s="4">
        <v>0</v>
      </c>
      <c r="BD16" s="5"/>
      <c r="BE16" s="4"/>
      <c r="BF16" s="4">
        <f t="shared" si="5"/>
        <v>188</v>
      </c>
      <c r="BG16" s="4"/>
      <c r="BH16" s="7"/>
      <c r="BI16" s="4"/>
      <c r="BJ16" s="5"/>
      <c r="BK16" s="4"/>
      <c r="BL16" s="4">
        <f>COUNTIFS(Investments_Clean!$A$2:$A$150,A16,Investments_Clean!$F$2:$F$150,"Accepted")</f>
        <v>0</v>
      </c>
      <c r="BM16" s="4" t="str">
        <f>IF(BL16=0,"",IF((COUNTIFS(Investments_Clean!$A$2:$A$150,A16,Investments_Clean!$D$2:$D$150,"VC/PE",Investments_Clean!$F$2:$F$150,"Accepted"))&gt;0,1,0))</f>
        <v/>
      </c>
      <c r="BN16" s="4" t="str">
        <f>IF(BL16=0,"",IF((COUNTIFS(Investments_Clean!$A$2:$A$150,A16,Investments_Clean!$D$2:$D$150,"Angel",Investments_Clean!$F$2:$F$150,"Accepted"))&gt;0,1,0))</f>
        <v/>
      </c>
      <c r="BO16" s="4" t="str">
        <f>IF(BL16=0,"",IF((COUNTIFS(Investments_Clean!$A$2:$A$150,A16,Investments_Clean!$D$2:$D$150,"Accelerator",Investments_Clean!$F$2:$F$150,"Accepted"))&gt;0,1,0))</f>
        <v/>
      </c>
      <c r="BP16" s="4" t="str">
        <f>IF(BL16=0,"",IF((COUNTIFS(Investments_Clean!$A$2:$A$150,A16,Investments_Clean!$D$2:$D$150,"Corporate",Investments_Clean!$F$2:$F$150,"Accepted"))&gt;0,1,0))</f>
        <v/>
      </c>
      <c r="BQ16" s="4" t="str">
        <f>IF(BL16=0,"",IF((COUNTIFS(Investments_Clean!$A$2:$A$150,A16,Investments_Clean!$D$2:$D$150,"Government",Investments_Clean!$F$2:$F$150,"Accepted"))&gt;0,1,0))</f>
        <v/>
      </c>
      <c r="BR16" s="4" t="str">
        <f>IF(BL16=0,"",IF((COUNTIFS(Investments_Clean!$A$2:$A$150,A16,Investments_Clean!$D$2:$D$150,"Grant/Philanthropic",Investments_Clean!$F$2:$F$150,"Accepted")+COUNTIFS(Investments_Clean!$A$2:$A$150,A16,Investments_Clean!$D$2:$D$150,"DFI/Impact",Investments_Clean!$F$2:$F$150,"Accepted"))&gt;0,1,0))</f>
        <v/>
      </c>
      <c r="BS16" s="4"/>
      <c r="BT16" s="4"/>
      <c r="BU16" s="4"/>
      <c r="BV16" s="7"/>
      <c r="BW16" s="4"/>
      <c r="BX16" s="4"/>
      <c r="BY16" s="7"/>
      <c r="BZ16" s="4"/>
      <c r="CA16" s="4">
        <v>0</v>
      </c>
      <c r="CB16" s="4"/>
      <c r="CC16" s="4">
        <f>IF(I16="","",IFERROR(IF(INDEX(Macro_Lookup!$B$2:$B$31,MATCH(I16,Macro_Lookup!$A$2:$A$31,0))="","",INDEX(Macro_Lookup!$B$2:$B$31,MATCH(I16,Macro_Lookup!$A$2:$A$31,0))),""))</f>
        <v>6.46</v>
      </c>
      <c r="CD16" s="4">
        <f>IF(I16="","",IFERROR(IF(INDEX(Macro_Lookup!$C$2:$C$31,MATCH(I16,Macro_Lookup!$A$2:$A$31,0))="","",INDEX(Macro_Lookup!$C$2:$C$31,MATCH(I16,Macro_Lookup!$A$2:$A$31,0))),""))</f>
        <v>11.4</v>
      </c>
      <c r="CE16" s="4" t="str">
        <f>IF(BJ16="","",IFERROR(IF(INDEX(Macro_Lookup!$B$2:$B$31,MATCH(BJ16,Macro_Lookup!$A$2:$A$31,0))="","",INDEX(Macro_Lookup!$B$2:$B$31,MATCH(BJ16,Macro_Lookup!$A$2:$A$31,0))),""))</f>
        <v/>
      </c>
      <c r="CF16" s="4" t="str">
        <f>IF(BJ16="","",IFERROR(IF(INDEX(Macro_Lookup!$C$2:$C$31,MATCH(BJ16,Macro_Lookup!$A$2:$A$31,0))="","",INDEX(Macro_Lookup!$C$2:$C$31,MATCH(BJ16,Macro_Lookup!$A$2:$A$31,0))),""))</f>
        <v/>
      </c>
      <c r="CG16" s="4">
        <v>5</v>
      </c>
    </row>
    <row r="17" spans="1:85" x14ac:dyDescent="0.3">
      <c r="A17" s="4" t="s">
        <v>172</v>
      </c>
      <c r="B17" s="4" t="s">
        <v>173</v>
      </c>
      <c r="C17" s="4" t="s">
        <v>87</v>
      </c>
      <c r="D17" s="4" t="s">
        <v>88</v>
      </c>
      <c r="E17" s="4">
        <v>0</v>
      </c>
      <c r="F17" s="4" t="s">
        <v>89</v>
      </c>
      <c r="G17" s="4"/>
      <c r="H17" s="4"/>
      <c r="I17" s="5">
        <v>2012</v>
      </c>
      <c r="J17" s="4"/>
      <c r="K17" s="4" t="s">
        <v>90</v>
      </c>
      <c r="L17" s="6">
        <v>46295</v>
      </c>
      <c r="M17" s="4">
        <f t="shared" si="0"/>
        <v>176</v>
      </c>
      <c r="N17" s="4">
        <f t="shared" si="1"/>
        <v>14.67</v>
      </c>
      <c r="O17" s="4" t="s">
        <v>174</v>
      </c>
      <c r="P17" s="4" t="s">
        <v>161</v>
      </c>
      <c r="Q17" s="4" t="s">
        <v>175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 t="s">
        <v>99</v>
      </c>
      <c r="Y17" s="4">
        <v>3</v>
      </c>
      <c r="Z17" s="4">
        <v>1</v>
      </c>
      <c r="AA17" s="4">
        <v>0</v>
      </c>
      <c r="AB17" s="4"/>
      <c r="AC17" s="4"/>
      <c r="AD17" s="7"/>
      <c r="AE17" s="4"/>
      <c r="AF17" s="4">
        <f>IF(SUMIF(Founders_Clean!$A$2:$A$159,A17,Founders_Clean!$C$2:$C$159)=0,"",SUMIF(Founders_Clean!$A$2:$A$159,A17,Founders_Clean!$C$2:$C$159))</f>
        <v>5</v>
      </c>
      <c r="AG17" s="4">
        <f>IF(AF17="","",SUMIF(Founders_Clean!$A$2:$A$159,A17,Founders_Clean!$D$2:$D$159))</f>
        <v>5</v>
      </c>
      <c r="AH17" s="4">
        <f>IF(AF17="","",SUMIF(Founders_Clean!$A$2:$A$159,A17,Founders_Clean!$E$2:$E$159))</f>
        <v>0</v>
      </c>
      <c r="AI17" s="8">
        <f t="shared" si="2"/>
        <v>0</v>
      </c>
      <c r="AJ17" s="4">
        <f t="shared" si="3"/>
        <v>0</v>
      </c>
      <c r="AK17" s="8">
        <f t="shared" si="4"/>
        <v>0</v>
      </c>
      <c r="AL17" s="4"/>
      <c r="AM17" s="4">
        <v>2</v>
      </c>
      <c r="AN17" s="4" t="s">
        <v>96</v>
      </c>
      <c r="AO17" s="4">
        <v>1</v>
      </c>
      <c r="AP17" s="8">
        <v>1</v>
      </c>
      <c r="AQ17" s="4">
        <v>1</v>
      </c>
      <c r="AR17" s="4">
        <v>10</v>
      </c>
      <c r="AS17" s="4">
        <v>10</v>
      </c>
      <c r="AT17" s="7">
        <v>150</v>
      </c>
      <c r="AU17" s="4" t="s">
        <v>126</v>
      </c>
      <c r="AV17" s="4" t="s">
        <v>118</v>
      </c>
      <c r="AW17" s="4"/>
      <c r="AX17" s="4" t="s">
        <v>99</v>
      </c>
      <c r="AY17" s="4" t="s">
        <v>100</v>
      </c>
      <c r="AZ17" s="4"/>
      <c r="BA17" s="4">
        <v>0</v>
      </c>
      <c r="BB17" s="4">
        <v>0</v>
      </c>
      <c r="BC17" s="4">
        <v>0</v>
      </c>
      <c r="BD17" s="5"/>
      <c r="BE17" s="4"/>
      <c r="BF17" s="4">
        <f t="shared" si="5"/>
        <v>176</v>
      </c>
      <c r="BG17" s="4">
        <v>0</v>
      </c>
      <c r="BH17" s="7">
        <v>0</v>
      </c>
      <c r="BI17" s="4" t="s">
        <v>112</v>
      </c>
      <c r="BJ17" s="5"/>
      <c r="BK17" s="4">
        <v>0</v>
      </c>
      <c r="BL17" s="4">
        <f>COUNTIFS(Investments_Clean!$A$2:$A$150,A17,Investments_Clean!$F$2:$F$150,"Accepted")</f>
        <v>0</v>
      </c>
      <c r="BM17" s="4" t="str">
        <f>IF(BL17=0,"",IF((COUNTIFS(Investments_Clean!$A$2:$A$150,A17,Investments_Clean!$D$2:$D$150,"VC/PE",Investments_Clean!$F$2:$F$150,"Accepted"))&gt;0,1,0))</f>
        <v/>
      </c>
      <c r="BN17" s="4" t="str">
        <f>IF(BL17=0,"",IF((COUNTIFS(Investments_Clean!$A$2:$A$150,A17,Investments_Clean!$D$2:$D$150,"Angel",Investments_Clean!$F$2:$F$150,"Accepted"))&gt;0,1,0))</f>
        <v/>
      </c>
      <c r="BO17" s="4" t="str">
        <f>IF(BL17=0,"",IF((COUNTIFS(Investments_Clean!$A$2:$A$150,A17,Investments_Clean!$D$2:$D$150,"Accelerator",Investments_Clean!$F$2:$F$150,"Accepted"))&gt;0,1,0))</f>
        <v/>
      </c>
      <c r="BP17" s="4" t="str">
        <f>IF(BL17=0,"",IF((COUNTIFS(Investments_Clean!$A$2:$A$150,A17,Investments_Clean!$D$2:$D$150,"Corporate",Investments_Clean!$F$2:$F$150,"Accepted"))&gt;0,1,0))</f>
        <v/>
      </c>
      <c r="BQ17" s="4" t="str">
        <f>IF(BL17=0,"",IF((COUNTIFS(Investments_Clean!$A$2:$A$150,A17,Investments_Clean!$D$2:$D$150,"Government",Investments_Clean!$F$2:$F$150,"Accepted"))&gt;0,1,0))</f>
        <v/>
      </c>
      <c r="BR17" s="4" t="str">
        <f>IF(BL17=0,"",IF((COUNTIFS(Investments_Clean!$A$2:$A$150,A17,Investments_Clean!$D$2:$D$150,"Grant/Philanthropic",Investments_Clean!$F$2:$F$150,"Accepted")+COUNTIFS(Investments_Clean!$A$2:$A$150,A17,Investments_Clean!$D$2:$D$150,"DFI/Impact",Investments_Clean!$F$2:$F$150,"Accepted"))&gt;0,1,0))</f>
        <v/>
      </c>
      <c r="BS17" s="4"/>
      <c r="BT17" s="4"/>
      <c r="BU17" s="4"/>
      <c r="BV17" s="7"/>
      <c r="BW17" s="4"/>
      <c r="BX17" s="4"/>
      <c r="BY17" s="7"/>
      <c r="BZ17" s="4"/>
      <c r="CA17" s="4">
        <v>0</v>
      </c>
      <c r="CB17" s="4"/>
      <c r="CC17" s="4">
        <f>IF(I17="","",IFERROR(IF(INDEX(Macro_Lookup!$B$2:$B$31,MATCH(I17,Macro_Lookup!$A$2:$A$31,0))="","",INDEX(Macro_Lookup!$B$2:$B$31,MATCH(I17,Macro_Lookup!$A$2:$A$31,0))),""))</f>
        <v>6.52</v>
      </c>
      <c r="CD17" s="4">
        <f>IF(I17="","",IFERROR(IF(INDEX(Macro_Lookup!$C$2:$C$31,MATCH(I17,Macro_Lookup!$A$2:$A$31,0))="","",INDEX(Macro_Lookup!$C$2:$C$31,MATCH(I17,Macro_Lookup!$A$2:$A$31,0))),""))</f>
        <v>6.22</v>
      </c>
      <c r="CE17" s="4" t="str">
        <f>IF(BJ17="","",IFERROR(IF(INDEX(Macro_Lookup!$B$2:$B$31,MATCH(BJ17,Macro_Lookup!$A$2:$A$31,0))="","",INDEX(Macro_Lookup!$B$2:$B$31,MATCH(BJ17,Macro_Lookup!$A$2:$A$31,0))),""))</f>
        <v/>
      </c>
      <c r="CF17" s="4" t="str">
        <f>IF(BJ17="","",IFERROR(IF(INDEX(Macro_Lookup!$C$2:$C$31,MATCH(BJ17,Macro_Lookup!$A$2:$A$31,0))="","",INDEX(Macro_Lookup!$C$2:$C$31,MATCH(BJ17,Macro_Lookup!$A$2:$A$31,0))),""))</f>
        <v/>
      </c>
      <c r="CG17" s="4">
        <v>2</v>
      </c>
    </row>
    <row r="18" spans="1:85" x14ac:dyDescent="0.3">
      <c r="A18" s="4" t="s">
        <v>176</v>
      </c>
      <c r="B18" s="4" t="s">
        <v>177</v>
      </c>
      <c r="C18" s="4" t="s">
        <v>87</v>
      </c>
      <c r="D18" s="4" t="s">
        <v>88</v>
      </c>
      <c r="E18" s="4">
        <v>0</v>
      </c>
      <c r="F18" s="4" t="s">
        <v>89</v>
      </c>
      <c r="G18" s="4"/>
      <c r="H18" s="4"/>
      <c r="I18" s="5">
        <v>2012</v>
      </c>
      <c r="J18" s="4"/>
      <c r="K18" s="4" t="s">
        <v>90</v>
      </c>
      <c r="L18" s="6">
        <v>46295</v>
      </c>
      <c r="M18" s="4">
        <f t="shared" si="0"/>
        <v>176</v>
      </c>
      <c r="N18" s="4">
        <f t="shared" si="1"/>
        <v>14.67</v>
      </c>
      <c r="O18" s="4" t="s">
        <v>178</v>
      </c>
      <c r="P18" s="4" t="s">
        <v>161</v>
      </c>
      <c r="Q18" s="4" t="s">
        <v>179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 t="s">
        <v>134</v>
      </c>
      <c r="Y18" s="4">
        <v>3</v>
      </c>
      <c r="Z18" s="4">
        <v>1</v>
      </c>
      <c r="AA18" s="4">
        <v>0</v>
      </c>
      <c r="AB18" s="4"/>
      <c r="AC18" s="4"/>
      <c r="AD18" s="7"/>
      <c r="AE18" s="4"/>
      <c r="AF18" s="4">
        <f>IF(SUMIF(Founders_Clean!$A$2:$A$159,A18,Founders_Clean!$C$2:$C$159)=0,"",SUMIF(Founders_Clean!$A$2:$A$159,A18,Founders_Clean!$C$2:$C$159))</f>
        <v>1</v>
      </c>
      <c r="AG18" s="4">
        <f>IF(AF18="","",SUMIF(Founders_Clean!$A$2:$A$159,A18,Founders_Clean!$D$2:$D$159))</f>
        <v>0</v>
      </c>
      <c r="AH18" s="4">
        <f>IF(AF18="","",SUMIF(Founders_Clean!$A$2:$A$159,A18,Founders_Clean!$E$2:$E$159))</f>
        <v>1</v>
      </c>
      <c r="AI18" s="8">
        <f t="shared" si="2"/>
        <v>1</v>
      </c>
      <c r="AJ18" s="4">
        <f t="shared" si="3"/>
        <v>1</v>
      </c>
      <c r="AK18" s="8">
        <f t="shared" si="4"/>
        <v>0</v>
      </c>
      <c r="AL18" s="4"/>
      <c r="AM18" s="4">
        <v>1</v>
      </c>
      <c r="AN18" s="4" t="s">
        <v>143</v>
      </c>
      <c r="AO18" s="4">
        <v>0</v>
      </c>
      <c r="AP18" s="8">
        <v>0</v>
      </c>
      <c r="AQ18" s="4">
        <v>0</v>
      </c>
      <c r="AR18" s="4">
        <v>13</v>
      </c>
      <c r="AS18" s="4">
        <v>13</v>
      </c>
      <c r="AT18" s="7">
        <v>427</v>
      </c>
      <c r="AU18" s="4" t="s">
        <v>117</v>
      </c>
      <c r="AV18" s="4" t="s">
        <v>118</v>
      </c>
      <c r="AW18" s="4"/>
      <c r="AX18" s="4" t="s">
        <v>134</v>
      </c>
      <c r="AY18" s="4" t="s">
        <v>100</v>
      </c>
      <c r="AZ18" s="4" t="s">
        <v>180</v>
      </c>
      <c r="BA18" s="4">
        <v>1</v>
      </c>
      <c r="BB18" s="4">
        <v>0</v>
      </c>
      <c r="BC18" s="4">
        <v>0</v>
      </c>
      <c r="BD18" s="5"/>
      <c r="BE18" s="4"/>
      <c r="BF18" s="4">
        <f t="shared" si="5"/>
        <v>176</v>
      </c>
      <c r="BG18" s="4">
        <v>1</v>
      </c>
      <c r="BH18" s="7">
        <v>1300000</v>
      </c>
      <c r="BI18" s="4" t="s">
        <v>101</v>
      </c>
      <c r="BJ18" s="5">
        <v>2021</v>
      </c>
      <c r="BK18" s="4">
        <v>1</v>
      </c>
      <c r="BL18" s="4">
        <f>COUNTIFS(Investments_Clean!$A$2:$A$150,A18,Investments_Clean!$F$2:$F$150,"Accepted")</f>
        <v>0</v>
      </c>
      <c r="BM18" s="4" t="str">
        <f>IF(BL18=0,"",IF((COUNTIFS(Investments_Clean!$A$2:$A$150,A18,Investments_Clean!$D$2:$D$150,"VC/PE",Investments_Clean!$F$2:$F$150,"Accepted"))&gt;0,1,0))</f>
        <v/>
      </c>
      <c r="BN18" s="4" t="str">
        <f>IF(BL18=0,"",IF((COUNTIFS(Investments_Clean!$A$2:$A$150,A18,Investments_Clean!$D$2:$D$150,"Angel",Investments_Clean!$F$2:$F$150,"Accepted"))&gt;0,1,0))</f>
        <v/>
      </c>
      <c r="BO18" s="4" t="str">
        <f>IF(BL18=0,"",IF((COUNTIFS(Investments_Clean!$A$2:$A$150,A18,Investments_Clean!$D$2:$D$150,"Accelerator",Investments_Clean!$F$2:$F$150,"Accepted"))&gt;0,1,0))</f>
        <v/>
      </c>
      <c r="BP18" s="4" t="str">
        <f>IF(BL18=0,"",IF((COUNTIFS(Investments_Clean!$A$2:$A$150,A18,Investments_Clean!$D$2:$D$150,"Corporate",Investments_Clean!$F$2:$F$150,"Accepted"))&gt;0,1,0))</f>
        <v/>
      </c>
      <c r="BQ18" s="4" t="str">
        <f>IF(BL18=0,"",IF((COUNTIFS(Investments_Clean!$A$2:$A$150,A18,Investments_Clean!$D$2:$D$150,"Government",Investments_Clean!$F$2:$F$150,"Accepted"))&gt;0,1,0))</f>
        <v/>
      </c>
      <c r="BR18" s="4" t="str">
        <f>IF(BL18=0,"",IF((COUNTIFS(Investments_Clean!$A$2:$A$150,A18,Investments_Clean!$D$2:$D$150,"Grant/Philanthropic",Investments_Clean!$F$2:$F$150,"Accepted")+COUNTIFS(Investments_Clean!$A$2:$A$150,A18,Investments_Clean!$D$2:$D$150,"DFI/Impact",Investments_Clean!$F$2:$F$150,"Accepted"))&gt;0,1,0))</f>
        <v/>
      </c>
      <c r="BS18" s="4"/>
      <c r="BT18" s="4"/>
      <c r="BU18" s="4"/>
      <c r="BV18" s="7"/>
      <c r="BW18" s="4"/>
      <c r="BX18" s="4"/>
      <c r="BY18" s="7"/>
      <c r="BZ18" s="4"/>
      <c r="CA18" s="4">
        <v>0</v>
      </c>
      <c r="CB18" s="4"/>
      <c r="CC18" s="4">
        <f>IF(I18="","",IFERROR(IF(INDEX(Macro_Lookup!$B$2:$B$31,MATCH(I18,Macro_Lookup!$A$2:$A$31,0))="","",INDEX(Macro_Lookup!$B$2:$B$31,MATCH(I18,Macro_Lookup!$A$2:$A$31,0))),""))</f>
        <v>6.52</v>
      </c>
      <c r="CD18" s="4">
        <f>IF(I18="","",IFERROR(IF(INDEX(Macro_Lookup!$C$2:$C$31,MATCH(I18,Macro_Lookup!$A$2:$A$31,0))="","",INDEX(Macro_Lookup!$C$2:$C$31,MATCH(I18,Macro_Lookup!$A$2:$A$31,0))),""))</f>
        <v>6.22</v>
      </c>
      <c r="CE18" s="4">
        <f>IF(BJ18="","",IFERROR(IF(INDEX(Macro_Lookup!$B$2:$B$31,MATCH(BJ18,Macro_Lookup!$A$2:$A$31,0))="","",INDEX(Macro_Lookup!$B$2:$B$31,MATCH(BJ18,Macro_Lookup!$A$2:$A$31,0))),""))</f>
        <v>6.94</v>
      </c>
      <c r="CF18" s="4">
        <f>IF(BJ18="","",IFERROR(IF(INDEX(Macro_Lookup!$C$2:$C$31,MATCH(BJ18,Macro_Lookup!$A$2:$A$31,0))="","",INDEX(Macro_Lookup!$C$2:$C$31,MATCH(BJ18,Macro_Lookup!$A$2:$A$31,0))),""))</f>
        <v>5.55</v>
      </c>
      <c r="CG18" s="4">
        <v>2</v>
      </c>
    </row>
    <row r="19" spans="1:85" x14ac:dyDescent="0.3">
      <c r="A19" s="4" t="s">
        <v>181</v>
      </c>
      <c r="B19" s="4" t="s">
        <v>182</v>
      </c>
      <c r="C19" s="4" t="s">
        <v>87</v>
      </c>
      <c r="D19" s="4" t="s">
        <v>88</v>
      </c>
      <c r="E19" s="4">
        <v>0</v>
      </c>
      <c r="F19" s="4" t="s">
        <v>89</v>
      </c>
      <c r="G19" s="4"/>
      <c r="H19" s="4"/>
      <c r="I19" s="5">
        <v>2016</v>
      </c>
      <c r="J19" s="4"/>
      <c r="K19" s="4" t="s">
        <v>90</v>
      </c>
      <c r="L19" s="6">
        <v>46295</v>
      </c>
      <c r="M19" s="4">
        <f t="shared" si="0"/>
        <v>128</v>
      </c>
      <c r="N19" s="4">
        <f t="shared" si="1"/>
        <v>10.67</v>
      </c>
      <c r="O19" s="4" t="s">
        <v>183</v>
      </c>
      <c r="P19" s="4" t="s">
        <v>161</v>
      </c>
      <c r="Q19" s="4" t="s">
        <v>184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 t="s">
        <v>99</v>
      </c>
      <c r="Y19" s="4">
        <v>3</v>
      </c>
      <c r="Z19" s="4">
        <v>1</v>
      </c>
      <c r="AA19" s="4">
        <v>0</v>
      </c>
      <c r="AB19" s="4"/>
      <c r="AC19" s="4"/>
      <c r="AD19" s="7"/>
      <c r="AE19" s="4"/>
      <c r="AF19" s="4">
        <f>IF(SUMIF(Founders_Clean!$A$2:$A$159,A19,Founders_Clean!$C$2:$C$159)=0,"",SUMIF(Founders_Clean!$A$2:$A$159,A19,Founders_Clean!$C$2:$C$159))</f>
        <v>1</v>
      </c>
      <c r="AG19" s="4">
        <f>IF(AF19="","",SUMIF(Founders_Clean!$A$2:$A$159,A19,Founders_Clean!$D$2:$D$159))</f>
        <v>1</v>
      </c>
      <c r="AH19" s="4">
        <f>IF(AF19="","",SUMIF(Founders_Clean!$A$2:$A$159,A19,Founders_Clean!$E$2:$E$159))</f>
        <v>0</v>
      </c>
      <c r="AI19" s="8">
        <f t="shared" si="2"/>
        <v>0</v>
      </c>
      <c r="AJ19" s="4">
        <f t="shared" si="3"/>
        <v>0</v>
      </c>
      <c r="AK19" s="8">
        <f t="shared" si="4"/>
        <v>0</v>
      </c>
      <c r="AL19" s="4"/>
      <c r="AM19" s="4"/>
      <c r="AN19" s="4"/>
      <c r="AO19" s="4"/>
      <c r="AP19" s="8"/>
      <c r="AQ19" s="4"/>
      <c r="AR19" s="4"/>
      <c r="AS19" s="4"/>
      <c r="AT19" s="7">
        <v>150</v>
      </c>
      <c r="AU19" s="4" t="s">
        <v>126</v>
      </c>
      <c r="AV19" s="4" t="s">
        <v>98</v>
      </c>
      <c r="AW19" s="4"/>
      <c r="AX19" s="4" t="s">
        <v>99</v>
      </c>
      <c r="AY19" s="4" t="s">
        <v>100</v>
      </c>
      <c r="AZ19" s="4"/>
      <c r="BA19" s="4">
        <v>0</v>
      </c>
      <c r="BB19" s="4">
        <v>0</v>
      </c>
      <c r="BC19" s="4">
        <v>0</v>
      </c>
      <c r="BD19" s="5"/>
      <c r="BE19" s="4"/>
      <c r="BF19" s="4">
        <f t="shared" si="5"/>
        <v>128</v>
      </c>
      <c r="BG19" s="4">
        <v>1</v>
      </c>
      <c r="BH19" s="7">
        <v>1500000</v>
      </c>
      <c r="BI19" s="4" t="s">
        <v>101</v>
      </c>
      <c r="BJ19" s="5">
        <v>2023</v>
      </c>
      <c r="BK19" s="4">
        <v>1</v>
      </c>
      <c r="BL19" s="4">
        <f>COUNTIFS(Investments_Clean!$A$2:$A$150,A19,Investments_Clean!$F$2:$F$150,"Accepted")</f>
        <v>1</v>
      </c>
      <c r="BM19" s="4">
        <f>IF(BL19=0,"",IF((COUNTIFS(Investments_Clean!$A$2:$A$150,A19,Investments_Clean!$D$2:$D$150,"VC/PE",Investments_Clean!$F$2:$F$150,"Accepted"))&gt;0,1,0))</f>
        <v>1</v>
      </c>
      <c r="BN19" s="4">
        <f>IF(BL19=0,"",IF((COUNTIFS(Investments_Clean!$A$2:$A$150,A19,Investments_Clean!$D$2:$D$150,"Angel",Investments_Clean!$F$2:$F$150,"Accepted"))&gt;0,1,0))</f>
        <v>0</v>
      </c>
      <c r="BO19" s="4">
        <f>IF(BL19=0,"",IF((COUNTIFS(Investments_Clean!$A$2:$A$150,A19,Investments_Clean!$D$2:$D$150,"Accelerator",Investments_Clean!$F$2:$F$150,"Accepted"))&gt;0,1,0))</f>
        <v>0</v>
      </c>
      <c r="BP19" s="4">
        <f>IF(BL19=0,"",IF((COUNTIFS(Investments_Clean!$A$2:$A$150,A19,Investments_Clean!$D$2:$D$150,"Corporate",Investments_Clean!$F$2:$F$150,"Accepted"))&gt;0,1,0))</f>
        <v>0</v>
      </c>
      <c r="BQ19" s="4">
        <f>IF(BL19=0,"",IF((COUNTIFS(Investments_Clean!$A$2:$A$150,A19,Investments_Clean!$D$2:$D$150,"Government",Investments_Clean!$F$2:$F$150,"Accepted"))&gt;0,1,0))</f>
        <v>0</v>
      </c>
      <c r="BR19" s="4">
        <f>IF(BL19=0,"",IF((COUNTIFS(Investments_Clean!$A$2:$A$150,A19,Investments_Clean!$D$2:$D$150,"Grant/Philanthropic",Investments_Clean!$F$2:$F$150,"Accepted")+COUNTIFS(Investments_Clean!$A$2:$A$150,A19,Investments_Clean!$D$2:$D$150,"DFI/Impact",Investments_Clean!$F$2:$F$150,"Accepted"))&gt;0,1,0))</f>
        <v>0</v>
      </c>
      <c r="BS19" s="4"/>
      <c r="BT19" s="4"/>
      <c r="BU19" s="4"/>
      <c r="BV19" s="7"/>
      <c r="BW19" s="4"/>
      <c r="BX19" s="4"/>
      <c r="BY19" s="7"/>
      <c r="BZ19" s="4"/>
      <c r="CA19" s="4">
        <v>0</v>
      </c>
      <c r="CB19" s="4"/>
      <c r="CC19" s="4">
        <f>IF(I19="","",IFERROR(IF(INDEX(Macro_Lookup!$B$2:$B$31,MATCH(I19,Macro_Lookup!$A$2:$A$31,0))="","",INDEX(Macro_Lookup!$B$2:$B$31,MATCH(I19,Macro_Lookup!$A$2:$A$31,0))),""))</f>
        <v>7.11</v>
      </c>
      <c r="CD19" s="4">
        <f>IF(I19="","",IFERROR(IF(INDEX(Macro_Lookup!$C$2:$C$31,MATCH(I19,Macro_Lookup!$A$2:$A$31,0))="","",INDEX(Macro_Lookup!$C$2:$C$31,MATCH(I19,Macro_Lookup!$A$2:$A$31,0))),""))</f>
        <v>5.51</v>
      </c>
      <c r="CE19" s="4">
        <f>IF(BJ19="","",IFERROR(IF(INDEX(Macro_Lookup!$B$2:$B$31,MATCH(BJ19,Macro_Lookup!$A$2:$A$31,0))="","",INDEX(Macro_Lookup!$B$2:$B$31,MATCH(BJ19,Macro_Lookup!$A$2:$A$31,0))),""))</f>
        <v>5.78</v>
      </c>
      <c r="CF19" s="4">
        <f>IF(BJ19="","",IFERROR(IF(INDEX(Macro_Lookup!$C$2:$C$31,MATCH(BJ19,Macro_Lookup!$A$2:$A$31,0))="","",INDEX(Macro_Lookup!$C$2:$C$31,MATCH(BJ19,Macro_Lookup!$A$2:$A$31,0))),""))</f>
        <v>9.02</v>
      </c>
      <c r="CG19" s="4">
        <v>3</v>
      </c>
    </row>
    <row r="20" spans="1:85" x14ac:dyDescent="0.3">
      <c r="A20" s="4" t="s">
        <v>185</v>
      </c>
      <c r="B20" s="4" t="s">
        <v>186</v>
      </c>
      <c r="C20" s="4" t="s">
        <v>87</v>
      </c>
      <c r="D20" s="4" t="s">
        <v>88</v>
      </c>
      <c r="E20" s="4">
        <v>0</v>
      </c>
      <c r="F20" s="4" t="s">
        <v>89</v>
      </c>
      <c r="G20" s="4"/>
      <c r="H20" s="4"/>
      <c r="I20" s="5">
        <v>2021</v>
      </c>
      <c r="J20" s="4"/>
      <c r="K20" s="4" t="s">
        <v>90</v>
      </c>
      <c r="L20" s="6">
        <v>46295</v>
      </c>
      <c r="M20" s="4">
        <f t="shared" si="0"/>
        <v>68</v>
      </c>
      <c r="N20" s="4">
        <f t="shared" si="1"/>
        <v>5.67</v>
      </c>
      <c r="O20" s="4" t="s">
        <v>187</v>
      </c>
      <c r="P20" s="4" t="s">
        <v>161</v>
      </c>
      <c r="Q20" s="4" t="s">
        <v>188</v>
      </c>
      <c r="R20" s="4">
        <v>1</v>
      </c>
      <c r="S20" s="4">
        <v>0</v>
      </c>
      <c r="T20" s="4">
        <v>1</v>
      </c>
      <c r="U20" s="4">
        <v>0</v>
      </c>
      <c r="V20" s="4">
        <v>0</v>
      </c>
      <c r="W20" s="4">
        <v>0</v>
      </c>
      <c r="X20" s="4" t="s">
        <v>99</v>
      </c>
      <c r="Y20" s="4">
        <v>3</v>
      </c>
      <c r="Z20" s="4">
        <v>1</v>
      </c>
      <c r="AA20" s="4">
        <v>1</v>
      </c>
      <c r="AB20" s="4" t="s">
        <v>163</v>
      </c>
      <c r="AC20" s="4"/>
      <c r="AD20" s="7"/>
      <c r="AE20" s="4"/>
      <c r="AF20" s="4">
        <f>IF(SUMIF(Founders_Clean!$A$2:$A$159,A20,Founders_Clean!$C$2:$C$159)=0,"",SUMIF(Founders_Clean!$A$2:$A$159,A20,Founders_Clean!$C$2:$C$159))</f>
        <v>2</v>
      </c>
      <c r="AG20" s="4">
        <f>IF(AF20="","",SUMIF(Founders_Clean!$A$2:$A$159,A20,Founders_Clean!$D$2:$D$159))</f>
        <v>1</v>
      </c>
      <c r="AH20" s="4">
        <f>IF(AF20="","",SUMIF(Founders_Clean!$A$2:$A$159,A20,Founders_Clean!$E$2:$E$159))</f>
        <v>1</v>
      </c>
      <c r="AI20" s="8">
        <f t="shared" si="2"/>
        <v>0.5</v>
      </c>
      <c r="AJ20" s="4">
        <f t="shared" si="3"/>
        <v>1</v>
      </c>
      <c r="AK20" s="8">
        <f t="shared" si="4"/>
        <v>0.5</v>
      </c>
      <c r="AL20" s="4"/>
      <c r="AM20" s="4">
        <v>2</v>
      </c>
      <c r="AN20" s="4" t="s">
        <v>96</v>
      </c>
      <c r="AO20" s="4">
        <v>0</v>
      </c>
      <c r="AP20" s="8">
        <v>0</v>
      </c>
      <c r="AQ20" s="4">
        <v>1</v>
      </c>
      <c r="AR20" s="4">
        <v>20</v>
      </c>
      <c r="AS20" s="4">
        <v>17</v>
      </c>
      <c r="AT20" s="7">
        <v>150</v>
      </c>
      <c r="AU20" s="4" t="s">
        <v>126</v>
      </c>
      <c r="AV20" s="4" t="s">
        <v>98</v>
      </c>
      <c r="AW20" s="4"/>
      <c r="AX20" s="4" t="s">
        <v>99</v>
      </c>
      <c r="AY20" s="4" t="s">
        <v>100</v>
      </c>
      <c r="AZ20" s="4"/>
      <c r="BA20" s="4">
        <v>0</v>
      </c>
      <c r="BB20" s="4">
        <v>0</v>
      </c>
      <c r="BC20" s="4">
        <v>0</v>
      </c>
      <c r="BD20" s="5"/>
      <c r="BE20" s="4"/>
      <c r="BF20" s="4">
        <f t="shared" si="5"/>
        <v>68</v>
      </c>
      <c r="BG20" s="4">
        <v>1</v>
      </c>
      <c r="BH20" s="7">
        <v>5000000</v>
      </c>
      <c r="BI20" s="4" t="s">
        <v>101</v>
      </c>
      <c r="BJ20" s="5">
        <v>2024</v>
      </c>
      <c r="BK20" s="4">
        <v>1</v>
      </c>
      <c r="BL20" s="4">
        <f>COUNTIFS(Investments_Clean!$A$2:$A$150,A20,Investments_Clean!$F$2:$F$150,"Accepted")</f>
        <v>1</v>
      </c>
      <c r="BM20" s="4">
        <f>IF(BL20=0,"",IF((COUNTIFS(Investments_Clean!$A$2:$A$150,A20,Investments_Clean!$D$2:$D$150,"VC/PE",Investments_Clean!$F$2:$F$150,"Accepted"))&gt;0,1,0))</f>
        <v>1</v>
      </c>
      <c r="BN20" s="4">
        <f>IF(BL20=0,"",IF((COUNTIFS(Investments_Clean!$A$2:$A$150,A20,Investments_Clean!$D$2:$D$150,"Angel",Investments_Clean!$F$2:$F$150,"Accepted"))&gt;0,1,0))</f>
        <v>0</v>
      </c>
      <c r="BO20" s="4">
        <f>IF(BL20=0,"",IF((COUNTIFS(Investments_Clean!$A$2:$A$150,A20,Investments_Clean!$D$2:$D$150,"Accelerator",Investments_Clean!$F$2:$F$150,"Accepted"))&gt;0,1,0))</f>
        <v>0</v>
      </c>
      <c r="BP20" s="4">
        <f>IF(BL20=0,"",IF((COUNTIFS(Investments_Clean!$A$2:$A$150,A20,Investments_Clean!$D$2:$D$150,"Corporate",Investments_Clean!$F$2:$F$150,"Accepted"))&gt;0,1,0))</f>
        <v>0</v>
      </c>
      <c r="BQ20" s="4">
        <f>IF(BL20=0,"",IF((COUNTIFS(Investments_Clean!$A$2:$A$150,A20,Investments_Clean!$D$2:$D$150,"Government",Investments_Clean!$F$2:$F$150,"Accepted"))&gt;0,1,0))</f>
        <v>0</v>
      </c>
      <c r="BR20" s="4">
        <f>IF(BL20=0,"",IF((COUNTIFS(Investments_Clean!$A$2:$A$150,A20,Investments_Clean!$D$2:$D$150,"Grant/Philanthropic",Investments_Clean!$F$2:$F$150,"Accepted")+COUNTIFS(Investments_Clean!$A$2:$A$150,A20,Investments_Clean!$D$2:$D$150,"DFI/Impact",Investments_Clean!$F$2:$F$150,"Accepted"))&gt;0,1,0))</f>
        <v>0</v>
      </c>
      <c r="BS20" s="4"/>
      <c r="BT20" s="4"/>
      <c r="BU20" s="4"/>
      <c r="BV20" s="7"/>
      <c r="BW20" s="4"/>
      <c r="BX20" s="4"/>
      <c r="BY20" s="7"/>
      <c r="BZ20" s="4"/>
      <c r="CA20" s="4">
        <v>0</v>
      </c>
      <c r="CB20" s="4"/>
      <c r="CC20" s="4">
        <f>IF(I20="","",IFERROR(IF(INDEX(Macro_Lookup!$B$2:$B$31,MATCH(I20,Macro_Lookup!$A$2:$A$31,0))="","",INDEX(Macro_Lookup!$B$2:$B$31,MATCH(I20,Macro_Lookup!$A$2:$A$31,0))),""))</f>
        <v>6.94</v>
      </c>
      <c r="CD20" s="4">
        <f>IF(I20="","",IFERROR(IF(INDEX(Macro_Lookup!$C$2:$C$31,MATCH(I20,Macro_Lookup!$A$2:$A$31,0))="","",INDEX(Macro_Lookup!$C$2:$C$31,MATCH(I20,Macro_Lookup!$A$2:$A$31,0))),""))</f>
        <v>5.55</v>
      </c>
      <c r="CE20" s="4">
        <f>IF(BJ20="","",IFERROR(IF(INDEX(Macro_Lookup!$B$2:$B$31,MATCH(BJ20,Macro_Lookup!$A$2:$A$31,0))="","",INDEX(Macro_Lookup!$B$2:$B$31,MATCH(BJ20,Macro_Lookup!$A$2:$A$31,0))),""))</f>
        <v>4.22</v>
      </c>
      <c r="CF20" s="4">
        <f>IF(BJ20="","",IFERROR(IF(INDEX(Macro_Lookup!$C$2:$C$31,MATCH(BJ20,Macro_Lookup!$A$2:$A$31,0))="","",INDEX(Macro_Lookup!$C$2:$C$31,MATCH(BJ20,Macro_Lookup!$A$2:$A$31,0))),""))</f>
        <v>9.6999999999999993</v>
      </c>
      <c r="CG20" s="4">
        <v>2</v>
      </c>
    </row>
    <row r="21" spans="1:85" x14ac:dyDescent="0.3">
      <c r="A21" s="4" t="s">
        <v>189</v>
      </c>
      <c r="B21" s="4" t="s">
        <v>190</v>
      </c>
      <c r="C21" s="4" t="s">
        <v>87</v>
      </c>
      <c r="D21" s="4" t="s">
        <v>88</v>
      </c>
      <c r="E21" s="4">
        <v>0</v>
      </c>
      <c r="F21" s="4" t="s">
        <v>89</v>
      </c>
      <c r="G21" s="4"/>
      <c r="H21" s="4"/>
      <c r="I21" s="5">
        <v>2015</v>
      </c>
      <c r="J21" s="4"/>
      <c r="K21" s="4" t="s">
        <v>90</v>
      </c>
      <c r="L21" s="6">
        <v>46295</v>
      </c>
      <c r="M21" s="4">
        <f t="shared" si="0"/>
        <v>140</v>
      </c>
      <c r="N21" s="4">
        <f t="shared" si="1"/>
        <v>11.67</v>
      </c>
      <c r="O21" s="4" t="s">
        <v>191</v>
      </c>
      <c r="P21" s="4" t="s">
        <v>161</v>
      </c>
      <c r="Q21" s="4" t="s">
        <v>192</v>
      </c>
      <c r="R21" s="4">
        <v>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 t="s">
        <v>99</v>
      </c>
      <c r="Y21" s="4">
        <v>3</v>
      </c>
      <c r="Z21" s="4">
        <v>1</v>
      </c>
      <c r="AA21" s="4"/>
      <c r="AB21" s="4"/>
      <c r="AC21" s="4"/>
      <c r="AD21" s="7"/>
      <c r="AE21" s="4"/>
      <c r="AF21" s="4">
        <f>IF(SUMIF(Founders_Clean!$A$2:$A$159,A21,Founders_Clean!$C$2:$C$159)=0,"",SUMIF(Founders_Clean!$A$2:$A$159,A21,Founders_Clean!$C$2:$C$159))</f>
        <v>1</v>
      </c>
      <c r="AG21" s="4">
        <f>IF(AF21="","",SUMIF(Founders_Clean!$A$2:$A$159,A21,Founders_Clean!$D$2:$D$159))</f>
        <v>1</v>
      </c>
      <c r="AH21" s="4">
        <f>IF(AF21="","",SUMIF(Founders_Clean!$A$2:$A$159,A21,Founders_Clean!$E$2:$E$159))</f>
        <v>0</v>
      </c>
      <c r="AI21" s="8">
        <f t="shared" si="2"/>
        <v>0</v>
      </c>
      <c r="AJ21" s="4">
        <f t="shared" si="3"/>
        <v>0</v>
      </c>
      <c r="AK21" s="8">
        <f t="shared" si="4"/>
        <v>0</v>
      </c>
      <c r="AL21" s="4"/>
      <c r="AM21" s="4"/>
      <c r="AN21" s="4"/>
      <c r="AO21" s="4"/>
      <c r="AP21" s="8"/>
      <c r="AQ21" s="4">
        <v>1</v>
      </c>
      <c r="AR21" s="4">
        <v>19</v>
      </c>
      <c r="AS21" s="4">
        <v>19</v>
      </c>
      <c r="AT21" s="7">
        <v>175</v>
      </c>
      <c r="AU21" s="4" t="s">
        <v>126</v>
      </c>
      <c r="AV21" s="4" t="s">
        <v>98</v>
      </c>
      <c r="AW21" s="4"/>
      <c r="AX21" s="4" t="s">
        <v>99</v>
      </c>
      <c r="AY21" s="4" t="s">
        <v>100</v>
      </c>
      <c r="AZ21" s="4"/>
      <c r="BA21" s="4">
        <v>0</v>
      </c>
      <c r="BB21" s="4">
        <v>0</v>
      </c>
      <c r="BC21" s="4">
        <v>0</v>
      </c>
      <c r="BD21" s="5"/>
      <c r="BE21" s="4"/>
      <c r="BF21" s="4">
        <f t="shared" si="5"/>
        <v>140</v>
      </c>
      <c r="BG21" s="4">
        <v>1</v>
      </c>
      <c r="BH21" s="7">
        <v>4150000</v>
      </c>
      <c r="BI21" s="4" t="s">
        <v>101</v>
      </c>
      <c r="BJ21" s="5">
        <v>2019</v>
      </c>
      <c r="BK21" s="4">
        <v>1</v>
      </c>
      <c r="BL21" s="4">
        <f>COUNTIFS(Investments_Clean!$A$2:$A$150,A21,Investments_Clean!$F$2:$F$150,"Accepted")</f>
        <v>2</v>
      </c>
      <c r="BM21" s="4">
        <f>IF(BL21=0,"",IF((COUNTIFS(Investments_Clean!$A$2:$A$150,A21,Investments_Clean!$D$2:$D$150,"VC/PE",Investments_Clean!$F$2:$F$150,"Accepted"))&gt;0,1,0))</f>
        <v>1</v>
      </c>
      <c r="BN21" s="4">
        <f>IF(BL21=0,"",IF((COUNTIFS(Investments_Clean!$A$2:$A$150,A21,Investments_Clean!$D$2:$D$150,"Angel",Investments_Clean!$F$2:$F$150,"Accepted"))&gt;0,1,0))</f>
        <v>0</v>
      </c>
      <c r="BO21" s="4">
        <f>IF(BL21=0,"",IF((COUNTIFS(Investments_Clean!$A$2:$A$150,A21,Investments_Clean!$D$2:$D$150,"Accelerator",Investments_Clean!$F$2:$F$150,"Accepted"))&gt;0,1,0))</f>
        <v>0</v>
      </c>
      <c r="BP21" s="4">
        <f>IF(BL21=0,"",IF((COUNTIFS(Investments_Clean!$A$2:$A$150,A21,Investments_Clean!$D$2:$D$150,"Corporate",Investments_Clean!$F$2:$F$150,"Accepted"))&gt;0,1,0))</f>
        <v>0</v>
      </c>
      <c r="BQ21" s="4">
        <f>IF(BL21=0,"",IF((COUNTIFS(Investments_Clean!$A$2:$A$150,A21,Investments_Clean!$D$2:$D$150,"Government",Investments_Clean!$F$2:$F$150,"Accepted"))&gt;0,1,0))</f>
        <v>0</v>
      </c>
      <c r="BR21" s="4">
        <f>IF(BL21=0,"",IF((COUNTIFS(Investments_Clean!$A$2:$A$150,A21,Investments_Clean!$D$2:$D$150,"Grant/Philanthropic",Investments_Clean!$F$2:$F$150,"Accepted")+COUNTIFS(Investments_Clean!$A$2:$A$150,A21,Investments_Clean!$D$2:$D$150,"DFI/Impact",Investments_Clean!$F$2:$F$150,"Accepted"))&gt;0,1,0))</f>
        <v>1</v>
      </c>
      <c r="BS21" s="4"/>
      <c r="BT21" s="4"/>
      <c r="BU21" s="4"/>
      <c r="BV21" s="7"/>
      <c r="BW21" s="4"/>
      <c r="BX21" s="4"/>
      <c r="BY21" s="7"/>
      <c r="BZ21" s="4"/>
      <c r="CA21" s="4">
        <v>0</v>
      </c>
      <c r="CB21" s="4"/>
      <c r="CC21" s="4">
        <f>IF(I21="","",IFERROR(IF(INDEX(Macro_Lookup!$B$2:$B$31,MATCH(I21,Macro_Lookup!$A$2:$A$31,0))="","",INDEX(Macro_Lookup!$B$2:$B$31,MATCH(I21,Macro_Lookup!$A$2:$A$31,0))),""))</f>
        <v>6.55</v>
      </c>
      <c r="CD21" s="4">
        <f>IF(I21="","",IFERROR(IF(INDEX(Macro_Lookup!$C$2:$C$31,MATCH(I21,Macro_Lookup!$A$2:$A$31,0))="","",INDEX(Macro_Lookup!$C$2:$C$31,MATCH(I21,Macro_Lookup!$A$2:$A$31,0))),""))</f>
        <v>6.4</v>
      </c>
      <c r="CE21" s="4">
        <f>IF(BJ21="","",IFERROR(IF(INDEX(Macro_Lookup!$B$2:$B$31,MATCH(BJ21,Macro_Lookup!$A$2:$A$31,0))="","",INDEX(Macro_Lookup!$B$2:$B$31,MATCH(BJ21,Macro_Lookup!$A$2:$A$31,0))),""))</f>
        <v>7.88</v>
      </c>
      <c r="CF21" s="4">
        <f>IF(BJ21="","",IFERROR(IF(INDEX(Macro_Lookup!$C$2:$C$31,MATCH(BJ21,Macro_Lookup!$A$2:$A$31,0))="","",INDEX(Macro_Lookup!$C$2:$C$31,MATCH(BJ21,Macro_Lookup!$A$2:$A$31,0))),""))</f>
        <v>5.5</v>
      </c>
      <c r="CG21" s="4">
        <v>4</v>
      </c>
    </row>
    <row r="22" spans="1:85" x14ac:dyDescent="0.3">
      <c r="A22" s="4" t="s">
        <v>193</v>
      </c>
      <c r="B22" s="4" t="s">
        <v>194</v>
      </c>
      <c r="C22" s="4" t="s">
        <v>87</v>
      </c>
      <c r="D22" s="4" t="s">
        <v>88</v>
      </c>
      <c r="E22" s="4">
        <v>0</v>
      </c>
      <c r="F22" s="4" t="s">
        <v>89</v>
      </c>
      <c r="G22" s="4"/>
      <c r="H22" s="4"/>
      <c r="I22" s="5">
        <v>2013</v>
      </c>
      <c r="J22" s="4"/>
      <c r="K22" s="4" t="s">
        <v>90</v>
      </c>
      <c r="L22" s="6">
        <v>46295</v>
      </c>
      <c r="M22" s="4">
        <f t="shared" si="0"/>
        <v>164</v>
      </c>
      <c r="N22" s="4">
        <f t="shared" si="1"/>
        <v>13.67</v>
      </c>
      <c r="O22" s="4" t="s">
        <v>195</v>
      </c>
      <c r="P22" s="4" t="s">
        <v>161</v>
      </c>
      <c r="Q22" s="4" t="s">
        <v>196</v>
      </c>
      <c r="R22" s="4">
        <v>0</v>
      </c>
      <c r="S22" s="4">
        <v>1</v>
      </c>
      <c r="T22" s="4">
        <v>0</v>
      </c>
      <c r="U22" s="4">
        <v>0</v>
      </c>
      <c r="V22" s="4">
        <v>0</v>
      </c>
      <c r="W22" s="4">
        <v>0</v>
      </c>
      <c r="X22" s="4" t="s">
        <v>197</v>
      </c>
      <c r="Y22" s="4">
        <v>3</v>
      </c>
      <c r="Z22" s="4">
        <v>1</v>
      </c>
      <c r="AA22" s="4">
        <v>1</v>
      </c>
      <c r="AB22" s="4" t="s">
        <v>198</v>
      </c>
      <c r="AC22" s="4"/>
      <c r="AD22" s="7"/>
      <c r="AE22" s="4"/>
      <c r="AF22" s="4">
        <f>IF(SUMIF(Founders_Clean!$A$2:$A$159,A22,Founders_Clean!$C$2:$C$159)=0,"",SUMIF(Founders_Clean!$A$2:$A$159,A22,Founders_Clean!$C$2:$C$159))</f>
        <v>3</v>
      </c>
      <c r="AG22" s="4">
        <f>IF(AF22="","",SUMIF(Founders_Clean!$A$2:$A$159,A22,Founders_Clean!$D$2:$D$159))</f>
        <v>1</v>
      </c>
      <c r="AH22" s="4">
        <f>IF(AF22="","",SUMIF(Founders_Clean!$A$2:$A$159,A22,Founders_Clean!$E$2:$E$159))</f>
        <v>1</v>
      </c>
      <c r="AI22" s="8">
        <f t="shared" si="2"/>
        <v>0.5</v>
      </c>
      <c r="AJ22" s="4">
        <f t="shared" si="3"/>
        <v>1</v>
      </c>
      <c r="AK22" s="8">
        <f t="shared" si="4"/>
        <v>0.5</v>
      </c>
      <c r="AL22" s="4"/>
      <c r="AM22" s="4">
        <v>1</v>
      </c>
      <c r="AN22" s="4" t="s">
        <v>143</v>
      </c>
      <c r="AO22" s="4">
        <v>1</v>
      </c>
      <c r="AP22" s="8">
        <v>1</v>
      </c>
      <c r="AQ22" s="4">
        <v>0</v>
      </c>
      <c r="AR22" s="4">
        <v>10</v>
      </c>
      <c r="AS22" s="4">
        <v>9.5</v>
      </c>
      <c r="AT22" s="7"/>
      <c r="AU22" s="4"/>
      <c r="AV22" s="4"/>
      <c r="AW22" s="4"/>
      <c r="AX22" s="4" t="s">
        <v>99</v>
      </c>
      <c r="AY22" s="4" t="s">
        <v>100</v>
      </c>
      <c r="AZ22" s="4"/>
      <c r="BA22" s="4">
        <v>0</v>
      </c>
      <c r="BB22" s="4">
        <v>0</v>
      </c>
      <c r="BC22" s="4">
        <v>0</v>
      </c>
      <c r="BD22" s="5"/>
      <c r="BE22" s="4"/>
      <c r="BF22" s="4">
        <f t="shared" si="5"/>
        <v>164</v>
      </c>
      <c r="BG22" s="4">
        <v>1</v>
      </c>
      <c r="BH22" s="7">
        <v>2150000</v>
      </c>
      <c r="BI22" s="4" t="s">
        <v>101</v>
      </c>
      <c r="BJ22" s="5">
        <v>2022</v>
      </c>
      <c r="BK22" s="4">
        <v>1</v>
      </c>
      <c r="BL22" s="4">
        <f>COUNTIFS(Investments_Clean!$A$2:$A$150,A22,Investments_Clean!$F$2:$F$150,"Accepted")</f>
        <v>1</v>
      </c>
      <c r="BM22" s="4">
        <f>IF(BL22=0,"",IF((COUNTIFS(Investments_Clean!$A$2:$A$150,A22,Investments_Clean!$D$2:$D$150,"VC/PE",Investments_Clean!$F$2:$F$150,"Accepted"))&gt;0,1,0))</f>
        <v>0</v>
      </c>
      <c r="BN22" s="4">
        <f>IF(BL22=0,"",IF((COUNTIFS(Investments_Clean!$A$2:$A$150,A22,Investments_Clean!$D$2:$D$150,"Angel",Investments_Clean!$F$2:$F$150,"Accepted"))&gt;0,1,0))</f>
        <v>0</v>
      </c>
      <c r="BO22" s="4">
        <f>IF(BL22=0,"",IF((COUNTIFS(Investments_Clean!$A$2:$A$150,A22,Investments_Clean!$D$2:$D$150,"Accelerator",Investments_Clean!$F$2:$F$150,"Accepted"))&gt;0,1,0))</f>
        <v>1</v>
      </c>
      <c r="BP22" s="4">
        <f>IF(BL22=0,"",IF((COUNTIFS(Investments_Clean!$A$2:$A$150,A22,Investments_Clean!$D$2:$D$150,"Corporate",Investments_Clean!$F$2:$F$150,"Accepted"))&gt;0,1,0))</f>
        <v>0</v>
      </c>
      <c r="BQ22" s="4">
        <f>IF(BL22=0,"",IF((COUNTIFS(Investments_Clean!$A$2:$A$150,A22,Investments_Clean!$D$2:$D$150,"Government",Investments_Clean!$F$2:$F$150,"Accepted"))&gt;0,1,0))</f>
        <v>0</v>
      </c>
      <c r="BR22" s="4">
        <f>IF(BL22=0,"",IF((COUNTIFS(Investments_Clean!$A$2:$A$150,A22,Investments_Clean!$D$2:$D$150,"Grant/Philanthropic",Investments_Clean!$F$2:$F$150,"Accepted")+COUNTIFS(Investments_Clean!$A$2:$A$150,A22,Investments_Clean!$D$2:$D$150,"DFI/Impact",Investments_Clean!$F$2:$F$150,"Accepted"))&gt;0,1,0))</f>
        <v>0</v>
      </c>
      <c r="BS22" s="4"/>
      <c r="BT22" s="4"/>
      <c r="BU22" s="4"/>
      <c r="BV22" s="7"/>
      <c r="BW22" s="4"/>
      <c r="BX22" s="4"/>
      <c r="BY22" s="7"/>
      <c r="BZ22" s="4"/>
      <c r="CA22" s="4">
        <v>0</v>
      </c>
      <c r="CB22" s="4"/>
      <c r="CC22" s="4">
        <f>IF(I22="","",IFERROR(IF(INDEX(Macro_Lookup!$B$2:$B$31,MATCH(I22,Macro_Lookup!$A$2:$A$31,0))="","",INDEX(Macro_Lookup!$B$2:$B$31,MATCH(I22,Macro_Lookup!$A$2:$A$31,0))),""))</f>
        <v>6.01</v>
      </c>
      <c r="CD22" s="4">
        <f>IF(I22="","",IFERROR(IF(INDEX(Macro_Lookup!$C$2:$C$31,MATCH(I22,Macro_Lookup!$A$2:$A$31,0))="","",INDEX(Macro_Lookup!$C$2:$C$31,MATCH(I22,Macro_Lookup!$A$2:$A$31,0))),""))</f>
        <v>7.53</v>
      </c>
      <c r="CE22" s="4">
        <f>IF(BJ22="","",IFERROR(IF(INDEX(Macro_Lookup!$B$2:$B$31,MATCH(BJ22,Macro_Lookup!$A$2:$A$31,0))="","",INDEX(Macro_Lookup!$B$2:$B$31,MATCH(BJ22,Macro_Lookup!$A$2:$A$31,0))),""))</f>
        <v>7.1</v>
      </c>
      <c r="CF22" s="4">
        <f>IF(BJ22="","",IFERROR(IF(INDEX(Macro_Lookup!$C$2:$C$31,MATCH(BJ22,Macro_Lookup!$A$2:$A$31,0))="","",INDEX(Macro_Lookup!$C$2:$C$31,MATCH(BJ22,Macro_Lookup!$A$2:$A$31,0))),""))</f>
        <v>7.7</v>
      </c>
      <c r="CG22" s="4">
        <v>3</v>
      </c>
    </row>
    <row r="23" spans="1:85" x14ac:dyDescent="0.3">
      <c r="A23" s="4" t="s">
        <v>199</v>
      </c>
      <c r="B23" s="4" t="s">
        <v>200</v>
      </c>
      <c r="C23" s="4" t="s">
        <v>87</v>
      </c>
      <c r="D23" s="4" t="s">
        <v>88</v>
      </c>
      <c r="E23" s="4">
        <v>0</v>
      </c>
      <c r="F23" s="4" t="s">
        <v>89</v>
      </c>
      <c r="G23" s="4"/>
      <c r="H23" s="4"/>
      <c r="I23" s="5">
        <v>2015</v>
      </c>
      <c r="J23" s="4"/>
      <c r="K23" s="4" t="s">
        <v>90</v>
      </c>
      <c r="L23" s="6">
        <v>46295</v>
      </c>
      <c r="M23" s="4">
        <f t="shared" si="0"/>
        <v>140</v>
      </c>
      <c r="N23" s="4">
        <f t="shared" si="1"/>
        <v>11.67</v>
      </c>
      <c r="O23" s="4" t="s">
        <v>201</v>
      </c>
      <c r="P23" s="4" t="s">
        <v>161</v>
      </c>
      <c r="Q23" s="4" t="s">
        <v>202</v>
      </c>
      <c r="R23" s="4">
        <v>0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 t="s">
        <v>197</v>
      </c>
      <c r="Y23" s="4">
        <v>3</v>
      </c>
      <c r="Z23" s="4">
        <v>1</v>
      </c>
      <c r="AA23" s="4"/>
      <c r="AB23" s="4"/>
      <c r="AC23" s="4"/>
      <c r="AD23" s="7"/>
      <c r="AE23" s="4"/>
      <c r="AF23" s="4">
        <f>IF(SUMIF(Founders_Clean!$A$2:$A$159,A23,Founders_Clean!$C$2:$C$159)=0,"",SUMIF(Founders_Clean!$A$2:$A$159,A23,Founders_Clean!$C$2:$C$159))</f>
        <v>3</v>
      </c>
      <c r="AG23" s="4">
        <f>IF(AF23="","",SUMIF(Founders_Clean!$A$2:$A$159,A23,Founders_Clean!$D$2:$D$159))</f>
        <v>3</v>
      </c>
      <c r="AH23" s="4">
        <f>IF(AF23="","",SUMIF(Founders_Clean!$A$2:$A$159,A23,Founders_Clean!$E$2:$E$159))</f>
        <v>0</v>
      </c>
      <c r="AI23" s="8">
        <f t="shared" si="2"/>
        <v>0</v>
      </c>
      <c r="AJ23" s="4">
        <f t="shared" si="3"/>
        <v>0</v>
      </c>
      <c r="AK23" s="8">
        <f t="shared" si="4"/>
        <v>0</v>
      </c>
      <c r="AL23" s="4"/>
      <c r="AM23" s="4">
        <v>2</v>
      </c>
      <c r="AN23" s="4" t="s">
        <v>96</v>
      </c>
      <c r="AO23" s="4">
        <v>0</v>
      </c>
      <c r="AP23" s="8">
        <v>0</v>
      </c>
      <c r="AQ23" s="4">
        <v>0</v>
      </c>
      <c r="AR23" s="4"/>
      <c r="AS23" s="4"/>
      <c r="AT23" s="7"/>
      <c r="AU23" s="4"/>
      <c r="AV23" s="4"/>
      <c r="AW23" s="4"/>
      <c r="AX23" s="4" t="s">
        <v>99</v>
      </c>
      <c r="AY23" s="4" t="s">
        <v>100</v>
      </c>
      <c r="AZ23" s="4"/>
      <c r="BA23" s="4">
        <v>0</v>
      </c>
      <c r="BB23" s="4">
        <v>0</v>
      </c>
      <c r="BC23" s="4">
        <v>0</v>
      </c>
      <c r="BD23" s="5"/>
      <c r="BE23" s="4"/>
      <c r="BF23" s="4">
        <f t="shared" si="5"/>
        <v>140</v>
      </c>
      <c r="BG23" s="4">
        <v>0</v>
      </c>
      <c r="BH23" s="7">
        <v>0</v>
      </c>
      <c r="BI23" s="4" t="s">
        <v>112</v>
      </c>
      <c r="BJ23" s="5"/>
      <c r="BK23" s="4">
        <v>0</v>
      </c>
      <c r="BL23" s="4">
        <f>COUNTIFS(Investments_Clean!$A$2:$A$150,A23,Investments_Clean!$F$2:$F$150,"Accepted")</f>
        <v>0</v>
      </c>
      <c r="BM23" s="4" t="str">
        <f>IF(BL23=0,"",IF((COUNTIFS(Investments_Clean!$A$2:$A$150,A23,Investments_Clean!$D$2:$D$150,"VC/PE",Investments_Clean!$F$2:$F$150,"Accepted"))&gt;0,1,0))</f>
        <v/>
      </c>
      <c r="BN23" s="4" t="str">
        <f>IF(BL23=0,"",IF((COUNTIFS(Investments_Clean!$A$2:$A$150,A23,Investments_Clean!$D$2:$D$150,"Angel",Investments_Clean!$F$2:$F$150,"Accepted"))&gt;0,1,0))</f>
        <v/>
      </c>
      <c r="BO23" s="4" t="str">
        <f>IF(BL23=0,"",IF((COUNTIFS(Investments_Clean!$A$2:$A$150,A23,Investments_Clean!$D$2:$D$150,"Accelerator",Investments_Clean!$F$2:$F$150,"Accepted"))&gt;0,1,0))</f>
        <v/>
      </c>
      <c r="BP23" s="4" t="str">
        <f>IF(BL23=0,"",IF((COUNTIFS(Investments_Clean!$A$2:$A$150,A23,Investments_Clean!$D$2:$D$150,"Corporate",Investments_Clean!$F$2:$F$150,"Accepted"))&gt;0,1,0))</f>
        <v/>
      </c>
      <c r="BQ23" s="4" t="str">
        <f>IF(BL23=0,"",IF((COUNTIFS(Investments_Clean!$A$2:$A$150,A23,Investments_Clean!$D$2:$D$150,"Government",Investments_Clean!$F$2:$F$150,"Accepted"))&gt;0,1,0))</f>
        <v/>
      </c>
      <c r="BR23" s="4" t="str">
        <f>IF(BL23=0,"",IF((COUNTIFS(Investments_Clean!$A$2:$A$150,A23,Investments_Clean!$D$2:$D$150,"Grant/Philanthropic",Investments_Clean!$F$2:$F$150,"Accepted")+COUNTIFS(Investments_Clean!$A$2:$A$150,A23,Investments_Clean!$D$2:$D$150,"DFI/Impact",Investments_Clean!$F$2:$F$150,"Accepted"))&gt;0,1,0))</f>
        <v/>
      </c>
      <c r="BS23" s="4"/>
      <c r="BT23" s="4"/>
      <c r="BU23" s="4"/>
      <c r="BV23" s="7"/>
      <c r="BW23" s="4"/>
      <c r="BX23" s="4"/>
      <c r="BY23" s="7"/>
      <c r="BZ23" s="4"/>
      <c r="CA23" s="4">
        <v>0</v>
      </c>
      <c r="CB23" s="4"/>
      <c r="CC23" s="4">
        <f>IF(I23="","",IFERROR(IF(INDEX(Macro_Lookup!$B$2:$B$31,MATCH(I23,Macro_Lookup!$A$2:$A$31,0))="","",INDEX(Macro_Lookup!$B$2:$B$31,MATCH(I23,Macro_Lookup!$A$2:$A$31,0))),""))</f>
        <v>6.55</v>
      </c>
      <c r="CD23" s="4">
        <f>IF(I23="","",IFERROR(IF(INDEX(Macro_Lookup!$C$2:$C$31,MATCH(I23,Macro_Lookup!$A$2:$A$31,0))="","",INDEX(Macro_Lookup!$C$2:$C$31,MATCH(I23,Macro_Lookup!$A$2:$A$31,0))),""))</f>
        <v>6.4</v>
      </c>
      <c r="CE23" s="4" t="str">
        <f>IF(BJ23="","",IFERROR(IF(INDEX(Macro_Lookup!$B$2:$B$31,MATCH(BJ23,Macro_Lookup!$A$2:$A$31,0))="","",INDEX(Macro_Lookup!$B$2:$B$31,MATCH(BJ23,Macro_Lookup!$A$2:$A$31,0))),""))</f>
        <v/>
      </c>
      <c r="CF23" s="4" t="str">
        <f>IF(BJ23="","",IFERROR(IF(INDEX(Macro_Lookup!$C$2:$C$31,MATCH(BJ23,Macro_Lookup!$A$2:$A$31,0))="","",INDEX(Macro_Lookup!$C$2:$C$31,MATCH(BJ23,Macro_Lookup!$A$2:$A$31,0))),""))</f>
        <v/>
      </c>
      <c r="CG23" s="4">
        <v>4</v>
      </c>
    </row>
    <row r="24" spans="1:85" x14ac:dyDescent="0.3">
      <c r="A24" s="4" t="s">
        <v>203</v>
      </c>
      <c r="B24" s="4" t="s">
        <v>204</v>
      </c>
      <c r="C24" s="4" t="s">
        <v>87</v>
      </c>
      <c r="D24" s="4" t="s">
        <v>88</v>
      </c>
      <c r="E24" s="4">
        <v>0</v>
      </c>
      <c r="F24" s="4" t="s">
        <v>89</v>
      </c>
      <c r="G24" s="4"/>
      <c r="H24" s="4"/>
      <c r="I24" s="5">
        <v>2015</v>
      </c>
      <c r="J24" s="4"/>
      <c r="K24" s="4" t="s">
        <v>90</v>
      </c>
      <c r="L24" s="6">
        <v>46295</v>
      </c>
      <c r="M24" s="4">
        <f t="shared" si="0"/>
        <v>140</v>
      </c>
      <c r="N24" s="4">
        <f t="shared" si="1"/>
        <v>11.67</v>
      </c>
      <c r="O24" s="4" t="s">
        <v>205</v>
      </c>
      <c r="P24" s="4" t="s">
        <v>206</v>
      </c>
      <c r="Q24" s="4" t="s">
        <v>207</v>
      </c>
      <c r="R24" s="4">
        <v>0</v>
      </c>
      <c r="S24" s="4">
        <v>0</v>
      </c>
      <c r="T24" s="4">
        <v>1</v>
      </c>
      <c r="U24" s="4">
        <v>0</v>
      </c>
      <c r="V24" s="4">
        <v>0</v>
      </c>
      <c r="W24" s="4">
        <v>0</v>
      </c>
      <c r="X24" s="4" t="s">
        <v>197</v>
      </c>
      <c r="Y24" s="4">
        <v>3</v>
      </c>
      <c r="Z24" s="4">
        <v>1</v>
      </c>
      <c r="AA24" s="4"/>
      <c r="AB24" s="4"/>
      <c r="AC24" s="4"/>
      <c r="AD24" s="7"/>
      <c r="AE24" s="4"/>
      <c r="AF24" s="4">
        <f>IF(SUMIF(Founders_Clean!$A$2:$A$159,A24,Founders_Clean!$C$2:$C$159)=0,"",SUMIF(Founders_Clean!$A$2:$A$159,A24,Founders_Clean!$C$2:$C$159))</f>
        <v>3</v>
      </c>
      <c r="AG24" s="4">
        <f>IF(AF24="","",SUMIF(Founders_Clean!$A$2:$A$159,A24,Founders_Clean!$D$2:$D$159))</f>
        <v>3</v>
      </c>
      <c r="AH24" s="4">
        <f>IF(AF24="","",SUMIF(Founders_Clean!$A$2:$A$159,A24,Founders_Clean!$E$2:$E$159))</f>
        <v>0</v>
      </c>
      <c r="AI24" s="8">
        <f t="shared" si="2"/>
        <v>0</v>
      </c>
      <c r="AJ24" s="4">
        <f t="shared" si="3"/>
        <v>0</v>
      </c>
      <c r="AK24" s="8">
        <f t="shared" si="4"/>
        <v>0</v>
      </c>
      <c r="AL24" s="4"/>
      <c r="AM24" s="4">
        <v>2</v>
      </c>
      <c r="AN24" s="4" t="s">
        <v>96</v>
      </c>
      <c r="AO24" s="4">
        <v>1</v>
      </c>
      <c r="AP24" s="8">
        <v>0.5</v>
      </c>
      <c r="AQ24" s="4">
        <v>1</v>
      </c>
      <c r="AR24" s="4">
        <v>4</v>
      </c>
      <c r="AS24" s="4">
        <v>4</v>
      </c>
      <c r="AT24" s="7"/>
      <c r="AU24" s="4"/>
      <c r="AV24" s="4"/>
      <c r="AW24" s="4"/>
      <c r="AX24" s="4" t="s">
        <v>99</v>
      </c>
      <c r="AY24" s="4" t="s">
        <v>100</v>
      </c>
      <c r="AZ24" s="4"/>
      <c r="BA24" s="4">
        <v>0</v>
      </c>
      <c r="BB24" s="4">
        <v>0</v>
      </c>
      <c r="BC24" s="4">
        <v>0</v>
      </c>
      <c r="BD24" s="5"/>
      <c r="BE24" s="4"/>
      <c r="BF24" s="4">
        <f t="shared" si="5"/>
        <v>140</v>
      </c>
      <c r="BG24" s="4">
        <v>1</v>
      </c>
      <c r="BH24" s="7">
        <v>12000000</v>
      </c>
      <c r="BI24" s="4" t="s">
        <v>101</v>
      </c>
      <c r="BJ24" s="5">
        <v>2024</v>
      </c>
      <c r="BK24" s="4">
        <v>1</v>
      </c>
      <c r="BL24" s="4">
        <f>COUNTIFS(Investments_Clean!$A$2:$A$150,A24,Investments_Clean!$F$2:$F$150,"Accepted")</f>
        <v>1</v>
      </c>
      <c r="BM24" s="4">
        <f>IF(BL24=0,"",IF((COUNTIFS(Investments_Clean!$A$2:$A$150,A24,Investments_Clean!$D$2:$D$150,"VC/PE",Investments_Clean!$F$2:$F$150,"Accepted"))&gt;0,1,0))</f>
        <v>1</v>
      </c>
      <c r="BN24" s="4">
        <f>IF(BL24=0,"",IF((COUNTIFS(Investments_Clean!$A$2:$A$150,A24,Investments_Clean!$D$2:$D$150,"Angel",Investments_Clean!$F$2:$F$150,"Accepted"))&gt;0,1,0))</f>
        <v>0</v>
      </c>
      <c r="BO24" s="4">
        <f>IF(BL24=0,"",IF((COUNTIFS(Investments_Clean!$A$2:$A$150,A24,Investments_Clean!$D$2:$D$150,"Accelerator",Investments_Clean!$F$2:$F$150,"Accepted"))&gt;0,1,0))</f>
        <v>0</v>
      </c>
      <c r="BP24" s="4">
        <f>IF(BL24=0,"",IF((COUNTIFS(Investments_Clean!$A$2:$A$150,A24,Investments_Clean!$D$2:$D$150,"Corporate",Investments_Clean!$F$2:$F$150,"Accepted"))&gt;0,1,0))</f>
        <v>0</v>
      </c>
      <c r="BQ24" s="4">
        <f>IF(BL24=0,"",IF((COUNTIFS(Investments_Clean!$A$2:$A$150,A24,Investments_Clean!$D$2:$D$150,"Government",Investments_Clean!$F$2:$F$150,"Accepted"))&gt;0,1,0))</f>
        <v>0</v>
      </c>
      <c r="BR24" s="4">
        <f>IF(BL24=0,"",IF((COUNTIFS(Investments_Clean!$A$2:$A$150,A24,Investments_Clean!$D$2:$D$150,"Grant/Philanthropic",Investments_Clean!$F$2:$F$150,"Accepted")+COUNTIFS(Investments_Clean!$A$2:$A$150,A24,Investments_Clean!$D$2:$D$150,"DFI/Impact",Investments_Clean!$F$2:$F$150,"Accepted"))&gt;0,1,0))</f>
        <v>0</v>
      </c>
      <c r="BS24" s="4"/>
      <c r="BT24" s="4"/>
      <c r="BU24" s="4"/>
      <c r="BV24" s="7"/>
      <c r="BW24" s="4"/>
      <c r="BX24" s="4"/>
      <c r="BY24" s="7"/>
      <c r="BZ24" s="4"/>
      <c r="CA24" s="4">
        <v>0</v>
      </c>
      <c r="CB24" s="4"/>
      <c r="CC24" s="4">
        <f>IF(I24="","",IFERROR(IF(INDEX(Macro_Lookup!$B$2:$B$31,MATCH(I24,Macro_Lookup!$A$2:$A$31,0))="","",INDEX(Macro_Lookup!$B$2:$B$31,MATCH(I24,Macro_Lookup!$A$2:$A$31,0))),""))</f>
        <v>6.55</v>
      </c>
      <c r="CD24" s="4">
        <f>IF(I24="","",IFERROR(IF(INDEX(Macro_Lookup!$C$2:$C$31,MATCH(I24,Macro_Lookup!$A$2:$A$31,0))="","",INDEX(Macro_Lookup!$C$2:$C$31,MATCH(I24,Macro_Lookup!$A$2:$A$31,0))),""))</f>
        <v>6.4</v>
      </c>
      <c r="CE24" s="4">
        <f>IF(BJ24="","",IFERROR(IF(INDEX(Macro_Lookup!$B$2:$B$31,MATCH(BJ24,Macro_Lookup!$A$2:$A$31,0))="","",INDEX(Macro_Lookup!$B$2:$B$31,MATCH(BJ24,Macro_Lookup!$A$2:$A$31,0))),""))</f>
        <v>4.22</v>
      </c>
      <c r="CF24" s="4">
        <f>IF(BJ24="","",IFERROR(IF(INDEX(Macro_Lookup!$C$2:$C$31,MATCH(BJ24,Macro_Lookup!$A$2:$A$31,0))="","",INDEX(Macro_Lookup!$C$2:$C$31,MATCH(BJ24,Macro_Lookup!$A$2:$A$31,0))),""))</f>
        <v>9.6999999999999993</v>
      </c>
      <c r="CG24" s="4">
        <v>4</v>
      </c>
    </row>
    <row r="25" spans="1:85" x14ac:dyDescent="0.3">
      <c r="A25" s="4" t="s">
        <v>208</v>
      </c>
      <c r="B25" s="4" t="s">
        <v>209</v>
      </c>
      <c r="C25" s="4" t="s">
        <v>87</v>
      </c>
      <c r="D25" s="4" t="s">
        <v>88</v>
      </c>
      <c r="E25" s="4">
        <v>0</v>
      </c>
      <c r="F25" s="4" t="s">
        <v>89</v>
      </c>
      <c r="G25" s="4"/>
      <c r="H25" s="4"/>
      <c r="I25" s="5">
        <v>2014</v>
      </c>
      <c r="J25" s="4"/>
      <c r="K25" s="4" t="s">
        <v>90</v>
      </c>
      <c r="L25" s="6">
        <v>46295</v>
      </c>
      <c r="M25" s="4">
        <f t="shared" si="0"/>
        <v>152</v>
      </c>
      <c r="N25" s="4">
        <f t="shared" si="1"/>
        <v>12.67</v>
      </c>
      <c r="O25" s="4" t="s">
        <v>210</v>
      </c>
      <c r="P25" s="4" t="s">
        <v>206</v>
      </c>
      <c r="Q25" s="4" t="s">
        <v>211</v>
      </c>
      <c r="R25" s="4">
        <v>0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 t="s">
        <v>197</v>
      </c>
      <c r="Y25" s="4">
        <v>3</v>
      </c>
      <c r="Z25" s="4">
        <v>1</v>
      </c>
      <c r="AA25" s="4"/>
      <c r="AB25" s="4"/>
      <c r="AC25" s="4"/>
      <c r="AD25" s="7"/>
      <c r="AE25" s="4"/>
      <c r="AF25" s="4">
        <f>IF(SUMIF(Founders_Clean!$A$2:$A$159,A25,Founders_Clean!$C$2:$C$159)=0,"",SUMIF(Founders_Clean!$A$2:$A$159,A25,Founders_Clean!$C$2:$C$159))</f>
        <v>1</v>
      </c>
      <c r="AG25" s="4">
        <f>IF(AF25="","",SUMIF(Founders_Clean!$A$2:$A$159,A25,Founders_Clean!$D$2:$D$159))</f>
        <v>0</v>
      </c>
      <c r="AH25" s="4">
        <f>IF(AF25="","",SUMIF(Founders_Clean!$A$2:$A$159,A25,Founders_Clean!$E$2:$E$159))</f>
        <v>1</v>
      </c>
      <c r="AI25" s="8">
        <f t="shared" si="2"/>
        <v>1</v>
      </c>
      <c r="AJ25" s="4">
        <f t="shared" si="3"/>
        <v>1</v>
      </c>
      <c r="AK25" s="8">
        <f t="shared" si="4"/>
        <v>0</v>
      </c>
      <c r="AL25" s="4"/>
      <c r="AM25" s="4">
        <v>2</v>
      </c>
      <c r="AN25" s="4" t="s">
        <v>96</v>
      </c>
      <c r="AO25" s="4">
        <v>1</v>
      </c>
      <c r="AP25" s="8">
        <v>1</v>
      </c>
      <c r="AQ25" s="4">
        <v>0</v>
      </c>
      <c r="AR25" s="4">
        <v>13.5</v>
      </c>
      <c r="AS25" s="4">
        <v>13.5</v>
      </c>
      <c r="AT25" s="7"/>
      <c r="AU25" s="4"/>
      <c r="AV25" s="4"/>
      <c r="AW25" s="4"/>
      <c r="AX25" s="4" t="s">
        <v>99</v>
      </c>
      <c r="AY25" s="4" t="s">
        <v>100</v>
      </c>
      <c r="AZ25" s="4"/>
      <c r="BA25" s="4">
        <v>0</v>
      </c>
      <c r="BB25" s="4">
        <v>0</v>
      </c>
      <c r="BC25" s="4">
        <v>0</v>
      </c>
      <c r="BD25" s="5"/>
      <c r="BE25" s="4"/>
      <c r="BF25" s="4">
        <f t="shared" si="5"/>
        <v>152</v>
      </c>
      <c r="BG25" s="4">
        <v>1</v>
      </c>
      <c r="BH25" s="7">
        <v>3440000</v>
      </c>
      <c r="BI25" s="4" t="s">
        <v>101</v>
      </c>
      <c r="BJ25" s="5">
        <v>2023</v>
      </c>
      <c r="BK25" s="4">
        <v>1</v>
      </c>
      <c r="BL25" s="4">
        <f>COUNTIFS(Investments_Clean!$A$2:$A$150,A25,Investments_Clean!$F$2:$F$150,"Accepted")</f>
        <v>1</v>
      </c>
      <c r="BM25" s="4">
        <f>IF(BL25=0,"",IF((COUNTIFS(Investments_Clean!$A$2:$A$150,A25,Investments_Clean!$D$2:$D$150,"VC/PE",Investments_Clean!$F$2:$F$150,"Accepted"))&gt;0,1,0))</f>
        <v>1</v>
      </c>
      <c r="BN25" s="4">
        <f>IF(BL25=0,"",IF((COUNTIFS(Investments_Clean!$A$2:$A$150,A25,Investments_Clean!$D$2:$D$150,"Angel",Investments_Clean!$F$2:$F$150,"Accepted"))&gt;0,1,0))</f>
        <v>0</v>
      </c>
      <c r="BO25" s="4">
        <f>IF(BL25=0,"",IF((COUNTIFS(Investments_Clean!$A$2:$A$150,A25,Investments_Clean!$D$2:$D$150,"Accelerator",Investments_Clean!$F$2:$F$150,"Accepted"))&gt;0,1,0))</f>
        <v>0</v>
      </c>
      <c r="BP25" s="4">
        <f>IF(BL25=0,"",IF((COUNTIFS(Investments_Clean!$A$2:$A$150,A25,Investments_Clean!$D$2:$D$150,"Corporate",Investments_Clean!$F$2:$F$150,"Accepted"))&gt;0,1,0))</f>
        <v>0</v>
      </c>
      <c r="BQ25" s="4">
        <f>IF(BL25=0,"",IF((COUNTIFS(Investments_Clean!$A$2:$A$150,A25,Investments_Clean!$D$2:$D$150,"Government",Investments_Clean!$F$2:$F$150,"Accepted"))&gt;0,1,0))</f>
        <v>0</v>
      </c>
      <c r="BR25" s="4">
        <f>IF(BL25=0,"",IF((COUNTIFS(Investments_Clean!$A$2:$A$150,A25,Investments_Clean!$D$2:$D$150,"Grant/Philanthropic",Investments_Clean!$F$2:$F$150,"Accepted")+COUNTIFS(Investments_Clean!$A$2:$A$150,A25,Investments_Clean!$D$2:$D$150,"DFI/Impact",Investments_Clean!$F$2:$F$150,"Accepted"))&gt;0,1,0))</f>
        <v>0</v>
      </c>
      <c r="BS25" s="4"/>
      <c r="BT25" s="4"/>
      <c r="BU25" s="4"/>
      <c r="BV25" s="7"/>
      <c r="BW25" s="4"/>
      <c r="BX25" s="4"/>
      <c r="BY25" s="7"/>
      <c r="BZ25" s="4"/>
      <c r="CA25" s="4">
        <v>0</v>
      </c>
      <c r="CB25" s="4"/>
      <c r="CC25" s="4">
        <f>IF(I25="","",IFERROR(IF(INDEX(Macro_Lookup!$B$2:$B$31,MATCH(I25,Macro_Lookup!$A$2:$A$31,0))="","",INDEX(Macro_Lookup!$B$2:$B$31,MATCH(I25,Macro_Lookup!$A$2:$A$31,0))),""))</f>
        <v>6.06</v>
      </c>
      <c r="CD25" s="4">
        <f>IF(I25="","",IFERROR(IF(INDEX(Macro_Lookup!$C$2:$C$31,MATCH(I25,Macro_Lookup!$A$2:$A$31,0))="","",INDEX(Macro_Lookup!$C$2:$C$31,MATCH(I25,Macro_Lookup!$A$2:$A$31,0))),""))</f>
        <v>6.99</v>
      </c>
      <c r="CE25" s="4">
        <f>IF(BJ25="","",IFERROR(IF(INDEX(Macro_Lookup!$B$2:$B$31,MATCH(BJ25,Macro_Lookup!$A$2:$A$31,0))="","",INDEX(Macro_Lookup!$B$2:$B$31,MATCH(BJ25,Macro_Lookup!$A$2:$A$31,0))),""))</f>
        <v>5.78</v>
      </c>
      <c r="CF25" s="4">
        <f>IF(BJ25="","",IFERROR(IF(INDEX(Macro_Lookup!$C$2:$C$31,MATCH(BJ25,Macro_Lookup!$A$2:$A$31,0))="","",INDEX(Macro_Lookup!$C$2:$C$31,MATCH(BJ25,Macro_Lookup!$A$2:$A$31,0))),""))</f>
        <v>9.02</v>
      </c>
      <c r="CG25" s="4">
        <v>4</v>
      </c>
    </row>
    <row r="26" spans="1:85" x14ac:dyDescent="0.3">
      <c r="A26" s="4" t="s">
        <v>212</v>
      </c>
      <c r="B26" s="4" t="s">
        <v>213</v>
      </c>
      <c r="C26" s="4" t="s">
        <v>87</v>
      </c>
      <c r="D26" s="4" t="s">
        <v>88</v>
      </c>
      <c r="E26" s="4">
        <v>0</v>
      </c>
      <c r="F26" s="4" t="s">
        <v>89</v>
      </c>
      <c r="G26" s="4"/>
      <c r="H26" s="4"/>
      <c r="I26" s="5">
        <v>2014</v>
      </c>
      <c r="J26" s="4"/>
      <c r="K26" s="4" t="s">
        <v>90</v>
      </c>
      <c r="L26" s="6">
        <v>46295</v>
      </c>
      <c r="M26" s="4">
        <f t="shared" si="0"/>
        <v>152</v>
      </c>
      <c r="N26" s="4">
        <f t="shared" si="1"/>
        <v>12.67</v>
      </c>
      <c r="O26" s="4" t="s">
        <v>214</v>
      </c>
      <c r="P26" s="4" t="s">
        <v>206</v>
      </c>
      <c r="Q26" s="4" t="s">
        <v>215</v>
      </c>
      <c r="R26" s="4">
        <v>1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 t="s">
        <v>197</v>
      </c>
      <c r="Y26" s="4">
        <v>3</v>
      </c>
      <c r="Z26" s="4">
        <v>1</v>
      </c>
      <c r="AA26" s="4"/>
      <c r="AB26" s="4"/>
      <c r="AC26" s="4"/>
      <c r="AD26" s="7"/>
      <c r="AE26" s="4"/>
      <c r="AF26" s="4">
        <f>IF(SUMIF(Founders_Clean!$A$2:$A$159,A26,Founders_Clean!$C$2:$C$159)=0,"",SUMIF(Founders_Clean!$A$2:$A$159,A26,Founders_Clean!$C$2:$C$159))</f>
        <v>1</v>
      </c>
      <c r="AG26" s="4">
        <f>IF(AF26="","",SUMIF(Founders_Clean!$A$2:$A$159,A26,Founders_Clean!$D$2:$D$159))</f>
        <v>1</v>
      </c>
      <c r="AH26" s="4">
        <f>IF(AF26="","",SUMIF(Founders_Clean!$A$2:$A$159,A26,Founders_Clean!$E$2:$E$159))</f>
        <v>0</v>
      </c>
      <c r="AI26" s="8">
        <f t="shared" si="2"/>
        <v>0</v>
      </c>
      <c r="AJ26" s="4">
        <f t="shared" si="3"/>
        <v>0</v>
      </c>
      <c r="AK26" s="8">
        <f t="shared" si="4"/>
        <v>0</v>
      </c>
      <c r="AL26" s="4"/>
      <c r="AM26" s="4">
        <v>2</v>
      </c>
      <c r="AN26" s="4" t="s">
        <v>96</v>
      </c>
      <c r="AO26" s="4">
        <v>1</v>
      </c>
      <c r="AP26" s="8">
        <v>1</v>
      </c>
      <c r="AQ26" s="4">
        <v>1</v>
      </c>
      <c r="AR26" s="4">
        <v>6</v>
      </c>
      <c r="AS26" s="4">
        <v>6</v>
      </c>
      <c r="AT26" s="7"/>
      <c r="AU26" s="4"/>
      <c r="AV26" s="4"/>
      <c r="AW26" s="4"/>
      <c r="AX26" s="4" t="s">
        <v>99</v>
      </c>
      <c r="AY26" s="4" t="s">
        <v>100</v>
      </c>
      <c r="AZ26" s="4"/>
      <c r="BA26" s="4">
        <v>0</v>
      </c>
      <c r="BB26" s="4">
        <v>0</v>
      </c>
      <c r="BC26" s="4">
        <v>0</v>
      </c>
      <c r="BD26" s="5"/>
      <c r="BE26" s="4"/>
      <c r="BF26" s="4">
        <f t="shared" si="5"/>
        <v>152</v>
      </c>
      <c r="BG26" s="4">
        <v>1</v>
      </c>
      <c r="BH26" s="7"/>
      <c r="BI26" s="4"/>
      <c r="BJ26" s="5">
        <v>2015</v>
      </c>
      <c r="BK26" s="4">
        <v>1</v>
      </c>
      <c r="BL26" s="4">
        <f>COUNTIFS(Investments_Clean!$A$2:$A$150,A26,Investments_Clean!$F$2:$F$150,"Accepted")</f>
        <v>0</v>
      </c>
      <c r="BM26" s="4" t="str">
        <f>IF(BL26=0,"",IF((COUNTIFS(Investments_Clean!$A$2:$A$150,A26,Investments_Clean!$D$2:$D$150,"VC/PE",Investments_Clean!$F$2:$F$150,"Accepted"))&gt;0,1,0))</f>
        <v/>
      </c>
      <c r="BN26" s="4" t="str">
        <f>IF(BL26=0,"",IF((COUNTIFS(Investments_Clean!$A$2:$A$150,A26,Investments_Clean!$D$2:$D$150,"Angel",Investments_Clean!$F$2:$F$150,"Accepted"))&gt;0,1,0))</f>
        <v/>
      </c>
      <c r="BO26" s="4" t="str">
        <f>IF(BL26=0,"",IF((COUNTIFS(Investments_Clean!$A$2:$A$150,A26,Investments_Clean!$D$2:$D$150,"Accelerator",Investments_Clean!$F$2:$F$150,"Accepted"))&gt;0,1,0))</f>
        <v/>
      </c>
      <c r="BP26" s="4" t="str">
        <f>IF(BL26=0,"",IF((COUNTIFS(Investments_Clean!$A$2:$A$150,A26,Investments_Clean!$D$2:$D$150,"Corporate",Investments_Clean!$F$2:$F$150,"Accepted"))&gt;0,1,0))</f>
        <v/>
      </c>
      <c r="BQ26" s="4" t="str">
        <f>IF(BL26=0,"",IF((COUNTIFS(Investments_Clean!$A$2:$A$150,A26,Investments_Clean!$D$2:$D$150,"Government",Investments_Clean!$F$2:$F$150,"Accepted"))&gt;0,1,0))</f>
        <v/>
      </c>
      <c r="BR26" s="4" t="str">
        <f>IF(BL26=0,"",IF((COUNTIFS(Investments_Clean!$A$2:$A$150,A26,Investments_Clean!$D$2:$D$150,"Grant/Philanthropic",Investments_Clean!$F$2:$F$150,"Accepted")+COUNTIFS(Investments_Clean!$A$2:$A$150,A26,Investments_Clean!$D$2:$D$150,"DFI/Impact",Investments_Clean!$F$2:$F$150,"Accepted"))&gt;0,1,0))</f>
        <v/>
      </c>
      <c r="BS26" s="4"/>
      <c r="BT26" s="4"/>
      <c r="BU26" s="4"/>
      <c r="BV26" s="7"/>
      <c r="BW26" s="4"/>
      <c r="BX26" s="4"/>
      <c r="BY26" s="7"/>
      <c r="BZ26" s="4"/>
      <c r="CA26" s="4">
        <v>0</v>
      </c>
      <c r="CB26" s="4"/>
      <c r="CC26" s="4">
        <f>IF(I26="","",IFERROR(IF(INDEX(Macro_Lookup!$B$2:$B$31,MATCH(I26,Macro_Lookup!$A$2:$A$31,0))="","",INDEX(Macro_Lookup!$B$2:$B$31,MATCH(I26,Macro_Lookup!$A$2:$A$31,0))),""))</f>
        <v>6.06</v>
      </c>
      <c r="CD26" s="4">
        <f>IF(I26="","",IFERROR(IF(INDEX(Macro_Lookup!$C$2:$C$31,MATCH(I26,Macro_Lookup!$A$2:$A$31,0))="","",INDEX(Macro_Lookup!$C$2:$C$31,MATCH(I26,Macro_Lookup!$A$2:$A$31,0))),""))</f>
        <v>6.99</v>
      </c>
      <c r="CE26" s="4">
        <f>IF(BJ26="","",IFERROR(IF(INDEX(Macro_Lookup!$B$2:$B$31,MATCH(BJ26,Macro_Lookup!$A$2:$A$31,0))="","",INDEX(Macro_Lookup!$B$2:$B$31,MATCH(BJ26,Macro_Lookup!$A$2:$A$31,0))),""))</f>
        <v>6.55</v>
      </c>
      <c r="CF26" s="4">
        <f>IF(BJ26="","",IFERROR(IF(INDEX(Macro_Lookup!$C$2:$C$31,MATCH(BJ26,Macro_Lookup!$A$2:$A$31,0))="","",INDEX(Macro_Lookup!$C$2:$C$31,MATCH(BJ26,Macro_Lookup!$A$2:$A$31,0))),""))</f>
        <v>6.4</v>
      </c>
      <c r="CG26" s="4">
        <v>4</v>
      </c>
    </row>
    <row r="27" spans="1:85" x14ac:dyDescent="0.3">
      <c r="A27" s="4" t="s">
        <v>216</v>
      </c>
      <c r="B27" s="4" t="s">
        <v>217</v>
      </c>
      <c r="C27" s="4" t="s">
        <v>87</v>
      </c>
      <c r="D27" s="4" t="s">
        <v>88</v>
      </c>
      <c r="E27" s="4">
        <v>0</v>
      </c>
      <c r="F27" s="4" t="s">
        <v>89</v>
      </c>
      <c r="G27" s="4"/>
      <c r="H27" s="4"/>
      <c r="I27" s="5">
        <v>2017</v>
      </c>
      <c r="J27" s="4"/>
      <c r="K27" s="4" t="s">
        <v>90</v>
      </c>
      <c r="L27" s="6">
        <v>46295</v>
      </c>
      <c r="M27" s="4">
        <f t="shared" si="0"/>
        <v>116</v>
      </c>
      <c r="N27" s="4">
        <f t="shared" si="1"/>
        <v>9.67</v>
      </c>
      <c r="O27" s="4" t="s">
        <v>218</v>
      </c>
      <c r="P27" s="4" t="s">
        <v>206</v>
      </c>
      <c r="Q27" s="4" t="s">
        <v>219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 t="s">
        <v>197</v>
      </c>
      <c r="Y27" s="4">
        <v>3</v>
      </c>
      <c r="Z27" s="4">
        <v>1</v>
      </c>
      <c r="AA27" s="4"/>
      <c r="AB27" s="4"/>
      <c r="AC27" s="4"/>
      <c r="AD27" s="7"/>
      <c r="AE27" s="4"/>
      <c r="AF27" s="4">
        <f>IF(SUMIF(Founders_Clean!$A$2:$A$159,A27,Founders_Clean!$C$2:$C$159)=0,"",SUMIF(Founders_Clean!$A$2:$A$159,A27,Founders_Clean!$C$2:$C$159))</f>
        <v>2</v>
      </c>
      <c r="AG27" s="4">
        <f>IF(AF27="","",SUMIF(Founders_Clean!$A$2:$A$159,A27,Founders_Clean!$D$2:$D$159))</f>
        <v>2</v>
      </c>
      <c r="AH27" s="4">
        <f>IF(AF27="","",SUMIF(Founders_Clean!$A$2:$A$159,A27,Founders_Clean!$E$2:$E$159))</f>
        <v>0</v>
      </c>
      <c r="AI27" s="8">
        <f t="shared" si="2"/>
        <v>0</v>
      </c>
      <c r="AJ27" s="4">
        <f t="shared" si="3"/>
        <v>0</v>
      </c>
      <c r="AK27" s="8">
        <f t="shared" si="4"/>
        <v>0</v>
      </c>
      <c r="AL27" s="4"/>
      <c r="AM27" s="4">
        <v>1</v>
      </c>
      <c r="AN27" s="4" t="s">
        <v>143</v>
      </c>
      <c r="AO27" s="4">
        <v>0</v>
      </c>
      <c r="AP27" s="8">
        <v>0</v>
      </c>
      <c r="AQ27" s="4">
        <v>0</v>
      </c>
      <c r="AR27" s="4">
        <v>14</v>
      </c>
      <c r="AS27" s="4">
        <v>14</v>
      </c>
      <c r="AT27" s="7"/>
      <c r="AU27" s="4"/>
      <c r="AV27" s="4"/>
      <c r="AW27" s="4"/>
      <c r="AX27" s="4" t="s">
        <v>99</v>
      </c>
      <c r="AY27" s="4" t="s">
        <v>100</v>
      </c>
      <c r="AZ27" s="4"/>
      <c r="BA27" s="4">
        <v>0</v>
      </c>
      <c r="BB27" s="4">
        <v>0</v>
      </c>
      <c r="BC27" s="4">
        <v>0</v>
      </c>
      <c r="BD27" s="5"/>
      <c r="BE27" s="4"/>
      <c r="BF27" s="4">
        <f t="shared" si="5"/>
        <v>116</v>
      </c>
      <c r="BG27" s="4">
        <v>1</v>
      </c>
      <c r="BH27" s="7">
        <v>4000000</v>
      </c>
      <c r="BI27" s="4" t="s">
        <v>101</v>
      </c>
      <c r="BJ27" s="5">
        <v>2021</v>
      </c>
      <c r="BK27" s="4">
        <v>1</v>
      </c>
      <c r="BL27" s="4">
        <f>COUNTIFS(Investments_Clean!$A$2:$A$150,A27,Investments_Clean!$F$2:$F$150,"Accepted")</f>
        <v>1</v>
      </c>
      <c r="BM27" s="4">
        <f>IF(BL27=0,"",IF((COUNTIFS(Investments_Clean!$A$2:$A$150,A27,Investments_Clean!$D$2:$D$150,"VC/PE",Investments_Clean!$F$2:$F$150,"Accepted"))&gt;0,1,0))</f>
        <v>0</v>
      </c>
      <c r="BN27" s="4">
        <f>IF(BL27=0,"",IF((COUNTIFS(Investments_Clean!$A$2:$A$150,A27,Investments_Clean!$D$2:$D$150,"Angel",Investments_Clean!$F$2:$F$150,"Accepted"))&gt;0,1,0))</f>
        <v>0</v>
      </c>
      <c r="BO27" s="4">
        <f>IF(BL27=0,"",IF((COUNTIFS(Investments_Clean!$A$2:$A$150,A27,Investments_Clean!$D$2:$D$150,"Accelerator",Investments_Clean!$F$2:$F$150,"Accepted"))&gt;0,1,0))</f>
        <v>0</v>
      </c>
      <c r="BP27" s="4">
        <f>IF(BL27=0,"",IF((COUNTIFS(Investments_Clean!$A$2:$A$150,A27,Investments_Clean!$D$2:$D$150,"Corporate",Investments_Clean!$F$2:$F$150,"Accepted"))&gt;0,1,0))</f>
        <v>0</v>
      </c>
      <c r="BQ27" s="4">
        <f>IF(BL27=0,"",IF((COUNTIFS(Investments_Clean!$A$2:$A$150,A27,Investments_Clean!$D$2:$D$150,"Government",Investments_Clean!$F$2:$F$150,"Accepted"))&gt;0,1,0))</f>
        <v>0</v>
      </c>
      <c r="BR27" s="4">
        <f>IF(BL27=0,"",IF((COUNTIFS(Investments_Clean!$A$2:$A$150,A27,Investments_Clean!$D$2:$D$150,"Grant/Philanthropic",Investments_Clean!$F$2:$F$150,"Accepted")+COUNTIFS(Investments_Clean!$A$2:$A$150,A27,Investments_Clean!$D$2:$D$150,"DFI/Impact",Investments_Clean!$F$2:$F$150,"Accepted"))&gt;0,1,0))</f>
        <v>1</v>
      </c>
      <c r="BS27" s="4"/>
      <c r="BT27" s="4"/>
      <c r="BU27" s="4"/>
      <c r="BV27" s="7"/>
      <c r="BW27" s="4"/>
      <c r="BX27" s="4"/>
      <c r="BY27" s="7"/>
      <c r="BZ27" s="4"/>
      <c r="CA27" s="4">
        <v>0</v>
      </c>
      <c r="CB27" s="4"/>
      <c r="CC27" s="4">
        <f>IF(I27="","",IFERROR(IF(INDEX(Macro_Lookup!$B$2:$B$31,MATCH(I27,Macro_Lookup!$A$2:$A$31,0))="","",INDEX(Macro_Lookup!$B$2:$B$31,MATCH(I27,Macro_Lookup!$A$2:$A$31,0))),""))</f>
        <v>6.59</v>
      </c>
      <c r="CD27" s="4">
        <f>IF(I27="","",IFERROR(IF(INDEX(Macro_Lookup!$C$2:$C$31,MATCH(I27,Macro_Lookup!$A$2:$A$31,0))="","",INDEX(Macro_Lookup!$C$2:$C$31,MATCH(I27,Macro_Lookup!$A$2:$A$31,0))),""))</f>
        <v>5.7</v>
      </c>
      <c r="CE27" s="4">
        <f>IF(BJ27="","",IFERROR(IF(INDEX(Macro_Lookup!$B$2:$B$31,MATCH(BJ27,Macro_Lookup!$A$2:$A$31,0))="","",INDEX(Macro_Lookup!$B$2:$B$31,MATCH(BJ27,Macro_Lookup!$A$2:$A$31,0))),""))</f>
        <v>6.94</v>
      </c>
      <c r="CF27" s="4">
        <f>IF(BJ27="","",IFERROR(IF(INDEX(Macro_Lookup!$C$2:$C$31,MATCH(BJ27,Macro_Lookup!$A$2:$A$31,0))="","",INDEX(Macro_Lookup!$C$2:$C$31,MATCH(BJ27,Macro_Lookup!$A$2:$A$31,0))),""))</f>
        <v>5.55</v>
      </c>
      <c r="CG27" s="4">
        <v>4</v>
      </c>
    </row>
    <row r="28" spans="1:85" x14ac:dyDescent="0.3">
      <c r="A28" s="4" t="s">
        <v>220</v>
      </c>
      <c r="B28" s="4" t="s">
        <v>221</v>
      </c>
      <c r="C28" s="4" t="s">
        <v>87</v>
      </c>
      <c r="D28" s="4" t="s">
        <v>88</v>
      </c>
      <c r="E28" s="4">
        <v>0</v>
      </c>
      <c r="F28" s="4" t="s">
        <v>89</v>
      </c>
      <c r="G28" s="4"/>
      <c r="H28" s="4"/>
      <c r="I28" s="5">
        <v>2019</v>
      </c>
      <c r="J28" s="4"/>
      <c r="K28" s="4" t="s">
        <v>90</v>
      </c>
      <c r="L28" s="6">
        <v>46295</v>
      </c>
      <c r="M28" s="4">
        <f t="shared" si="0"/>
        <v>92</v>
      </c>
      <c r="N28" s="4">
        <f t="shared" si="1"/>
        <v>7.67</v>
      </c>
      <c r="O28" s="4" t="s">
        <v>222</v>
      </c>
      <c r="P28" s="4" t="s">
        <v>206</v>
      </c>
      <c r="Q28" s="4" t="s">
        <v>223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 t="s">
        <v>197</v>
      </c>
      <c r="Y28" s="4">
        <v>3</v>
      </c>
      <c r="Z28" s="4">
        <v>1</v>
      </c>
      <c r="AA28" s="4"/>
      <c r="AB28" s="4"/>
      <c r="AC28" s="4"/>
      <c r="AD28" s="7"/>
      <c r="AE28" s="4"/>
      <c r="AF28" s="4">
        <f>IF(SUMIF(Founders_Clean!$A$2:$A$159,A28,Founders_Clean!$C$2:$C$159)=0,"",SUMIF(Founders_Clean!$A$2:$A$159,A28,Founders_Clean!$C$2:$C$159))</f>
        <v>3</v>
      </c>
      <c r="AG28" s="4">
        <f>IF(AF28="","",SUMIF(Founders_Clean!$A$2:$A$159,A28,Founders_Clean!$D$2:$D$159))</f>
        <v>3</v>
      </c>
      <c r="AH28" s="4">
        <f>IF(AF28="","",SUMIF(Founders_Clean!$A$2:$A$159,A28,Founders_Clean!$E$2:$E$159))</f>
        <v>0</v>
      </c>
      <c r="AI28" s="8">
        <f t="shared" si="2"/>
        <v>0</v>
      </c>
      <c r="AJ28" s="4">
        <f t="shared" si="3"/>
        <v>0</v>
      </c>
      <c r="AK28" s="8">
        <f t="shared" si="4"/>
        <v>0</v>
      </c>
      <c r="AL28" s="4"/>
      <c r="AM28" s="4"/>
      <c r="AN28" s="4"/>
      <c r="AO28" s="4"/>
      <c r="AP28" s="8"/>
      <c r="AQ28" s="4">
        <v>0</v>
      </c>
      <c r="AR28" s="4"/>
      <c r="AS28" s="4"/>
      <c r="AT28" s="7"/>
      <c r="AU28" s="4"/>
      <c r="AV28" s="4"/>
      <c r="AW28" s="4"/>
      <c r="AX28" s="4" t="s">
        <v>99</v>
      </c>
      <c r="AY28" s="4" t="s">
        <v>100</v>
      </c>
      <c r="AZ28" s="4"/>
      <c r="BA28" s="4">
        <v>0</v>
      </c>
      <c r="BB28" s="4">
        <v>0</v>
      </c>
      <c r="BC28" s="4">
        <v>0</v>
      </c>
      <c r="BD28" s="5"/>
      <c r="BE28" s="4"/>
      <c r="BF28" s="4">
        <f t="shared" si="5"/>
        <v>92</v>
      </c>
      <c r="BG28" s="4">
        <v>1</v>
      </c>
      <c r="BH28" s="7"/>
      <c r="BI28" s="4"/>
      <c r="BJ28" s="5">
        <v>2020</v>
      </c>
      <c r="BK28" s="4">
        <v>1</v>
      </c>
      <c r="BL28" s="4">
        <f>COUNTIFS(Investments_Clean!$A$2:$A$150,A28,Investments_Clean!$F$2:$F$150,"Accepted")</f>
        <v>1</v>
      </c>
      <c r="BM28" s="4">
        <f>IF(BL28=0,"",IF((COUNTIFS(Investments_Clean!$A$2:$A$150,A28,Investments_Clean!$D$2:$D$150,"VC/PE",Investments_Clean!$F$2:$F$150,"Accepted"))&gt;0,1,0))</f>
        <v>0</v>
      </c>
      <c r="BN28" s="4">
        <f>IF(BL28=0,"",IF((COUNTIFS(Investments_Clean!$A$2:$A$150,A28,Investments_Clean!$D$2:$D$150,"Angel",Investments_Clean!$F$2:$F$150,"Accepted"))&gt;0,1,0))</f>
        <v>1</v>
      </c>
      <c r="BO28" s="4">
        <f>IF(BL28=0,"",IF((COUNTIFS(Investments_Clean!$A$2:$A$150,A28,Investments_Clean!$D$2:$D$150,"Accelerator",Investments_Clean!$F$2:$F$150,"Accepted"))&gt;0,1,0))</f>
        <v>0</v>
      </c>
      <c r="BP28" s="4">
        <f>IF(BL28=0,"",IF((COUNTIFS(Investments_Clean!$A$2:$A$150,A28,Investments_Clean!$D$2:$D$150,"Corporate",Investments_Clean!$F$2:$F$150,"Accepted"))&gt;0,1,0))</f>
        <v>0</v>
      </c>
      <c r="BQ28" s="4">
        <f>IF(BL28=0,"",IF((COUNTIFS(Investments_Clean!$A$2:$A$150,A28,Investments_Clean!$D$2:$D$150,"Government",Investments_Clean!$F$2:$F$150,"Accepted"))&gt;0,1,0))</f>
        <v>0</v>
      </c>
      <c r="BR28" s="4">
        <f>IF(BL28=0,"",IF((COUNTIFS(Investments_Clean!$A$2:$A$150,A28,Investments_Clean!$D$2:$D$150,"Grant/Philanthropic",Investments_Clean!$F$2:$F$150,"Accepted")+COUNTIFS(Investments_Clean!$A$2:$A$150,A28,Investments_Clean!$D$2:$D$150,"DFI/Impact",Investments_Clean!$F$2:$F$150,"Accepted"))&gt;0,1,0))</f>
        <v>0</v>
      </c>
      <c r="BS28" s="4"/>
      <c r="BT28" s="4"/>
      <c r="BU28" s="4"/>
      <c r="BV28" s="7"/>
      <c r="BW28" s="4"/>
      <c r="BX28" s="4"/>
      <c r="BY28" s="7"/>
      <c r="BZ28" s="4"/>
      <c r="CA28" s="4">
        <v>0</v>
      </c>
      <c r="CB28" s="4"/>
      <c r="CC28" s="4">
        <f>IF(I28="","",IFERROR(IF(INDEX(Macro_Lookup!$B$2:$B$31,MATCH(I28,Macro_Lookup!$A$2:$A$31,0))="","",INDEX(Macro_Lookup!$B$2:$B$31,MATCH(I28,Macro_Lookup!$A$2:$A$31,0))),""))</f>
        <v>7.88</v>
      </c>
      <c r="CD28" s="4">
        <f>IF(I28="","",IFERROR(IF(INDEX(Macro_Lookup!$C$2:$C$31,MATCH(I28,Macro_Lookup!$A$2:$A$31,0))="","",INDEX(Macro_Lookup!$C$2:$C$31,MATCH(I28,Macro_Lookup!$A$2:$A$31,0))),""))</f>
        <v>5.5</v>
      </c>
      <c r="CE28" s="4">
        <f>IF(BJ28="","",IFERROR(IF(INDEX(Macro_Lookup!$B$2:$B$31,MATCH(BJ28,Macro_Lookup!$A$2:$A$31,0))="","",INDEX(Macro_Lookup!$B$2:$B$31,MATCH(BJ28,Macro_Lookup!$A$2:$A$31,0))),""))</f>
        <v>3.45</v>
      </c>
      <c r="CF28" s="4">
        <f>IF(BJ28="","",IFERROR(IF(INDEX(Macro_Lookup!$C$2:$C$31,MATCH(BJ28,Macro_Lookup!$A$2:$A$31,0))="","",INDEX(Macro_Lookup!$C$2:$C$31,MATCH(BJ28,Macro_Lookup!$A$2:$A$31,0))),""))</f>
        <v>5.69</v>
      </c>
      <c r="CG28" s="4">
        <v>5</v>
      </c>
    </row>
    <row r="29" spans="1:85" x14ac:dyDescent="0.3">
      <c r="A29" s="4" t="s">
        <v>224</v>
      </c>
      <c r="B29" s="4" t="s">
        <v>225</v>
      </c>
      <c r="C29" s="4" t="s">
        <v>87</v>
      </c>
      <c r="D29" s="4" t="s">
        <v>88</v>
      </c>
      <c r="E29" s="4">
        <v>0</v>
      </c>
      <c r="F29" s="4" t="s">
        <v>89</v>
      </c>
      <c r="G29" s="4"/>
      <c r="H29" s="4"/>
      <c r="I29" s="5">
        <v>2018</v>
      </c>
      <c r="J29" s="4"/>
      <c r="K29" s="4" t="s">
        <v>90</v>
      </c>
      <c r="L29" s="6">
        <v>46295</v>
      </c>
      <c r="M29" s="4">
        <f t="shared" si="0"/>
        <v>104</v>
      </c>
      <c r="N29" s="4">
        <f t="shared" si="1"/>
        <v>8.67</v>
      </c>
      <c r="O29" s="4" t="s">
        <v>226</v>
      </c>
      <c r="P29" s="4" t="s">
        <v>206</v>
      </c>
      <c r="Q29" s="4" t="s">
        <v>227</v>
      </c>
      <c r="R29" s="4">
        <v>0</v>
      </c>
      <c r="S29" s="4">
        <v>0</v>
      </c>
      <c r="T29" s="4">
        <v>1</v>
      </c>
      <c r="U29" s="4">
        <v>0</v>
      </c>
      <c r="V29" s="4">
        <v>0</v>
      </c>
      <c r="W29" s="4">
        <v>0</v>
      </c>
      <c r="X29" s="4" t="s">
        <v>197</v>
      </c>
      <c r="Y29" s="4">
        <v>3</v>
      </c>
      <c r="Z29" s="4">
        <v>1</v>
      </c>
      <c r="AA29" s="4">
        <v>1</v>
      </c>
      <c r="AB29" s="4" t="s">
        <v>228</v>
      </c>
      <c r="AC29" s="4"/>
      <c r="AD29" s="7"/>
      <c r="AE29" s="4"/>
      <c r="AF29" s="4">
        <f>IF(SUMIF(Founders_Clean!$A$2:$A$159,A29,Founders_Clean!$C$2:$C$159)=0,"",SUMIF(Founders_Clean!$A$2:$A$159,A29,Founders_Clean!$C$2:$C$159))</f>
        <v>3</v>
      </c>
      <c r="AG29" s="4">
        <f>IF(AF29="","",SUMIF(Founders_Clean!$A$2:$A$159,A29,Founders_Clean!$D$2:$D$159))</f>
        <v>3</v>
      </c>
      <c r="AH29" s="4">
        <f>IF(AF29="","",SUMIF(Founders_Clean!$A$2:$A$159,A29,Founders_Clean!$E$2:$E$159))</f>
        <v>0</v>
      </c>
      <c r="AI29" s="8">
        <f t="shared" si="2"/>
        <v>0</v>
      </c>
      <c r="AJ29" s="4">
        <f t="shared" si="3"/>
        <v>0</v>
      </c>
      <c r="AK29" s="8">
        <f t="shared" si="4"/>
        <v>0</v>
      </c>
      <c r="AL29" s="4"/>
      <c r="AM29" s="4">
        <v>1</v>
      </c>
      <c r="AN29" s="4" t="s">
        <v>143</v>
      </c>
      <c r="AO29" s="4">
        <v>1</v>
      </c>
      <c r="AP29" s="8">
        <v>0.33333333333333298</v>
      </c>
      <c r="AQ29" s="4">
        <v>1</v>
      </c>
      <c r="AR29" s="4">
        <v>2</v>
      </c>
      <c r="AS29" s="4">
        <v>2</v>
      </c>
      <c r="AT29" s="7"/>
      <c r="AU29" s="4"/>
      <c r="AV29" s="4"/>
      <c r="AW29" s="4"/>
      <c r="AX29" s="4" t="s">
        <v>99</v>
      </c>
      <c r="AY29" s="4" t="s">
        <v>100</v>
      </c>
      <c r="AZ29" s="4"/>
      <c r="BA29" s="4">
        <v>0</v>
      </c>
      <c r="BB29" s="4">
        <v>0</v>
      </c>
      <c r="BC29" s="4">
        <v>0</v>
      </c>
      <c r="BD29" s="5"/>
      <c r="BE29" s="4"/>
      <c r="BF29" s="4">
        <f t="shared" si="5"/>
        <v>104</v>
      </c>
      <c r="BG29" s="4">
        <v>1</v>
      </c>
      <c r="BH29" s="7">
        <v>1500000</v>
      </c>
      <c r="BI29" s="4" t="s">
        <v>101</v>
      </c>
      <c r="BJ29" s="5">
        <v>2022</v>
      </c>
      <c r="BK29" s="4">
        <v>1</v>
      </c>
      <c r="BL29" s="4">
        <f>COUNTIFS(Investments_Clean!$A$2:$A$150,A29,Investments_Clean!$F$2:$F$150,"Accepted")</f>
        <v>1</v>
      </c>
      <c r="BM29" s="4">
        <f>IF(BL29=0,"",IF((COUNTIFS(Investments_Clean!$A$2:$A$150,A29,Investments_Clean!$D$2:$D$150,"VC/PE",Investments_Clean!$F$2:$F$150,"Accepted"))&gt;0,1,0))</f>
        <v>1</v>
      </c>
      <c r="BN29" s="4">
        <f>IF(BL29=0,"",IF((COUNTIFS(Investments_Clean!$A$2:$A$150,A29,Investments_Clean!$D$2:$D$150,"Angel",Investments_Clean!$F$2:$F$150,"Accepted"))&gt;0,1,0))</f>
        <v>0</v>
      </c>
      <c r="BO29" s="4">
        <f>IF(BL29=0,"",IF((COUNTIFS(Investments_Clean!$A$2:$A$150,A29,Investments_Clean!$D$2:$D$150,"Accelerator",Investments_Clean!$F$2:$F$150,"Accepted"))&gt;0,1,0))</f>
        <v>0</v>
      </c>
      <c r="BP29" s="4">
        <f>IF(BL29=0,"",IF((COUNTIFS(Investments_Clean!$A$2:$A$150,A29,Investments_Clean!$D$2:$D$150,"Corporate",Investments_Clean!$F$2:$F$150,"Accepted"))&gt;0,1,0))</f>
        <v>0</v>
      </c>
      <c r="BQ29" s="4">
        <f>IF(BL29=0,"",IF((COUNTIFS(Investments_Clean!$A$2:$A$150,A29,Investments_Clean!$D$2:$D$150,"Government",Investments_Clean!$F$2:$F$150,"Accepted"))&gt;0,1,0))</f>
        <v>0</v>
      </c>
      <c r="BR29" s="4">
        <f>IF(BL29=0,"",IF((COUNTIFS(Investments_Clean!$A$2:$A$150,A29,Investments_Clean!$D$2:$D$150,"Grant/Philanthropic",Investments_Clean!$F$2:$F$150,"Accepted")+COUNTIFS(Investments_Clean!$A$2:$A$150,A29,Investments_Clean!$D$2:$D$150,"DFI/Impact",Investments_Clean!$F$2:$F$150,"Accepted"))&gt;0,1,0))</f>
        <v>0</v>
      </c>
      <c r="BS29" s="4"/>
      <c r="BT29" s="4"/>
      <c r="BU29" s="4"/>
      <c r="BV29" s="7"/>
      <c r="BW29" s="4"/>
      <c r="BX29" s="4"/>
      <c r="BY29" s="7"/>
      <c r="BZ29" s="4"/>
      <c r="CA29" s="4">
        <v>0</v>
      </c>
      <c r="CB29" s="4"/>
      <c r="CC29" s="4">
        <f>IF(I29="","",IFERROR(IF(INDEX(Macro_Lookup!$B$2:$B$31,MATCH(I29,Macro_Lookup!$A$2:$A$31,0))="","",INDEX(Macro_Lookup!$B$2:$B$31,MATCH(I29,Macro_Lookup!$A$2:$A$31,0))),""))</f>
        <v>7.32</v>
      </c>
      <c r="CD29" s="4">
        <f>IF(I29="","",IFERROR(IF(INDEX(Macro_Lookup!$C$2:$C$31,MATCH(I29,Macro_Lookup!$A$2:$A$31,0))="","",INDEX(Macro_Lookup!$C$2:$C$31,MATCH(I29,Macro_Lookup!$A$2:$A$31,0))),""))</f>
        <v>5.54</v>
      </c>
      <c r="CE29" s="4">
        <f>IF(BJ29="","",IFERROR(IF(INDEX(Macro_Lookup!$B$2:$B$31,MATCH(BJ29,Macro_Lookup!$A$2:$A$31,0))="","",INDEX(Macro_Lookup!$B$2:$B$31,MATCH(BJ29,Macro_Lookup!$A$2:$A$31,0))),""))</f>
        <v>7.1</v>
      </c>
      <c r="CF29" s="4">
        <f>IF(BJ29="","",IFERROR(IF(INDEX(Macro_Lookup!$C$2:$C$31,MATCH(BJ29,Macro_Lookup!$A$2:$A$31,0))="","",INDEX(Macro_Lookup!$C$2:$C$31,MATCH(BJ29,Macro_Lookup!$A$2:$A$31,0))),""))</f>
        <v>7.7</v>
      </c>
      <c r="CG29" s="4">
        <v>3</v>
      </c>
    </row>
    <row r="30" spans="1:85" x14ac:dyDescent="0.3">
      <c r="A30" s="4" t="s">
        <v>229</v>
      </c>
      <c r="B30" s="4" t="s">
        <v>230</v>
      </c>
      <c r="C30" s="4" t="s">
        <v>87</v>
      </c>
      <c r="D30" s="4" t="s">
        <v>88</v>
      </c>
      <c r="E30" s="4">
        <v>0</v>
      </c>
      <c r="F30" s="4" t="s">
        <v>89</v>
      </c>
      <c r="G30" s="4"/>
      <c r="H30" s="4"/>
      <c r="I30" s="5">
        <v>2016</v>
      </c>
      <c r="J30" s="4"/>
      <c r="K30" s="4" t="s">
        <v>90</v>
      </c>
      <c r="L30" s="6">
        <v>46295</v>
      </c>
      <c r="M30" s="4">
        <f t="shared" si="0"/>
        <v>128</v>
      </c>
      <c r="N30" s="4">
        <f t="shared" si="1"/>
        <v>10.67</v>
      </c>
      <c r="O30" s="4" t="s">
        <v>231</v>
      </c>
      <c r="P30" s="4" t="s">
        <v>206</v>
      </c>
      <c r="Q30" s="4" t="s">
        <v>232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0</v>
      </c>
      <c r="X30" s="4" t="s">
        <v>197</v>
      </c>
      <c r="Y30" s="4">
        <v>3</v>
      </c>
      <c r="Z30" s="4">
        <v>1</v>
      </c>
      <c r="AA30" s="4"/>
      <c r="AB30" s="4"/>
      <c r="AC30" s="4"/>
      <c r="AD30" s="7"/>
      <c r="AE30" s="4"/>
      <c r="AF30" s="4">
        <f>IF(SUMIF(Founders_Clean!$A$2:$A$159,A30,Founders_Clean!$C$2:$C$159)=0,"",SUMIF(Founders_Clean!$A$2:$A$159,A30,Founders_Clean!$C$2:$C$159))</f>
        <v>4</v>
      </c>
      <c r="AG30" s="4">
        <f>IF(AF30="","",SUMIF(Founders_Clean!$A$2:$A$159,A30,Founders_Clean!$D$2:$D$159))</f>
        <v>4</v>
      </c>
      <c r="AH30" s="4">
        <f>IF(AF30="","",SUMIF(Founders_Clean!$A$2:$A$159,A30,Founders_Clean!$E$2:$E$159))</f>
        <v>0</v>
      </c>
      <c r="AI30" s="8">
        <f t="shared" si="2"/>
        <v>0</v>
      </c>
      <c r="AJ30" s="4">
        <f t="shared" si="3"/>
        <v>0</v>
      </c>
      <c r="AK30" s="8">
        <f t="shared" si="4"/>
        <v>0</v>
      </c>
      <c r="AL30" s="4"/>
      <c r="AM30" s="4"/>
      <c r="AN30" s="4"/>
      <c r="AO30" s="4"/>
      <c r="AP30" s="8"/>
      <c r="AQ30" s="4"/>
      <c r="AR30" s="4"/>
      <c r="AS30" s="4"/>
      <c r="AT30" s="7"/>
      <c r="AU30" s="4"/>
      <c r="AV30" s="4"/>
      <c r="AW30" s="4"/>
      <c r="AX30" s="4" t="s">
        <v>99</v>
      </c>
      <c r="AY30" s="4" t="s">
        <v>100</v>
      </c>
      <c r="AZ30" s="4"/>
      <c r="BA30" s="4">
        <v>0</v>
      </c>
      <c r="BB30" s="4">
        <v>0</v>
      </c>
      <c r="BC30" s="4">
        <v>0</v>
      </c>
      <c r="BD30" s="5"/>
      <c r="BE30" s="4"/>
      <c r="BF30" s="4">
        <f t="shared" si="5"/>
        <v>128</v>
      </c>
      <c r="BG30" s="4">
        <v>1</v>
      </c>
      <c r="BH30" s="7">
        <v>11000000</v>
      </c>
      <c r="BI30" s="4" t="s">
        <v>101</v>
      </c>
      <c r="BJ30" s="5">
        <v>2022</v>
      </c>
      <c r="BK30" s="4">
        <v>1</v>
      </c>
      <c r="BL30" s="4">
        <f>COUNTIFS(Investments_Clean!$A$2:$A$150,A30,Investments_Clean!$F$2:$F$150,"Accepted")</f>
        <v>1</v>
      </c>
      <c r="BM30" s="4">
        <f>IF(BL30=0,"",IF((COUNTIFS(Investments_Clean!$A$2:$A$150,A30,Investments_Clean!$D$2:$D$150,"VC/PE",Investments_Clean!$F$2:$F$150,"Accepted"))&gt;0,1,0))</f>
        <v>0</v>
      </c>
      <c r="BN30" s="4">
        <f>IF(BL30=0,"",IF((COUNTIFS(Investments_Clean!$A$2:$A$150,A30,Investments_Clean!$D$2:$D$150,"Angel",Investments_Clean!$F$2:$F$150,"Accepted"))&gt;0,1,0))</f>
        <v>0</v>
      </c>
      <c r="BO30" s="4">
        <f>IF(BL30=0,"",IF((COUNTIFS(Investments_Clean!$A$2:$A$150,A30,Investments_Clean!$D$2:$D$150,"Accelerator",Investments_Clean!$F$2:$F$150,"Accepted"))&gt;0,1,0))</f>
        <v>0</v>
      </c>
      <c r="BP30" s="4">
        <f>IF(BL30=0,"",IF((COUNTIFS(Investments_Clean!$A$2:$A$150,A30,Investments_Clean!$D$2:$D$150,"Corporate",Investments_Clean!$F$2:$F$150,"Accepted"))&gt;0,1,0))</f>
        <v>1</v>
      </c>
      <c r="BQ30" s="4">
        <f>IF(BL30=0,"",IF((COUNTIFS(Investments_Clean!$A$2:$A$150,A30,Investments_Clean!$D$2:$D$150,"Government",Investments_Clean!$F$2:$F$150,"Accepted"))&gt;0,1,0))</f>
        <v>0</v>
      </c>
      <c r="BR30" s="4">
        <f>IF(BL30=0,"",IF((COUNTIFS(Investments_Clean!$A$2:$A$150,A30,Investments_Clean!$D$2:$D$150,"Grant/Philanthropic",Investments_Clean!$F$2:$F$150,"Accepted")+COUNTIFS(Investments_Clean!$A$2:$A$150,A30,Investments_Clean!$D$2:$D$150,"DFI/Impact",Investments_Clean!$F$2:$F$150,"Accepted"))&gt;0,1,0))</f>
        <v>0</v>
      </c>
      <c r="BS30" s="4"/>
      <c r="BT30" s="4"/>
      <c r="BU30" s="4"/>
      <c r="BV30" s="7"/>
      <c r="BW30" s="4"/>
      <c r="BX30" s="4"/>
      <c r="BY30" s="7"/>
      <c r="BZ30" s="4"/>
      <c r="CA30" s="4">
        <v>0</v>
      </c>
      <c r="CB30" s="4"/>
      <c r="CC30" s="4">
        <f>IF(I30="","",IFERROR(IF(INDEX(Macro_Lookup!$B$2:$B$31,MATCH(I30,Macro_Lookup!$A$2:$A$31,0))="","",INDEX(Macro_Lookup!$B$2:$B$31,MATCH(I30,Macro_Lookup!$A$2:$A$31,0))),""))</f>
        <v>7.11</v>
      </c>
      <c r="CD30" s="4">
        <f>IF(I30="","",IFERROR(IF(INDEX(Macro_Lookup!$C$2:$C$31,MATCH(I30,Macro_Lookup!$A$2:$A$31,0))="","",INDEX(Macro_Lookup!$C$2:$C$31,MATCH(I30,Macro_Lookup!$A$2:$A$31,0))),""))</f>
        <v>5.51</v>
      </c>
      <c r="CE30" s="4">
        <f>IF(BJ30="","",IFERROR(IF(INDEX(Macro_Lookup!$B$2:$B$31,MATCH(BJ30,Macro_Lookup!$A$2:$A$31,0))="","",INDEX(Macro_Lookup!$B$2:$B$31,MATCH(BJ30,Macro_Lookup!$A$2:$A$31,0))),""))</f>
        <v>7.1</v>
      </c>
      <c r="CF30" s="4">
        <f>IF(BJ30="","",IFERROR(IF(INDEX(Macro_Lookup!$C$2:$C$31,MATCH(BJ30,Macro_Lookup!$A$2:$A$31,0))="","",INDEX(Macro_Lookup!$C$2:$C$31,MATCH(BJ30,Macro_Lookup!$A$2:$A$31,0))),""))</f>
        <v>7.7</v>
      </c>
      <c r="CG30" s="4">
        <v>5</v>
      </c>
    </row>
    <row r="31" spans="1:85" x14ac:dyDescent="0.3">
      <c r="A31" s="4" t="s">
        <v>233</v>
      </c>
      <c r="B31" s="4" t="s">
        <v>234</v>
      </c>
      <c r="C31" s="4" t="s">
        <v>87</v>
      </c>
      <c r="D31" s="4" t="s">
        <v>88</v>
      </c>
      <c r="E31" s="4">
        <v>0</v>
      </c>
      <c r="F31" s="4" t="s">
        <v>89</v>
      </c>
      <c r="G31" s="4"/>
      <c r="H31" s="4"/>
      <c r="I31" s="5">
        <v>2017</v>
      </c>
      <c r="J31" s="4"/>
      <c r="K31" s="4" t="s">
        <v>90</v>
      </c>
      <c r="L31" s="6">
        <v>46295</v>
      </c>
      <c r="M31" s="4">
        <f t="shared" si="0"/>
        <v>116</v>
      </c>
      <c r="N31" s="4">
        <f t="shared" si="1"/>
        <v>9.67</v>
      </c>
      <c r="O31" s="4" t="s">
        <v>235</v>
      </c>
      <c r="P31" s="4" t="s">
        <v>206</v>
      </c>
      <c r="Q31" s="4" t="s">
        <v>236</v>
      </c>
      <c r="R31" s="4">
        <v>0</v>
      </c>
      <c r="S31" s="4">
        <v>0</v>
      </c>
      <c r="T31" s="4">
        <v>1</v>
      </c>
      <c r="U31" s="4">
        <v>0</v>
      </c>
      <c r="V31" s="4">
        <v>0</v>
      </c>
      <c r="W31" s="4">
        <v>0</v>
      </c>
      <c r="X31" s="4" t="s">
        <v>197</v>
      </c>
      <c r="Y31" s="4">
        <v>3</v>
      </c>
      <c r="Z31" s="4">
        <v>1</v>
      </c>
      <c r="AA31" s="4">
        <v>1</v>
      </c>
      <c r="AB31" s="4" t="s">
        <v>228</v>
      </c>
      <c r="AC31" s="4"/>
      <c r="AD31" s="7"/>
      <c r="AE31" s="4"/>
      <c r="AF31" s="4">
        <f>IF(SUMIF(Founders_Clean!$A$2:$A$159,A31,Founders_Clean!$C$2:$C$159)=0,"",SUMIF(Founders_Clean!$A$2:$A$159,A31,Founders_Clean!$C$2:$C$159))</f>
        <v>2</v>
      </c>
      <c r="AG31" s="4">
        <f>IF(AF31="","",SUMIF(Founders_Clean!$A$2:$A$159,A31,Founders_Clean!$D$2:$D$159))</f>
        <v>2</v>
      </c>
      <c r="AH31" s="4">
        <f>IF(AF31="","",SUMIF(Founders_Clean!$A$2:$A$159,A31,Founders_Clean!$E$2:$E$159))</f>
        <v>0</v>
      </c>
      <c r="AI31" s="8">
        <f t="shared" si="2"/>
        <v>0</v>
      </c>
      <c r="AJ31" s="4">
        <f t="shared" si="3"/>
        <v>0</v>
      </c>
      <c r="AK31" s="8">
        <f t="shared" si="4"/>
        <v>0</v>
      </c>
      <c r="AL31" s="4"/>
      <c r="AM31" s="4"/>
      <c r="AN31" s="4"/>
      <c r="AO31" s="4"/>
      <c r="AP31" s="8"/>
      <c r="AQ31" s="4"/>
      <c r="AR31" s="4"/>
      <c r="AS31" s="4"/>
      <c r="AT31" s="7"/>
      <c r="AU31" s="4"/>
      <c r="AV31" s="4"/>
      <c r="AW31" s="4"/>
      <c r="AX31" s="4" t="s">
        <v>99</v>
      </c>
      <c r="AY31" s="4" t="s">
        <v>100</v>
      </c>
      <c r="AZ31" s="4"/>
      <c r="BA31" s="4">
        <v>0</v>
      </c>
      <c r="BB31" s="4">
        <v>0</v>
      </c>
      <c r="BC31" s="4">
        <v>0</v>
      </c>
      <c r="BD31" s="5"/>
      <c r="BE31" s="4"/>
      <c r="BF31" s="4">
        <f t="shared" si="5"/>
        <v>116</v>
      </c>
      <c r="BG31" s="4">
        <v>1</v>
      </c>
      <c r="BH31" s="7">
        <v>1000000</v>
      </c>
      <c r="BI31" s="4" t="s">
        <v>101</v>
      </c>
      <c r="BJ31" s="5">
        <v>2022</v>
      </c>
      <c r="BK31" s="4">
        <v>1</v>
      </c>
      <c r="BL31" s="4">
        <f>COUNTIFS(Investments_Clean!$A$2:$A$150,A31,Investments_Clean!$F$2:$F$150,"Accepted")</f>
        <v>1</v>
      </c>
      <c r="BM31" s="4">
        <f>IF(BL31=0,"",IF((COUNTIFS(Investments_Clean!$A$2:$A$150,A31,Investments_Clean!$D$2:$D$150,"VC/PE",Investments_Clean!$F$2:$F$150,"Accepted"))&gt;0,1,0))</f>
        <v>0</v>
      </c>
      <c r="BN31" s="4">
        <f>IF(BL31=0,"",IF((COUNTIFS(Investments_Clean!$A$2:$A$150,A31,Investments_Clean!$D$2:$D$150,"Angel",Investments_Clean!$F$2:$F$150,"Accepted"))&gt;0,1,0))</f>
        <v>0</v>
      </c>
      <c r="BO31" s="4">
        <f>IF(BL31=0,"",IF((COUNTIFS(Investments_Clean!$A$2:$A$150,A31,Investments_Clean!$D$2:$D$150,"Accelerator",Investments_Clean!$F$2:$F$150,"Accepted"))&gt;0,1,0))</f>
        <v>0</v>
      </c>
      <c r="BP31" s="4">
        <f>IF(BL31=0,"",IF((COUNTIFS(Investments_Clean!$A$2:$A$150,A31,Investments_Clean!$D$2:$D$150,"Corporate",Investments_Clean!$F$2:$F$150,"Accepted"))&gt;0,1,0))</f>
        <v>0</v>
      </c>
      <c r="BQ31" s="4">
        <f>IF(BL31=0,"",IF((COUNTIFS(Investments_Clean!$A$2:$A$150,A31,Investments_Clean!$D$2:$D$150,"Government",Investments_Clean!$F$2:$F$150,"Accepted"))&gt;0,1,0))</f>
        <v>1</v>
      </c>
      <c r="BR31" s="4">
        <f>IF(BL31=0,"",IF((COUNTIFS(Investments_Clean!$A$2:$A$150,A31,Investments_Clean!$D$2:$D$150,"Grant/Philanthropic",Investments_Clean!$F$2:$F$150,"Accepted")+COUNTIFS(Investments_Clean!$A$2:$A$150,A31,Investments_Clean!$D$2:$D$150,"DFI/Impact",Investments_Clean!$F$2:$F$150,"Accepted"))&gt;0,1,0))</f>
        <v>0</v>
      </c>
      <c r="BS31" s="4"/>
      <c r="BT31" s="4"/>
      <c r="BU31" s="4"/>
      <c r="BV31" s="7"/>
      <c r="BW31" s="4"/>
      <c r="BX31" s="4"/>
      <c r="BY31" s="7"/>
      <c r="BZ31" s="4"/>
      <c r="CA31" s="4">
        <v>0</v>
      </c>
      <c r="CB31" s="4"/>
      <c r="CC31" s="4">
        <f>IF(I31="","",IFERROR(IF(INDEX(Macro_Lookup!$B$2:$B$31,MATCH(I31,Macro_Lookup!$A$2:$A$31,0))="","",INDEX(Macro_Lookup!$B$2:$B$31,MATCH(I31,Macro_Lookup!$A$2:$A$31,0))),""))</f>
        <v>6.59</v>
      </c>
      <c r="CD31" s="4">
        <f>IF(I31="","",IFERROR(IF(INDEX(Macro_Lookup!$C$2:$C$31,MATCH(I31,Macro_Lookup!$A$2:$A$31,0))="","",INDEX(Macro_Lookup!$C$2:$C$31,MATCH(I31,Macro_Lookup!$A$2:$A$31,0))),""))</f>
        <v>5.7</v>
      </c>
      <c r="CE31" s="4">
        <f>IF(BJ31="","",IFERROR(IF(INDEX(Macro_Lookup!$B$2:$B$31,MATCH(BJ31,Macro_Lookup!$A$2:$A$31,0))="","",INDEX(Macro_Lookup!$B$2:$B$31,MATCH(BJ31,Macro_Lookup!$A$2:$A$31,0))),""))</f>
        <v>7.1</v>
      </c>
      <c r="CF31" s="4">
        <f>IF(BJ31="","",IFERROR(IF(INDEX(Macro_Lookup!$C$2:$C$31,MATCH(BJ31,Macro_Lookup!$A$2:$A$31,0))="","",INDEX(Macro_Lookup!$C$2:$C$31,MATCH(BJ31,Macro_Lookup!$A$2:$A$31,0))),""))</f>
        <v>7.7</v>
      </c>
      <c r="CG31" s="4">
        <v>4</v>
      </c>
    </row>
    <row r="32" spans="1:85" x14ac:dyDescent="0.3">
      <c r="A32" s="4" t="s">
        <v>237</v>
      </c>
      <c r="B32" s="4" t="s">
        <v>238</v>
      </c>
      <c r="C32" s="4" t="s">
        <v>87</v>
      </c>
      <c r="D32" s="4" t="s">
        <v>88</v>
      </c>
      <c r="E32" s="4">
        <v>0</v>
      </c>
      <c r="F32" s="4" t="s">
        <v>89</v>
      </c>
      <c r="G32" s="4" t="s">
        <v>164</v>
      </c>
      <c r="H32" s="4"/>
      <c r="I32" s="5">
        <v>2013</v>
      </c>
      <c r="J32" s="4"/>
      <c r="K32" s="4" t="s">
        <v>90</v>
      </c>
      <c r="L32" s="6">
        <v>46295</v>
      </c>
      <c r="M32" s="4">
        <f t="shared" si="0"/>
        <v>164</v>
      </c>
      <c r="N32" s="4">
        <f t="shared" si="1"/>
        <v>13.67</v>
      </c>
      <c r="O32" s="4" t="s">
        <v>239</v>
      </c>
      <c r="P32" s="4" t="s">
        <v>206</v>
      </c>
      <c r="Q32" s="4" t="s">
        <v>240</v>
      </c>
      <c r="R32" s="4">
        <v>0</v>
      </c>
      <c r="S32" s="4">
        <v>0</v>
      </c>
      <c r="T32" s="4">
        <v>1</v>
      </c>
      <c r="U32" s="4">
        <v>0</v>
      </c>
      <c r="V32" s="4">
        <v>0</v>
      </c>
      <c r="W32" s="4">
        <v>0</v>
      </c>
      <c r="X32" s="4" t="s">
        <v>241</v>
      </c>
      <c r="Y32" s="4">
        <v>3</v>
      </c>
      <c r="Z32" s="4">
        <v>1</v>
      </c>
      <c r="AA32" s="4"/>
      <c r="AB32" s="4"/>
      <c r="AC32" s="4"/>
      <c r="AD32" s="7"/>
      <c r="AE32" s="4"/>
      <c r="AF32" s="4">
        <f>IF(SUMIF(Founders_Clean!$A$2:$A$159,A32,Founders_Clean!$C$2:$C$159)=0,"",SUMIF(Founders_Clean!$A$2:$A$159,A32,Founders_Clean!$C$2:$C$159))</f>
        <v>3</v>
      </c>
      <c r="AG32" s="4">
        <f>IF(AF32="","",SUMIF(Founders_Clean!$A$2:$A$159,A32,Founders_Clean!$D$2:$D$159))</f>
        <v>3</v>
      </c>
      <c r="AH32" s="4">
        <f>IF(AF32="","",SUMIF(Founders_Clean!$A$2:$A$159,A32,Founders_Clean!$E$2:$E$159))</f>
        <v>0</v>
      </c>
      <c r="AI32" s="8">
        <f t="shared" si="2"/>
        <v>0</v>
      </c>
      <c r="AJ32" s="4">
        <f t="shared" si="3"/>
        <v>0</v>
      </c>
      <c r="AK32" s="8">
        <f t="shared" si="4"/>
        <v>0</v>
      </c>
      <c r="AL32" s="4"/>
      <c r="AM32" s="4"/>
      <c r="AN32" s="4"/>
      <c r="AO32" s="4"/>
      <c r="AP32" s="8"/>
      <c r="AQ32" s="4"/>
      <c r="AR32" s="4"/>
      <c r="AS32" s="4"/>
      <c r="AT32" s="7"/>
      <c r="AU32" s="4"/>
      <c r="AV32" s="4"/>
      <c r="AW32" s="4"/>
      <c r="AX32" s="4" t="s">
        <v>138</v>
      </c>
      <c r="AY32" s="4" t="s">
        <v>100</v>
      </c>
      <c r="AZ32" s="4" t="s">
        <v>242</v>
      </c>
      <c r="BA32" s="4">
        <v>1</v>
      </c>
      <c r="BB32" s="4">
        <v>0</v>
      </c>
      <c r="BC32" s="4">
        <v>1</v>
      </c>
      <c r="BD32" s="5">
        <v>2023</v>
      </c>
      <c r="BE32" s="4">
        <v>7</v>
      </c>
      <c r="BF32" s="4">
        <f t="shared" si="5"/>
        <v>126</v>
      </c>
      <c r="BG32" s="4">
        <v>0</v>
      </c>
      <c r="BH32" s="7">
        <v>0</v>
      </c>
      <c r="BI32" s="4" t="s">
        <v>112</v>
      </c>
      <c r="BJ32" s="5"/>
      <c r="BK32" s="4">
        <v>0</v>
      </c>
      <c r="BL32" s="4">
        <f>COUNTIFS(Investments_Clean!$A$2:$A$150,A32,Investments_Clean!$F$2:$F$150,"Accepted")</f>
        <v>1</v>
      </c>
      <c r="BM32" s="4">
        <f>IF(BL32=0,"",IF((COUNTIFS(Investments_Clean!$A$2:$A$150,A32,Investments_Clean!$D$2:$D$150,"VC/PE",Investments_Clean!$F$2:$F$150,"Accepted"))&gt;0,1,0))</f>
        <v>0</v>
      </c>
      <c r="BN32" s="4">
        <f>IF(BL32=0,"",IF((COUNTIFS(Investments_Clean!$A$2:$A$150,A32,Investments_Clean!$D$2:$D$150,"Angel",Investments_Clean!$F$2:$F$150,"Accepted"))&gt;0,1,0))</f>
        <v>0</v>
      </c>
      <c r="BO32" s="4">
        <f>IF(BL32=0,"",IF((COUNTIFS(Investments_Clean!$A$2:$A$150,A32,Investments_Clean!$D$2:$D$150,"Accelerator",Investments_Clean!$F$2:$F$150,"Accepted"))&gt;0,1,0))</f>
        <v>0</v>
      </c>
      <c r="BP32" s="4">
        <f>IF(BL32=0,"",IF((COUNTIFS(Investments_Clean!$A$2:$A$150,A32,Investments_Clean!$D$2:$D$150,"Corporate",Investments_Clean!$F$2:$F$150,"Accepted"))&gt;0,1,0))</f>
        <v>1</v>
      </c>
      <c r="BQ32" s="4">
        <f>IF(BL32=0,"",IF((COUNTIFS(Investments_Clean!$A$2:$A$150,A32,Investments_Clean!$D$2:$D$150,"Government",Investments_Clean!$F$2:$F$150,"Accepted"))&gt;0,1,0))</f>
        <v>0</v>
      </c>
      <c r="BR32" s="4">
        <f>IF(BL32=0,"",IF((COUNTIFS(Investments_Clean!$A$2:$A$150,A32,Investments_Clean!$D$2:$D$150,"Grant/Philanthropic",Investments_Clean!$F$2:$F$150,"Accepted")+COUNTIFS(Investments_Clean!$A$2:$A$150,A32,Investments_Clean!$D$2:$D$150,"DFI/Impact",Investments_Clean!$F$2:$F$150,"Accepted"))&gt;0,1,0))</f>
        <v>0</v>
      </c>
      <c r="BS32" s="4"/>
      <c r="BT32" s="4"/>
      <c r="BU32" s="4"/>
      <c r="BV32" s="7"/>
      <c r="BW32" s="4"/>
      <c r="BX32" s="4"/>
      <c r="BY32" s="7"/>
      <c r="BZ32" s="4"/>
      <c r="CA32" s="4">
        <v>0</v>
      </c>
      <c r="CB32" s="4"/>
      <c r="CC32" s="4">
        <f>IF(I32="","",IFERROR(IF(INDEX(Macro_Lookup!$B$2:$B$31,MATCH(I32,Macro_Lookup!$A$2:$A$31,0))="","",INDEX(Macro_Lookup!$B$2:$B$31,MATCH(I32,Macro_Lookup!$A$2:$A$31,0))),""))</f>
        <v>6.01</v>
      </c>
      <c r="CD32" s="4">
        <f>IF(I32="","",IFERROR(IF(INDEX(Macro_Lookup!$C$2:$C$31,MATCH(I32,Macro_Lookup!$A$2:$A$31,0))="","",INDEX(Macro_Lookup!$C$2:$C$31,MATCH(I32,Macro_Lookup!$A$2:$A$31,0))),""))</f>
        <v>7.53</v>
      </c>
      <c r="CE32" s="4" t="str">
        <f>IF(BJ32="","",IFERROR(IF(INDEX(Macro_Lookup!$B$2:$B$31,MATCH(BJ32,Macro_Lookup!$A$2:$A$31,0))="","",INDEX(Macro_Lookup!$B$2:$B$31,MATCH(BJ32,Macro_Lookup!$A$2:$A$31,0))),""))</f>
        <v/>
      </c>
      <c r="CF32" s="4" t="str">
        <f>IF(BJ32="","",IFERROR(IF(INDEX(Macro_Lookup!$C$2:$C$31,MATCH(BJ32,Macro_Lookup!$A$2:$A$31,0))="","",INDEX(Macro_Lookup!$C$2:$C$31,MATCH(BJ32,Macro_Lookup!$A$2:$A$31,0))),""))</f>
        <v/>
      </c>
      <c r="CG32" s="4">
        <v>5</v>
      </c>
    </row>
    <row r="33" spans="1:85" x14ac:dyDescent="0.3">
      <c r="A33" s="4" t="s">
        <v>243</v>
      </c>
      <c r="B33" s="4" t="s">
        <v>244</v>
      </c>
      <c r="C33" s="4" t="s">
        <v>87</v>
      </c>
      <c r="D33" s="4" t="s">
        <v>88</v>
      </c>
      <c r="E33" s="4">
        <v>0</v>
      </c>
      <c r="F33" s="4" t="s">
        <v>89</v>
      </c>
      <c r="G33" s="4"/>
      <c r="H33" s="4"/>
      <c r="I33" s="5">
        <v>2013</v>
      </c>
      <c r="J33" s="4"/>
      <c r="K33" s="4" t="s">
        <v>90</v>
      </c>
      <c r="L33" s="6">
        <v>46295</v>
      </c>
      <c r="M33" s="4">
        <f t="shared" si="0"/>
        <v>164</v>
      </c>
      <c r="N33" s="4">
        <f t="shared" si="1"/>
        <v>13.67</v>
      </c>
      <c r="O33" s="4" t="s">
        <v>239</v>
      </c>
      <c r="P33" s="4" t="s">
        <v>206</v>
      </c>
      <c r="Q33" s="4" t="s">
        <v>245</v>
      </c>
      <c r="R33" s="4">
        <v>0</v>
      </c>
      <c r="S33" s="4">
        <v>0</v>
      </c>
      <c r="T33" s="4">
        <v>1</v>
      </c>
      <c r="U33" s="4">
        <v>0</v>
      </c>
      <c r="V33" s="4">
        <v>0</v>
      </c>
      <c r="W33" s="4">
        <v>0</v>
      </c>
      <c r="X33" s="4" t="s">
        <v>197</v>
      </c>
      <c r="Y33" s="4">
        <v>3</v>
      </c>
      <c r="Z33" s="4">
        <v>1</v>
      </c>
      <c r="AA33" s="4"/>
      <c r="AB33" s="4"/>
      <c r="AC33" s="4"/>
      <c r="AD33" s="7"/>
      <c r="AE33" s="4"/>
      <c r="AF33" s="4">
        <f>IF(SUMIF(Founders_Clean!$A$2:$A$159,A33,Founders_Clean!$C$2:$C$159)=0,"",SUMIF(Founders_Clean!$A$2:$A$159,A33,Founders_Clean!$C$2:$C$159))</f>
        <v>2</v>
      </c>
      <c r="AG33" s="4">
        <f>IF(AF33="","",SUMIF(Founders_Clean!$A$2:$A$159,A33,Founders_Clean!$D$2:$D$159))</f>
        <v>1</v>
      </c>
      <c r="AH33" s="4">
        <f>IF(AF33="","",SUMIF(Founders_Clean!$A$2:$A$159,A33,Founders_Clean!$E$2:$E$159))</f>
        <v>1</v>
      </c>
      <c r="AI33" s="8">
        <f t="shared" si="2"/>
        <v>0.5</v>
      </c>
      <c r="AJ33" s="4">
        <f t="shared" si="3"/>
        <v>1</v>
      </c>
      <c r="AK33" s="8">
        <f t="shared" si="4"/>
        <v>0.5</v>
      </c>
      <c r="AL33" s="4"/>
      <c r="AM33" s="4"/>
      <c r="AN33" s="4"/>
      <c r="AO33" s="4"/>
      <c r="AP33" s="8"/>
      <c r="AQ33" s="4"/>
      <c r="AR33" s="4"/>
      <c r="AS33" s="4"/>
      <c r="AT33" s="7"/>
      <c r="AU33" s="4"/>
      <c r="AV33" s="4"/>
      <c r="AW33" s="4"/>
      <c r="AX33" s="4" t="s">
        <v>99</v>
      </c>
      <c r="AY33" s="4" t="s">
        <v>100</v>
      </c>
      <c r="AZ33" s="4"/>
      <c r="BA33" s="4">
        <v>1</v>
      </c>
      <c r="BB33" s="4">
        <v>0</v>
      </c>
      <c r="BC33" s="4">
        <v>0</v>
      </c>
      <c r="BD33" s="5"/>
      <c r="BE33" s="4"/>
      <c r="BF33" s="4">
        <f t="shared" si="5"/>
        <v>164</v>
      </c>
      <c r="BG33" s="4"/>
      <c r="BH33" s="7"/>
      <c r="BI33" s="4"/>
      <c r="BJ33" s="5"/>
      <c r="BK33" s="4">
        <v>1</v>
      </c>
      <c r="BL33" s="4">
        <f>COUNTIFS(Investments_Clean!$A$2:$A$150,A33,Investments_Clean!$F$2:$F$150,"Accepted")</f>
        <v>1</v>
      </c>
      <c r="BM33" s="4">
        <f>IF(BL33=0,"",IF((COUNTIFS(Investments_Clean!$A$2:$A$150,A33,Investments_Clean!$D$2:$D$150,"VC/PE",Investments_Clean!$F$2:$F$150,"Accepted"))&gt;0,1,0))</f>
        <v>0</v>
      </c>
      <c r="BN33" s="4">
        <f>IF(BL33=0,"",IF((COUNTIFS(Investments_Clean!$A$2:$A$150,A33,Investments_Clean!$D$2:$D$150,"Angel",Investments_Clean!$F$2:$F$150,"Accepted"))&gt;0,1,0))</f>
        <v>0</v>
      </c>
      <c r="BO33" s="4">
        <f>IF(BL33=0,"",IF((COUNTIFS(Investments_Clean!$A$2:$A$150,A33,Investments_Clean!$D$2:$D$150,"Accelerator",Investments_Clean!$F$2:$F$150,"Accepted"))&gt;0,1,0))</f>
        <v>0</v>
      </c>
      <c r="BP33" s="4">
        <f>IF(BL33=0,"",IF((COUNTIFS(Investments_Clean!$A$2:$A$150,A33,Investments_Clean!$D$2:$D$150,"Corporate",Investments_Clean!$F$2:$F$150,"Accepted"))&gt;0,1,0))</f>
        <v>1</v>
      </c>
      <c r="BQ33" s="4">
        <f>IF(BL33=0,"",IF((COUNTIFS(Investments_Clean!$A$2:$A$150,A33,Investments_Clean!$D$2:$D$150,"Government",Investments_Clean!$F$2:$F$150,"Accepted"))&gt;0,1,0))</f>
        <v>0</v>
      </c>
      <c r="BR33" s="4">
        <f>IF(BL33=0,"",IF((COUNTIFS(Investments_Clean!$A$2:$A$150,A33,Investments_Clean!$D$2:$D$150,"Grant/Philanthropic",Investments_Clean!$F$2:$F$150,"Accepted")+COUNTIFS(Investments_Clean!$A$2:$A$150,A33,Investments_Clean!$D$2:$D$150,"DFI/Impact",Investments_Clean!$F$2:$F$150,"Accepted"))&gt;0,1,0))</f>
        <v>0</v>
      </c>
      <c r="BS33" s="4"/>
      <c r="BT33" s="4"/>
      <c r="BU33" s="4"/>
      <c r="BV33" s="7"/>
      <c r="BW33" s="4"/>
      <c r="BX33" s="4"/>
      <c r="BY33" s="7"/>
      <c r="BZ33" s="4"/>
      <c r="CA33" s="4">
        <v>0</v>
      </c>
      <c r="CB33" s="4"/>
      <c r="CC33" s="4">
        <f>IF(I33="","",IFERROR(IF(INDEX(Macro_Lookup!$B$2:$B$31,MATCH(I33,Macro_Lookup!$A$2:$A$31,0))="","",INDEX(Macro_Lookup!$B$2:$B$31,MATCH(I33,Macro_Lookup!$A$2:$A$31,0))),""))</f>
        <v>6.01</v>
      </c>
      <c r="CD33" s="4">
        <f>IF(I33="","",IFERROR(IF(INDEX(Macro_Lookup!$C$2:$C$31,MATCH(I33,Macro_Lookup!$A$2:$A$31,0))="","",INDEX(Macro_Lookup!$C$2:$C$31,MATCH(I33,Macro_Lookup!$A$2:$A$31,0))),""))</f>
        <v>7.53</v>
      </c>
      <c r="CE33" s="4" t="str">
        <f>IF(BJ33="","",IFERROR(IF(INDEX(Macro_Lookup!$B$2:$B$31,MATCH(BJ33,Macro_Lookup!$A$2:$A$31,0))="","",INDEX(Macro_Lookup!$B$2:$B$31,MATCH(BJ33,Macro_Lookup!$A$2:$A$31,0))),""))</f>
        <v/>
      </c>
      <c r="CF33" s="4" t="str">
        <f>IF(BJ33="","",IFERROR(IF(INDEX(Macro_Lookup!$C$2:$C$31,MATCH(BJ33,Macro_Lookup!$A$2:$A$31,0))="","",INDEX(Macro_Lookup!$C$2:$C$31,MATCH(BJ33,Macro_Lookup!$A$2:$A$31,0))),""))</f>
        <v/>
      </c>
      <c r="CG33" s="4">
        <v>6</v>
      </c>
    </row>
    <row r="34" spans="1:85" x14ac:dyDescent="0.3">
      <c r="A34" s="4" t="s">
        <v>246</v>
      </c>
      <c r="B34" s="4" t="s">
        <v>247</v>
      </c>
      <c r="C34" s="4" t="s">
        <v>87</v>
      </c>
      <c r="D34" s="4" t="s">
        <v>88</v>
      </c>
      <c r="E34" s="4">
        <v>0</v>
      </c>
      <c r="F34" s="4" t="s">
        <v>89</v>
      </c>
      <c r="G34" s="4"/>
      <c r="H34" s="4"/>
      <c r="I34" s="5">
        <v>2017</v>
      </c>
      <c r="J34" s="4"/>
      <c r="K34" s="4" t="s">
        <v>90</v>
      </c>
      <c r="L34" s="6">
        <v>46295</v>
      </c>
      <c r="M34" s="4">
        <f t="shared" ref="M34:M65" si="6">IF(I34="","",(YEAR(L34)-I34)*12+MONTH(L34)-IF(J34="",1,J34))</f>
        <v>116</v>
      </c>
      <c r="N34" s="4">
        <f t="shared" ref="N34:N65" si="7">IF(M34="","",ROUND(M34/12,2))</f>
        <v>9.67</v>
      </c>
      <c r="O34" s="4" t="s">
        <v>248</v>
      </c>
      <c r="P34" s="4" t="s">
        <v>206</v>
      </c>
      <c r="Q34" s="4" t="s">
        <v>249</v>
      </c>
      <c r="R34" s="4">
        <v>0</v>
      </c>
      <c r="S34" s="4">
        <v>0</v>
      </c>
      <c r="T34" s="4">
        <v>1</v>
      </c>
      <c r="U34" s="4">
        <v>0</v>
      </c>
      <c r="V34" s="4">
        <v>0</v>
      </c>
      <c r="W34" s="4">
        <v>0</v>
      </c>
      <c r="X34" s="4" t="s">
        <v>197</v>
      </c>
      <c r="Y34" s="4">
        <v>3</v>
      </c>
      <c r="Z34" s="4">
        <v>1</v>
      </c>
      <c r="AA34" s="4"/>
      <c r="AB34" s="4"/>
      <c r="AC34" s="4"/>
      <c r="AD34" s="7"/>
      <c r="AE34" s="4"/>
      <c r="AF34" s="4">
        <f>IF(SUMIF(Founders_Clean!$A$2:$A$159,A34,Founders_Clean!$C$2:$C$159)=0,"",SUMIF(Founders_Clean!$A$2:$A$159,A34,Founders_Clean!$C$2:$C$159))</f>
        <v>1</v>
      </c>
      <c r="AG34" s="4">
        <f>IF(AF34="","",SUMIF(Founders_Clean!$A$2:$A$159,A34,Founders_Clean!$D$2:$D$159))</f>
        <v>1</v>
      </c>
      <c r="AH34" s="4">
        <f>IF(AF34="","",SUMIF(Founders_Clean!$A$2:$A$159,A34,Founders_Clean!$E$2:$E$159))</f>
        <v>0</v>
      </c>
      <c r="AI34" s="8">
        <f t="shared" ref="AI34:AI65" si="8">IF(AF34="","",IF((AG34+AH34)=0,"",AH34/(AG34+AH34)))</f>
        <v>0</v>
      </c>
      <c r="AJ34" s="4">
        <f t="shared" ref="AJ34:AJ65" si="9">IF(AI34="","",IF(AH34&gt;0,1,0))</f>
        <v>0</v>
      </c>
      <c r="AK34" s="8">
        <f t="shared" ref="AK34:AK65" si="10">IF(AI34="","",ROUND(1-(AI34^2+(1-AI34)^2),3))</f>
        <v>0</v>
      </c>
      <c r="AL34" s="4"/>
      <c r="AM34" s="4">
        <v>1</v>
      </c>
      <c r="AN34" s="4" t="s">
        <v>143</v>
      </c>
      <c r="AO34" s="4">
        <v>1</v>
      </c>
      <c r="AP34" s="8">
        <v>1</v>
      </c>
      <c r="AQ34" s="4">
        <v>1</v>
      </c>
      <c r="AR34" s="4">
        <v>9</v>
      </c>
      <c r="AS34" s="4">
        <v>9</v>
      </c>
      <c r="AT34" s="7"/>
      <c r="AU34" s="4"/>
      <c r="AV34" s="4"/>
      <c r="AW34" s="4"/>
      <c r="AX34" s="4" t="s">
        <v>99</v>
      </c>
      <c r="AY34" s="4" t="s">
        <v>100</v>
      </c>
      <c r="AZ34" s="4"/>
      <c r="BA34" s="4">
        <v>0</v>
      </c>
      <c r="BB34" s="4">
        <v>0</v>
      </c>
      <c r="BC34" s="4">
        <v>0</v>
      </c>
      <c r="BD34" s="5"/>
      <c r="BE34" s="4"/>
      <c r="BF34" s="4">
        <f t="shared" ref="BF34:BF65" si="11">IF(OR(I34="",BC34=""),"",IF(BC34=1,(BD34-I34)*12+IF(BE34="",7,BE34)-IF(J34="",1,J34),M34))</f>
        <v>116</v>
      </c>
      <c r="BG34" s="4">
        <v>1</v>
      </c>
      <c r="BH34" s="7">
        <v>4600000</v>
      </c>
      <c r="BI34" s="4" t="s">
        <v>101</v>
      </c>
      <c r="BJ34" s="5">
        <v>2022</v>
      </c>
      <c r="BK34" s="4">
        <v>1</v>
      </c>
      <c r="BL34" s="4">
        <f>COUNTIFS(Investments_Clean!$A$2:$A$150,A34,Investments_Clean!$F$2:$F$150,"Accepted")</f>
        <v>1</v>
      </c>
      <c r="BM34" s="4">
        <f>IF(BL34=0,"",IF((COUNTIFS(Investments_Clean!$A$2:$A$150,A34,Investments_Clean!$D$2:$D$150,"VC/PE",Investments_Clean!$F$2:$F$150,"Accepted"))&gt;0,1,0))</f>
        <v>1</v>
      </c>
      <c r="BN34" s="4">
        <f>IF(BL34=0,"",IF((COUNTIFS(Investments_Clean!$A$2:$A$150,A34,Investments_Clean!$D$2:$D$150,"Angel",Investments_Clean!$F$2:$F$150,"Accepted"))&gt;0,1,0))</f>
        <v>0</v>
      </c>
      <c r="BO34" s="4">
        <f>IF(BL34=0,"",IF((COUNTIFS(Investments_Clean!$A$2:$A$150,A34,Investments_Clean!$D$2:$D$150,"Accelerator",Investments_Clean!$F$2:$F$150,"Accepted"))&gt;0,1,0))</f>
        <v>0</v>
      </c>
      <c r="BP34" s="4">
        <f>IF(BL34=0,"",IF((COUNTIFS(Investments_Clean!$A$2:$A$150,A34,Investments_Clean!$D$2:$D$150,"Corporate",Investments_Clean!$F$2:$F$150,"Accepted"))&gt;0,1,0))</f>
        <v>0</v>
      </c>
      <c r="BQ34" s="4">
        <f>IF(BL34=0,"",IF((COUNTIFS(Investments_Clean!$A$2:$A$150,A34,Investments_Clean!$D$2:$D$150,"Government",Investments_Clean!$F$2:$F$150,"Accepted"))&gt;0,1,0))</f>
        <v>0</v>
      </c>
      <c r="BR34" s="4">
        <f>IF(BL34=0,"",IF((COUNTIFS(Investments_Clean!$A$2:$A$150,A34,Investments_Clean!$D$2:$D$150,"Grant/Philanthropic",Investments_Clean!$F$2:$F$150,"Accepted")+COUNTIFS(Investments_Clean!$A$2:$A$150,A34,Investments_Clean!$D$2:$D$150,"DFI/Impact",Investments_Clean!$F$2:$F$150,"Accepted"))&gt;0,1,0))</f>
        <v>0</v>
      </c>
      <c r="BS34" s="4"/>
      <c r="BT34" s="4"/>
      <c r="BU34" s="4"/>
      <c r="BV34" s="7"/>
      <c r="BW34" s="4"/>
      <c r="BX34" s="4"/>
      <c r="BY34" s="7"/>
      <c r="BZ34" s="4"/>
      <c r="CA34" s="4">
        <v>0</v>
      </c>
      <c r="CB34" s="4"/>
      <c r="CC34" s="4">
        <f>IF(I34="","",IFERROR(IF(INDEX(Macro_Lookup!$B$2:$B$31,MATCH(I34,Macro_Lookup!$A$2:$A$31,0))="","",INDEX(Macro_Lookup!$B$2:$B$31,MATCH(I34,Macro_Lookup!$A$2:$A$31,0))),""))</f>
        <v>6.59</v>
      </c>
      <c r="CD34" s="4">
        <f>IF(I34="","",IFERROR(IF(INDEX(Macro_Lookup!$C$2:$C$31,MATCH(I34,Macro_Lookup!$A$2:$A$31,0))="","",INDEX(Macro_Lookup!$C$2:$C$31,MATCH(I34,Macro_Lookup!$A$2:$A$31,0))),""))</f>
        <v>5.7</v>
      </c>
      <c r="CE34" s="4">
        <f>IF(BJ34="","",IFERROR(IF(INDEX(Macro_Lookup!$B$2:$B$31,MATCH(BJ34,Macro_Lookup!$A$2:$A$31,0))="","",INDEX(Macro_Lookup!$B$2:$B$31,MATCH(BJ34,Macro_Lookup!$A$2:$A$31,0))),""))</f>
        <v>7.1</v>
      </c>
      <c r="CF34" s="4">
        <f>IF(BJ34="","",IFERROR(IF(INDEX(Macro_Lookup!$C$2:$C$31,MATCH(BJ34,Macro_Lookup!$A$2:$A$31,0))="","",INDEX(Macro_Lookup!$C$2:$C$31,MATCH(BJ34,Macro_Lookup!$A$2:$A$31,0))),""))</f>
        <v>7.7</v>
      </c>
      <c r="CG34" s="4">
        <v>4</v>
      </c>
    </row>
    <row r="35" spans="1:85" x14ac:dyDescent="0.3">
      <c r="A35" s="4" t="s">
        <v>250</v>
      </c>
      <c r="B35" s="4" t="s">
        <v>251</v>
      </c>
      <c r="C35" s="4" t="s">
        <v>87</v>
      </c>
      <c r="D35" s="4" t="s">
        <v>88</v>
      </c>
      <c r="E35" s="4">
        <v>0</v>
      </c>
      <c r="F35" s="4" t="s">
        <v>89</v>
      </c>
      <c r="G35" s="4"/>
      <c r="H35" s="4"/>
      <c r="I35" s="5">
        <v>2014</v>
      </c>
      <c r="J35" s="4"/>
      <c r="K35" s="4" t="s">
        <v>90</v>
      </c>
      <c r="L35" s="6">
        <v>46295</v>
      </c>
      <c r="M35" s="4">
        <f t="shared" si="6"/>
        <v>152</v>
      </c>
      <c r="N35" s="4">
        <f t="shared" si="7"/>
        <v>12.67</v>
      </c>
      <c r="O35" s="4" t="s">
        <v>248</v>
      </c>
      <c r="P35" s="4" t="s">
        <v>206</v>
      </c>
      <c r="Q35" s="4" t="s">
        <v>249</v>
      </c>
      <c r="R35" s="4">
        <v>0</v>
      </c>
      <c r="S35" s="4">
        <v>0</v>
      </c>
      <c r="T35" s="4">
        <v>1</v>
      </c>
      <c r="U35" s="4">
        <v>0</v>
      </c>
      <c r="V35" s="4">
        <v>0</v>
      </c>
      <c r="W35" s="4">
        <v>0</v>
      </c>
      <c r="X35" s="4" t="s">
        <v>197</v>
      </c>
      <c r="Y35" s="4">
        <v>3</v>
      </c>
      <c r="Z35" s="4">
        <v>1</v>
      </c>
      <c r="AA35" s="4"/>
      <c r="AB35" s="4"/>
      <c r="AC35" s="4"/>
      <c r="AD35" s="7"/>
      <c r="AE35" s="4"/>
      <c r="AF35" s="4">
        <f>IF(SUMIF(Founders_Clean!$A$2:$A$159,A35,Founders_Clean!$C$2:$C$159)=0,"",SUMIF(Founders_Clean!$A$2:$A$159,A35,Founders_Clean!$C$2:$C$159))</f>
        <v>2</v>
      </c>
      <c r="AG35" s="4">
        <f>IF(AF35="","",SUMIF(Founders_Clean!$A$2:$A$159,A35,Founders_Clean!$D$2:$D$159))</f>
        <v>1</v>
      </c>
      <c r="AH35" s="4">
        <f>IF(AF35="","",SUMIF(Founders_Clean!$A$2:$A$159,A35,Founders_Clean!$E$2:$E$159))</f>
        <v>1</v>
      </c>
      <c r="AI35" s="8">
        <f t="shared" si="8"/>
        <v>0.5</v>
      </c>
      <c r="AJ35" s="4">
        <f t="shared" si="9"/>
        <v>1</v>
      </c>
      <c r="AK35" s="8">
        <f t="shared" si="10"/>
        <v>0.5</v>
      </c>
      <c r="AL35" s="4"/>
      <c r="AM35" s="4">
        <v>1</v>
      </c>
      <c r="AN35" s="4" t="s">
        <v>143</v>
      </c>
      <c r="AO35" s="4">
        <v>0</v>
      </c>
      <c r="AP35" s="8">
        <v>0</v>
      </c>
      <c r="AQ35" s="4">
        <v>0</v>
      </c>
      <c r="AR35" s="4">
        <v>10</v>
      </c>
      <c r="AS35" s="4">
        <v>10</v>
      </c>
      <c r="AT35" s="7"/>
      <c r="AU35" s="4"/>
      <c r="AV35" s="4"/>
      <c r="AW35" s="4"/>
      <c r="AX35" s="4" t="s">
        <v>99</v>
      </c>
      <c r="AY35" s="4" t="s">
        <v>100</v>
      </c>
      <c r="AZ35" s="4"/>
      <c r="BA35" s="4">
        <v>0</v>
      </c>
      <c r="BB35" s="4">
        <v>0</v>
      </c>
      <c r="BC35" s="4">
        <v>0</v>
      </c>
      <c r="BD35" s="5"/>
      <c r="BE35" s="4"/>
      <c r="BF35" s="4">
        <f t="shared" si="11"/>
        <v>152</v>
      </c>
      <c r="BG35" s="4">
        <v>1</v>
      </c>
      <c r="BH35" s="7">
        <v>500000</v>
      </c>
      <c r="BI35" s="4" t="s">
        <v>101</v>
      </c>
      <c r="BJ35" s="5">
        <v>2022</v>
      </c>
      <c r="BK35" s="4">
        <v>1</v>
      </c>
      <c r="BL35" s="4">
        <f>COUNTIFS(Investments_Clean!$A$2:$A$150,A35,Investments_Clean!$F$2:$F$150,"Accepted")</f>
        <v>1</v>
      </c>
      <c r="BM35" s="4">
        <f>IF(BL35=0,"",IF((COUNTIFS(Investments_Clean!$A$2:$A$150,A35,Investments_Clean!$D$2:$D$150,"VC/PE",Investments_Clean!$F$2:$F$150,"Accepted"))&gt;0,1,0))</f>
        <v>0</v>
      </c>
      <c r="BN35" s="4">
        <f>IF(BL35=0,"",IF((COUNTIFS(Investments_Clean!$A$2:$A$150,A35,Investments_Clean!$D$2:$D$150,"Angel",Investments_Clean!$F$2:$F$150,"Accepted"))&gt;0,1,0))</f>
        <v>0</v>
      </c>
      <c r="BO35" s="4">
        <f>IF(BL35=0,"",IF((COUNTIFS(Investments_Clean!$A$2:$A$150,A35,Investments_Clean!$D$2:$D$150,"Accelerator",Investments_Clean!$F$2:$F$150,"Accepted"))&gt;0,1,0))</f>
        <v>0</v>
      </c>
      <c r="BP35" s="4">
        <f>IF(BL35=0,"",IF((COUNTIFS(Investments_Clean!$A$2:$A$150,A35,Investments_Clean!$D$2:$D$150,"Corporate",Investments_Clean!$F$2:$F$150,"Accepted"))&gt;0,1,0))</f>
        <v>0</v>
      </c>
      <c r="BQ35" s="4">
        <f>IF(BL35=0,"",IF((COUNTIFS(Investments_Clean!$A$2:$A$150,A35,Investments_Clean!$D$2:$D$150,"Government",Investments_Clean!$F$2:$F$150,"Accepted"))&gt;0,1,0))</f>
        <v>1</v>
      </c>
      <c r="BR35" s="4">
        <f>IF(BL35=0,"",IF((COUNTIFS(Investments_Clean!$A$2:$A$150,A35,Investments_Clean!$D$2:$D$150,"Grant/Philanthropic",Investments_Clean!$F$2:$F$150,"Accepted")+COUNTIFS(Investments_Clean!$A$2:$A$150,A35,Investments_Clean!$D$2:$D$150,"DFI/Impact",Investments_Clean!$F$2:$F$150,"Accepted"))&gt;0,1,0))</f>
        <v>0</v>
      </c>
      <c r="BS35" s="4"/>
      <c r="BT35" s="4"/>
      <c r="BU35" s="4"/>
      <c r="BV35" s="7"/>
      <c r="BW35" s="4"/>
      <c r="BX35" s="4"/>
      <c r="BY35" s="7"/>
      <c r="BZ35" s="4"/>
      <c r="CA35" s="4">
        <v>0</v>
      </c>
      <c r="CB35" s="4"/>
      <c r="CC35" s="4">
        <f>IF(I35="","",IFERROR(IF(INDEX(Macro_Lookup!$B$2:$B$31,MATCH(I35,Macro_Lookup!$A$2:$A$31,0))="","",INDEX(Macro_Lookup!$B$2:$B$31,MATCH(I35,Macro_Lookup!$A$2:$A$31,0))),""))</f>
        <v>6.06</v>
      </c>
      <c r="CD35" s="4">
        <f>IF(I35="","",IFERROR(IF(INDEX(Macro_Lookup!$C$2:$C$31,MATCH(I35,Macro_Lookup!$A$2:$A$31,0))="","",INDEX(Macro_Lookup!$C$2:$C$31,MATCH(I35,Macro_Lookup!$A$2:$A$31,0))),""))</f>
        <v>6.99</v>
      </c>
      <c r="CE35" s="4">
        <f>IF(BJ35="","",IFERROR(IF(INDEX(Macro_Lookup!$B$2:$B$31,MATCH(BJ35,Macro_Lookup!$A$2:$A$31,0))="","",INDEX(Macro_Lookup!$B$2:$B$31,MATCH(BJ35,Macro_Lookup!$A$2:$A$31,0))),""))</f>
        <v>7.1</v>
      </c>
      <c r="CF35" s="4">
        <f>IF(BJ35="","",IFERROR(IF(INDEX(Macro_Lookup!$C$2:$C$31,MATCH(BJ35,Macro_Lookup!$A$2:$A$31,0))="","",INDEX(Macro_Lookup!$C$2:$C$31,MATCH(BJ35,Macro_Lookup!$A$2:$A$31,0))),""))</f>
        <v>7.7</v>
      </c>
      <c r="CG35" s="4">
        <v>4</v>
      </c>
    </row>
    <row r="36" spans="1:85" x14ac:dyDescent="0.3">
      <c r="A36" s="4" t="s">
        <v>252</v>
      </c>
      <c r="B36" s="4" t="s">
        <v>253</v>
      </c>
      <c r="C36" s="4" t="s">
        <v>87</v>
      </c>
      <c r="D36" s="4" t="s">
        <v>88</v>
      </c>
      <c r="E36" s="4">
        <v>0</v>
      </c>
      <c r="F36" s="4" t="s">
        <v>89</v>
      </c>
      <c r="G36" s="4"/>
      <c r="H36" s="4"/>
      <c r="I36" s="5">
        <v>2016</v>
      </c>
      <c r="J36" s="4"/>
      <c r="K36" s="4" t="s">
        <v>90</v>
      </c>
      <c r="L36" s="6">
        <v>46295</v>
      </c>
      <c r="M36" s="4">
        <f t="shared" si="6"/>
        <v>128</v>
      </c>
      <c r="N36" s="4">
        <f t="shared" si="7"/>
        <v>10.67</v>
      </c>
      <c r="O36" s="4" t="s">
        <v>254</v>
      </c>
      <c r="P36" s="4" t="s">
        <v>255</v>
      </c>
      <c r="Q36" s="4" t="s">
        <v>256</v>
      </c>
      <c r="R36" s="4">
        <v>0</v>
      </c>
      <c r="S36" s="4">
        <v>0</v>
      </c>
      <c r="T36" s="4">
        <v>1</v>
      </c>
      <c r="U36" s="4">
        <v>0</v>
      </c>
      <c r="V36" s="4">
        <v>0</v>
      </c>
      <c r="W36" s="4">
        <v>0</v>
      </c>
      <c r="X36" s="4" t="s">
        <v>257</v>
      </c>
      <c r="Y36" s="4"/>
      <c r="Z36" s="4"/>
      <c r="AA36" s="4"/>
      <c r="AB36" s="4"/>
      <c r="AC36" s="4"/>
      <c r="AD36" s="7"/>
      <c r="AE36" s="4"/>
      <c r="AF36" s="4">
        <f>IF(SUMIF(Founders_Clean!$A$2:$A$159,A36,Founders_Clean!$C$2:$C$159)=0,"",SUMIF(Founders_Clean!$A$2:$A$159,A36,Founders_Clean!$C$2:$C$159))</f>
        <v>1</v>
      </c>
      <c r="AG36" s="4">
        <f>IF(AF36="","",SUMIF(Founders_Clean!$A$2:$A$159,A36,Founders_Clean!$D$2:$D$159))</f>
        <v>1</v>
      </c>
      <c r="AH36" s="4">
        <f>IF(AF36="","",SUMIF(Founders_Clean!$A$2:$A$159,A36,Founders_Clean!$E$2:$E$159))</f>
        <v>0</v>
      </c>
      <c r="AI36" s="8">
        <f t="shared" si="8"/>
        <v>0</v>
      </c>
      <c r="AJ36" s="4">
        <f t="shared" si="9"/>
        <v>0</v>
      </c>
      <c r="AK36" s="8">
        <f t="shared" si="10"/>
        <v>0</v>
      </c>
      <c r="AL36" s="4"/>
      <c r="AM36" s="4"/>
      <c r="AN36" s="4"/>
      <c r="AO36" s="4"/>
      <c r="AP36" s="8"/>
      <c r="AQ36" s="4"/>
      <c r="AR36" s="4"/>
      <c r="AS36" s="4"/>
      <c r="AT36" s="7"/>
      <c r="AU36" s="4"/>
      <c r="AV36" s="4"/>
      <c r="AW36" s="4"/>
      <c r="AX36" s="4" t="s">
        <v>258</v>
      </c>
      <c r="AY36" s="4" t="s">
        <v>259</v>
      </c>
      <c r="AZ36" s="4" t="s">
        <v>260</v>
      </c>
      <c r="BA36" s="4">
        <v>1</v>
      </c>
      <c r="BB36" s="4">
        <v>0</v>
      </c>
      <c r="BC36" s="4"/>
      <c r="BD36" s="5"/>
      <c r="BE36" s="4"/>
      <c r="BF36" s="4" t="str">
        <f t="shared" si="11"/>
        <v/>
      </c>
      <c r="BG36" s="4"/>
      <c r="BH36" s="7"/>
      <c r="BI36" s="4"/>
      <c r="BJ36" s="5"/>
      <c r="BK36" s="4">
        <v>1</v>
      </c>
      <c r="BL36" s="4">
        <f>COUNTIFS(Investments_Clean!$A$2:$A$150,A36,Investments_Clean!$F$2:$F$150,"Accepted")</f>
        <v>3</v>
      </c>
      <c r="BM36" s="4">
        <f>IF(BL36=0,"",IF((COUNTIFS(Investments_Clean!$A$2:$A$150,A36,Investments_Clean!$D$2:$D$150,"VC/PE",Investments_Clean!$F$2:$F$150,"Accepted"))&gt;0,1,0))</f>
        <v>0</v>
      </c>
      <c r="BN36" s="4">
        <f>IF(BL36=0,"",IF((COUNTIFS(Investments_Clean!$A$2:$A$150,A36,Investments_Clean!$D$2:$D$150,"Angel",Investments_Clean!$F$2:$F$150,"Accepted"))&gt;0,1,0))</f>
        <v>0</v>
      </c>
      <c r="BO36" s="4">
        <f>IF(BL36=0,"",IF((COUNTIFS(Investments_Clean!$A$2:$A$150,A36,Investments_Clean!$D$2:$D$150,"Accelerator",Investments_Clean!$F$2:$F$150,"Accepted"))&gt;0,1,0))</f>
        <v>0</v>
      </c>
      <c r="BP36" s="4">
        <f>IF(BL36=0,"",IF((COUNTIFS(Investments_Clean!$A$2:$A$150,A36,Investments_Clean!$D$2:$D$150,"Corporate",Investments_Clean!$F$2:$F$150,"Accepted"))&gt;0,1,0))</f>
        <v>1</v>
      </c>
      <c r="BQ36" s="4">
        <f>IF(BL36=0,"",IF((COUNTIFS(Investments_Clean!$A$2:$A$150,A36,Investments_Clean!$D$2:$D$150,"Government",Investments_Clean!$F$2:$F$150,"Accepted"))&gt;0,1,0))</f>
        <v>0</v>
      </c>
      <c r="BR36" s="4">
        <f>IF(BL36=0,"",IF((COUNTIFS(Investments_Clean!$A$2:$A$150,A36,Investments_Clean!$D$2:$D$150,"Grant/Philanthropic",Investments_Clean!$F$2:$F$150,"Accepted")+COUNTIFS(Investments_Clean!$A$2:$A$150,A36,Investments_Clean!$D$2:$D$150,"DFI/Impact",Investments_Clean!$F$2:$F$150,"Accepted"))&gt;0,1,0))</f>
        <v>0</v>
      </c>
      <c r="BS36" s="4"/>
      <c r="BT36" s="4"/>
      <c r="BU36" s="4"/>
      <c r="BV36" s="7"/>
      <c r="BW36" s="4"/>
      <c r="BX36" s="4"/>
      <c r="BY36" s="7"/>
      <c r="BZ36" s="4"/>
      <c r="CA36" s="4">
        <v>0</v>
      </c>
      <c r="CB36" s="4"/>
      <c r="CC36" s="4">
        <f>IF(I36="","",IFERROR(IF(INDEX(Macro_Lookup!$B$2:$B$31,MATCH(I36,Macro_Lookup!$A$2:$A$31,0))="","",INDEX(Macro_Lookup!$B$2:$B$31,MATCH(I36,Macro_Lookup!$A$2:$A$31,0))),""))</f>
        <v>7.11</v>
      </c>
      <c r="CD36" s="4">
        <f>IF(I36="","",IFERROR(IF(INDEX(Macro_Lookup!$C$2:$C$31,MATCH(I36,Macro_Lookup!$A$2:$A$31,0))="","",INDEX(Macro_Lookup!$C$2:$C$31,MATCH(I36,Macro_Lookup!$A$2:$A$31,0))),""))</f>
        <v>5.51</v>
      </c>
      <c r="CE36" s="4" t="str">
        <f>IF(BJ36="","",IFERROR(IF(INDEX(Macro_Lookup!$B$2:$B$31,MATCH(BJ36,Macro_Lookup!$A$2:$A$31,0))="","",INDEX(Macro_Lookup!$B$2:$B$31,MATCH(BJ36,Macro_Lookup!$A$2:$A$31,0))),""))</f>
        <v/>
      </c>
      <c r="CF36" s="4" t="str">
        <f>IF(BJ36="","",IFERROR(IF(INDEX(Macro_Lookup!$C$2:$C$31,MATCH(BJ36,Macro_Lookup!$A$2:$A$31,0))="","",INDEX(Macro_Lookup!$C$2:$C$31,MATCH(BJ36,Macro_Lookup!$A$2:$A$31,0))),""))</f>
        <v/>
      </c>
      <c r="CG36" s="4">
        <v>8</v>
      </c>
    </row>
    <row r="37" spans="1:85" x14ac:dyDescent="0.3">
      <c r="A37" s="4" t="s">
        <v>261</v>
      </c>
      <c r="B37" s="4" t="s">
        <v>262</v>
      </c>
      <c r="C37" s="4" t="s">
        <v>87</v>
      </c>
      <c r="D37" s="4" t="s">
        <v>88</v>
      </c>
      <c r="E37" s="4">
        <v>0</v>
      </c>
      <c r="F37" s="4" t="s">
        <v>89</v>
      </c>
      <c r="G37" s="4"/>
      <c r="H37" s="4"/>
      <c r="I37" s="5">
        <v>2015</v>
      </c>
      <c r="J37" s="4"/>
      <c r="K37" s="4" t="s">
        <v>90</v>
      </c>
      <c r="L37" s="6">
        <v>46295</v>
      </c>
      <c r="M37" s="4">
        <f t="shared" si="6"/>
        <v>140</v>
      </c>
      <c r="N37" s="4">
        <f t="shared" si="7"/>
        <v>11.67</v>
      </c>
      <c r="O37" s="4" t="s">
        <v>263</v>
      </c>
      <c r="P37" s="4" t="s">
        <v>263</v>
      </c>
      <c r="Q37" s="4" t="s">
        <v>264</v>
      </c>
      <c r="R37" s="4">
        <v>0</v>
      </c>
      <c r="S37" s="4">
        <v>1</v>
      </c>
      <c r="T37" s="4">
        <v>0</v>
      </c>
      <c r="U37" s="4">
        <v>1</v>
      </c>
      <c r="V37" s="4">
        <v>0</v>
      </c>
      <c r="W37" s="4">
        <v>0</v>
      </c>
      <c r="X37" s="4" t="s">
        <v>197</v>
      </c>
      <c r="Y37" s="4">
        <v>3</v>
      </c>
      <c r="Z37" s="4">
        <v>1</v>
      </c>
      <c r="AA37" s="4">
        <v>1</v>
      </c>
      <c r="AB37" s="4" t="s">
        <v>265</v>
      </c>
      <c r="AC37" s="4"/>
      <c r="AD37" s="7"/>
      <c r="AE37" s="4"/>
      <c r="AF37" s="4">
        <f>IF(SUMIF(Founders_Clean!$A$2:$A$159,A37,Founders_Clean!$C$2:$C$159)=0,"",SUMIF(Founders_Clean!$A$2:$A$159,A37,Founders_Clean!$C$2:$C$159))</f>
        <v>1</v>
      </c>
      <c r="AG37" s="4">
        <f>IF(AF37="","",SUMIF(Founders_Clean!$A$2:$A$159,A37,Founders_Clean!$D$2:$D$159))</f>
        <v>1</v>
      </c>
      <c r="AH37" s="4">
        <f>IF(AF37="","",SUMIF(Founders_Clean!$A$2:$A$159,A37,Founders_Clean!$E$2:$E$159))</f>
        <v>0</v>
      </c>
      <c r="AI37" s="8">
        <f t="shared" si="8"/>
        <v>0</v>
      </c>
      <c r="AJ37" s="4">
        <f t="shared" si="9"/>
        <v>0</v>
      </c>
      <c r="AK37" s="8">
        <f t="shared" si="10"/>
        <v>0</v>
      </c>
      <c r="AL37" s="4"/>
      <c r="AM37" s="4">
        <v>1</v>
      </c>
      <c r="AN37" s="4" t="s">
        <v>143</v>
      </c>
      <c r="AO37" s="4">
        <v>0</v>
      </c>
      <c r="AP37" s="8">
        <v>0</v>
      </c>
      <c r="AQ37" s="4">
        <v>0</v>
      </c>
      <c r="AR37" s="4">
        <v>0</v>
      </c>
      <c r="AS37" s="4">
        <v>0</v>
      </c>
      <c r="AT37" s="7"/>
      <c r="AU37" s="4"/>
      <c r="AV37" s="4"/>
      <c r="AW37" s="4"/>
      <c r="AX37" s="4" t="s">
        <v>99</v>
      </c>
      <c r="AY37" s="4" t="s">
        <v>100</v>
      </c>
      <c r="AZ37" s="4"/>
      <c r="BA37" s="4">
        <v>0</v>
      </c>
      <c r="BB37" s="4">
        <v>0</v>
      </c>
      <c r="BC37" s="4">
        <v>0</v>
      </c>
      <c r="BD37" s="5"/>
      <c r="BE37" s="4"/>
      <c r="BF37" s="4">
        <f t="shared" si="11"/>
        <v>140</v>
      </c>
      <c r="BG37" s="4">
        <v>1</v>
      </c>
      <c r="BH37" s="7">
        <v>5500000</v>
      </c>
      <c r="BI37" s="4" t="s">
        <v>101</v>
      </c>
      <c r="BJ37" s="5">
        <v>2023</v>
      </c>
      <c r="BK37" s="4">
        <v>1</v>
      </c>
      <c r="BL37" s="4">
        <f>COUNTIFS(Investments_Clean!$A$2:$A$150,A37,Investments_Clean!$F$2:$F$150,"Accepted")</f>
        <v>1</v>
      </c>
      <c r="BM37" s="4">
        <f>IF(BL37=0,"",IF((COUNTIFS(Investments_Clean!$A$2:$A$150,A37,Investments_Clean!$D$2:$D$150,"VC/PE",Investments_Clean!$F$2:$F$150,"Accepted"))&gt;0,1,0))</f>
        <v>1</v>
      </c>
      <c r="BN37" s="4">
        <f>IF(BL37=0,"",IF((COUNTIFS(Investments_Clean!$A$2:$A$150,A37,Investments_Clean!$D$2:$D$150,"Angel",Investments_Clean!$F$2:$F$150,"Accepted"))&gt;0,1,0))</f>
        <v>0</v>
      </c>
      <c r="BO37" s="4">
        <f>IF(BL37=0,"",IF((COUNTIFS(Investments_Clean!$A$2:$A$150,A37,Investments_Clean!$D$2:$D$150,"Accelerator",Investments_Clean!$F$2:$F$150,"Accepted"))&gt;0,1,0))</f>
        <v>0</v>
      </c>
      <c r="BP37" s="4">
        <f>IF(BL37=0,"",IF((COUNTIFS(Investments_Clean!$A$2:$A$150,A37,Investments_Clean!$D$2:$D$150,"Corporate",Investments_Clean!$F$2:$F$150,"Accepted"))&gt;0,1,0))</f>
        <v>0</v>
      </c>
      <c r="BQ37" s="4">
        <f>IF(BL37=0,"",IF((COUNTIFS(Investments_Clean!$A$2:$A$150,A37,Investments_Clean!$D$2:$D$150,"Government",Investments_Clean!$F$2:$F$150,"Accepted"))&gt;0,1,0))</f>
        <v>0</v>
      </c>
      <c r="BR37" s="4">
        <f>IF(BL37=0,"",IF((COUNTIFS(Investments_Clean!$A$2:$A$150,A37,Investments_Clean!$D$2:$D$150,"Grant/Philanthropic",Investments_Clean!$F$2:$F$150,"Accepted")+COUNTIFS(Investments_Clean!$A$2:$A$150,A37,Investments_Clean!$D$2:$D$150,"DFI/Impact",Investments_Clean!$F$2:$F$150,"Accepted"))&gt;0,1,0))</f>
        <v>0</v>
      </c>
      <c r="BS37" s="4"/>
      <c r="BT37" s="4"/>
      <c r="BU37" s="4"/>
      <c r="BV37" s="7"/>
      <c r="BW37" s="4"/>
      <c r="BX37" s="4"/>
      <c r="BY37" s="7"/>
      <c r="BZ37" s="4"/>
      <c r="CA37" s="4">
        <v>0</v>
      </c>
      <c r="CB37" s="4"/>
      <c r="CC37" s="4">
        <f>IF(I37="","",IFERROR(IF(INDEX(Macro_Lookup!$B$2:$B$31,MATCH(I37,Macro_Lookup!$A$2:$A$31,0))="","",INDEX(Macro_Lookup!$B$2:$B$31,MATCH(I37,Macro_Lookup!$A$2:$A$31,0))),""))</f>
        <v>6.55</v>
      </c>
      <c r="CD37" s="4">
        <f>IF(I37="","",IFERROR(IF(INDEX(Macro_Lookup!$C$2:$C$31,MATCH(I37,Macro_Lookup!$A$2:$A$31,0))="","",INDEX(Macro_Lookup!$C$2:$C$31,MATCH(I37,Macro_Lookup!$A$2:$A$31,0))),""))</f>
        <v>6.4</v>
      </c>
      <c r="CE37" s="4">
        <f>IF(BJ37="","",IFERROR(IF(INDEX(Macro_Lookup!$B$2:$B$31,MATCH(BJ37,Macro_Lookup!$A$2:$A$31,0))="","",INDEX(Macro_Lookup!$B$2:$B$31,MATCH(BJ37,Macro_Lookup!$A$2:$A$31,0))),""))</f>
        <v>5.78</v>
      </c>
      <c r="CF37" s="4">
        <f>IF(BJ37="","",IFERROR(IF(INDEX(Macro_Lookup!$C$2:$C$31,MATCH(BJ37,Macro_Lookup!$A$2:$A$31,0))="","",INDEX(Macro_Lookup!$C$2:$C$31,MATCH(BJ37,Macro_Lookup!$A$2:$A$31,0))),""))</f>
        <v>9.02</v>
      </c>
      <c r="CG37" s="4">
        <v>3</v>
      </c>
    </row>
    <row r="38" spans="1:85" x14ac:dyDescent="0.3">
      <c r="A38" s="4" t="s">
        <v>266</v>
      </c>
      <c r="B38" s="4" t="s">
        <v>267</v>
      </c>
      <c r="C38" s="4" t="s">
        <v>87</v>
      </c>
      <c r="D38" s="4" t="s">
        <v>88</v>
      </c>
      <c r="E38" s="4">
        <v>0</v>
      </c>
      <c r="F38" s="4" t="s">
        <v>89</v>
      </c>
      <c r="G38" s="4"/>
      <c r="H38" s="4"/>
      <c r="I38" s="5">
        <v>2019</v>
      </c>
      <c r="J38" s="4"/>
      <c r="K38" s="4" t="s">
        <v>90</v>
      </c>
      <c r="L38" s="6">
        <v>46295</v>
      </c>
      <c r="M38" s="4">
        <f t="shared" si="6"/>
        <v>92</v>
      </c>
      <c r="N38" s="4">
        <f t="shared" si="7"/>
        <v>7.67</v>
      </c>
      <c r="O38" s="4" t="s">
        <v>263</v>
      </c>
      <c r="P38" s="4" t="s">
        <v>263</v>
      </c>
      <c r="Q38" s="4" t="s">
        <v>264</v>
      </c>
      <c r="R38" s="4">
        <v>0</v>
      </c>
      <c r="S38" s="4">
        <v>1</v>
      </c>
      <c r="T38" s="4">
        <v>0</v>
      </c>
      <c r="U38" s="4">
        <v>1</v>
      </c>
      <c r="V38" s="4">
        <v>0</v>
      </c>
      <c r="W38" s="4">
        <v>0</v>
      </c>
      <c r="X38" s="4" t="s">
        <v>197</v>
      </c>
      <c r="Y38" s="4">
        <v>3</v>
      </c>
      <c r="Z38" s="4">
        <v>1</v>
      </c>
      <c r="AA38" s="4"/>
      <c r="AB38" s="4"/>
      <c r="AC38" s="4"/>
      <c r="AD38" s="7"/>
      <c r="AE38" s="4"/>
      <c r="AF38" s="4">
        <f>IF(SUMIF(Founders_Clean!$A$2:$A$159,A38,Founders_Clean!$C$2:$C$159)=0,"",SUMIF(Founders_Clean!$A$2:$A$159,A38,Founders_Clean!$C$2:$C$159))</f>
        <v>2</v>
      </c>
      <c r="AG38" s="4">
        <f>IF(AF38="","",SUMIF(Founders_Clean!$A$2:$A$159,A38,Founders_Clean!$D$2:$D$159))</f>
        <v>2</v>
      </c>
      <c r="AH38" s="4">
        <f>IF(AF38="","",SUMIF(Founders_Clean!$A$2:$A$159,A38,Founders_Clean!$E$2:$E$159))</f>
        <v>0</v>
      </c>
      <c r="AI38" s="8">
        <f t="shared" si="8"/>
        <v>0</v>
      </c>
      <c r="AJ38" s="4">
        <f t="shared" si="9"/>
        <v>0</v>
      </c>
      <c r="AK38" s="8">
        <f t="shared" si="10"/>
        <v>0</v>
      </c>
      <c r="AL38" s="4"/>
      <c r="AM38" s="4">
        <v>1</v>
      </c>
      <c r="AN38" s="4" t="s">
        <v>143</v>
      </c>
      <c r="AO38" s="4">
        <v>0</v>
      </c>
      <c r="AP38" s="8">
        <v>0</v>
      </c>
      <c r="AQ38" s="4">
        <v>0</v>
      </c>
      <c r="AR38" s="4">
        <v>10</v>
      </c>
      <c r="AS38" s="4">
        <v>9.5</v>
      </c>
      <c r="AT38" s="7"/>
      <c r="AU38" s="4"/>
      <c r="AV38" s="4"/>
      <c r="AW38" s="4"/>
      <c r="AX38" s="4" t="s">
        <v>99</v>
      </c>
      <c r="AY38" s="4" t="s">
        <v>100</v>
      </c>
      <c r="AZ38" s="4"/>
      <c r="BA38" s="4">
        <v>0</v>
      </c>
      <c r="BB38" s="4">
        <v>0</v>
      </c>
      <c r="BC38" s="4">
        <v>0</v>
      </c>
      <c r="BD38" s="5"/>
      <c r="BE38" s="4"/>
      <c r="BF38" s="4">
        <f t="shared" si="11"/>
        <v>92</v>
      </c>
      <c r="BG38" s="4">
        <v>1</v>
      </c>
      <c r="BH38" s="7">
        <v>4000000</v>
      </c>
      <c r="BI38" s="4" t="s">
        <v>101</v>
      </c>
      <c r="BJ38" s="5">
        <v>2022</v>
      </c>
      <c r="BK38" s="4">
        <v>1</v>
      </c>
      <c r="BL38" s="4">
        <f>COUNTIFS(Investments_Clean!$A$2:$A$150,A38,Investments_Clean!$F$2:$F$150,"Accepted")</f>
        <v>1</v>
      </c>
      <c r="BM38" s="4">
        <f>IF(BL38=0,"",IF((COUNTIFS(Investments_Clean!$A$2:$A$150,A38,Investments_Clean!$D$2:$D$150,"VC/PE",Investments_Clean!$F$2:$F$150,"Accepted"))&gt;0,1,0))</f>
        <v>1</v>
      </c>
      <c r="BN38" s="4">
        <f>IF(BL38=0,"",IF((COUNTIFS(Investments_Clean!$A$2:$A$150,A38,Investments_Clean!$D$2:$D$150,"Angel",Investments_Clean!$F$2:$F$150,"Accepted"))&gt;0,1,0))</f>
        <v>0</v>
      </c>
      <c r="BO38" s="4">
        <f>IF(BL38=0,"",IF((COUNTIFS(Investments_Clean!$A$2:$A$150,A38,Investments_Clean!$D$2:$D$150,"Accelerator",Investments_Clean!$F$2:$F$150,"Accepted"))&gt;0,1,0))</f>
        <v>0</v>
      </c>
      <c r="BP38" s="4">
        <f>IF(BL38=0,"",IF((COUNTIFS(Investments_Clean!$A$2:$A$150,A38,Investments_Clean!$D$2:$D$150,"Corporate",Investments_Clean!$F$2:$F$150,"Accepted"))&gt;0,1,0))</f>
        <v>0</v>
      </c>
      <c r="BQ38" s="4">
        <f>IF(BL38=0,"",IF((COUNTIFS(Investments_Clean!$A$2:$A$150,A38,Investments_Clean!$D$2:$D$150,"Government",Investments_Clean!$F$2:$F$150,"Accepted"))&gt;0,1,0))</f>
        <v>0</v>
      </c>
      <c r="BR38" s="4">
        <f>IF(BL38=0,"",IF((COUNTIFS(Investments_Clean!$A$2:$A$150,A38,Investments_Clean!$D$2:$D$150,"Grant/Philanthropic",Investments_Clean!$F$2:$F$150,"Accepted")+COUNTIFS(Investments_Clean!$A$2:$A$150,A38,Investments_Clean!$D$2:$D$150,"DFI/Impact",Investments_Clean!$F$2:$F$150,"Accepted"))&gt;0,1,0))</f>
        <v>0</v>
      </c>
      <c r="BS38" s="4"/>
      <c r="BT38" s="4"/>
      <c r="BU38" s="4"/>
      <c r="BV38" s="7"/>
      <c r="BW38" s="4"/>
      <c r="BX38" s="4"/>
      <c r="BY38" s="7"/>
      <c r="BZ38" s="4"/>
      <c r="CA38" s="4">
        <v>0</v>
      </c>
      <c r="CB38" s="4"/>
      <c r="CC38" s="4">
        <f>IF(I38="","",IFERROR(IF(INDEX(Macro_Lookup!$B$2:$B$31,MATCH(I38,Macro_Lookup!$A$2:$A$31,0))="","",INDEX(Macro_Lookup!$B$2:$B$31,MATCH(I38,Macro_Lookup!$A$2:$A$31,0))),""))</f>
        <v>7.88</v>
      </c>
      <c r="CD38" s="4">
        <f>IF(I38="","",IFERROR(IF(INDEX(Macro_Lookup!$C$2:$C$31,MATCH(I38,Macro_Lookup!$A$2:$A$31,0))="","",INDEX(Macro_Lookup!$C$2:$C$31,MATCH(I38,Macro_Lookup!$A$2:$A$31,0))),""))</f>
        <v>5.5</v>
      </c>
      <c r="CE38" s="4">
        <f>IF(BJ38="","",IFERROR(IF(INDEX(Macro_Lookup!$B$2:$B$31,MATCH(BJ38,Macro_Lookup!$A$2:$A$31,0))="","",INDEX(Macro_Lookup!$B$2:$B$31,MATCH(BJ38,Macro_Lookup!$A$2:$A$31,0))),""))</f>
        <v>7.1</v>
      </c>
      <c r="CF38" s="4">
        <f>IF(BJ38="","",IFERROR(IF(INDEX(Macro_Lookup!$C$2:$C$31,MATCH(BJ38,Macro_Lookup!$A$2:$A$31,0))="","",INDEX(Macro_Lookup!$C$2:$C$31,MATCH(BJ38,Macro_Lookup!$A$2:$A$31,0))),""))</f>
        <v>7.7</v>
      </c>
      <c r="CG38" s="4">
        <v>4</v>
      </c>
    </row>
    <row r="39" spans="1:85" x14ac:dyDescent="0.3">
      <c r="A39" s="4" t="s">
        <v>268</v>
      </c>
      <c r="B39" s="4" t="s">
        <v>269</v>
      </c>
      <c r="C39" s="4" t="s">
        <v>87</v>
      </c>
      <c r="D39" s="4" t="s">
        <v>88</v>
      </c>
      <c r="E39" s="4">
        <v>0</v>
      </c>
      <c r="F39" s="4" t="s">
        <v>89</v>
      </c>
      <c r="G39" s="4" t="s">
        <v>266</v>
      </c>
      <c r="H39" s="4"/>
      <c r="I39" s="5">
        <v>2016</v>
      </c>
      <c r="J39" s="4"/>
      <c r="K39" s="4" t="s">
        <v>90</v>
      </c>
      <c r="L39" s="6">
        <v>46295</v>
      </c>
      <c r="M39" s="4">
        <f t="shared" si="6"/>
        <v>128</v>
      </c>
      <c r="N39" s="4">
        <f t="shared" si="7"/>
        <v>10.67</v>
      </c>
      <c r="O39" s="4" t="s">
        <v>263</v>
      </c>
      <c r="P39" s="4" t="s">
        <v>263</v>
      </c>
      <c r="Q39" s="4" t="s">
        <v>270</v>
      </c>
      <c r="R39" s="4">
        <v>0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 t="s">
        <v>134</v>
      </c>
      <c r="Y39" s="4">
        <v>3</v>
      </c>
      <c r="Z39" s="4">
        <v>1</v>
      </c>
      <c r="AA39" s="4"/>
      <c r="AB39" s="4"/>
      <c r="AC39" s="4"/>
      <c r="AD39" s="7"/>
      <c r="AE39" s="4"/>
      <c r="AF39" s="4">
        <f>IF(SUMIF(Founders_Clean!$A$2:$A$159,A39,Founders_Clean!$C$2:$C$159)=0,"",SUMIF(Founders_Clean!$A$2:$A$159,A39,Founders_Clean!$C$2:$C$159))</f>
        <v>2</v>
      </c>
      <c r="AG39" s="4">
        <f>IF(AF39="","",SUMIF(Founders_Clean!$A$2:$A$159,A39,Founders_Clean!$D$2:$D$159))</f>
        <v>2</v>
      </c>
      <c r="AH39" s="4">
        <f>IF(AF39="","",SUMIF(Founders_Clean!$A$2:$A$159,A39,Founders_Clean!$E$2:$E$159))</f>
        <v>0</v>
      </c>
      <c r="AI39" s="8">
        <f t="shared" si="8"/>
        <v>0</v>
      </c>
      <c r="AJ39" s="4">
        <f t="shared" si="9"/>
        <v>0</v>
      </c>
      <c r="AK39" s="8">
        <f t="shared" si="10"/>
        <v>0</v>
      </c>
      <c r="AL39" s="4"/>
      <c r="AM39" s="4"/>
      <c r="AN39" s="4"/>
      <c r="AO39" s="4"/>
      <c r="AP39" s="8"/>
      <c r="AQ39" s="4"/>
      <c r="AR39" s="4"/>
      <c r="AS39" s="4"/>
      <c r="AT39" s="7"/>
      <c r="AU39" s="4"/>
      <c r="AV39" s="4"/>
      <c r="AW39" s="4"/>
      <c r="AX39" s="4" t="s">
        <v>134</v>
      </c>
      <c r="AY39" s="4" t="s">
        <v>100</v>
      </c>
      <c r="AZ39" s="4"/>
      <c r="BA39" s="4">
        <v>1</v>
      </c>
      <c r="BB39" s="4">
        <v>0</v>
      </c>
      <c r="BC39" s="4">
        <v>0</v>
      </c>
      <c r="BD39" s="5"/>
      <c r="BE39" s="4"/>
      <c r="BF39" s="4">
        <f t="shared" si="11"/>
        <v>128</v>
      </c>
      <c r="BG39" s="4"/>
      <c r="BH39" s="7"/>
      <c r="BI39" s="4"/>
      <c r="BJ39" s="5"/>
      <c r="BK39" s="4"/>
      <c r="BL39" s="4">
        <f>COUNTIFS(Investments_Clean!$A$2:$A$150,A39,Investments_Clean!$F$2:$F$150,"Accepted")</f>
        <v>0</v>
      </c>
      <c r="BM39" s="4" t="str">
        <f>IF(BL39=0,"",IF((COUNTIFS(Investments_Clean!$A$2:$A$150,A39,Investments_Clean!$D$2:$D$150,"VC/PE",Investments_Clean!$F$2:$F$150,"Accepted"))&gt;0,1,0))</f>
        <v/>
      </c>
      <c r="BN39" s="4" t="str">
        <f>IF(BL39=0,"",IF((COUNTIFS(Investments_Clean!$A$2:$A$150,A39,Investments_Clean!$D$2:$D$150,"Angel",Investments_Clean!$F$2:$F$150,"Accepted"))&gt;0,1,0))</f>
        <v/>
      </c>
      <c r="BO39" s="4" t="str">
        <f>IF(BL39=0,"",IF((COUNTIFS(Investments_Clean!$A$2:$A$150,A39,Investments_Clean!$D$2:$D$150,"Accelerator",Investments_Clean!$F$2:$F$150,"Accepted"))&gt;0,1,0))</f>
        <v/>
      </c>
      <c r="BP39" s="4" t="str">
        <f>IF(BL39=0,"",IF((COUNTIFS(Investments_Clean!$A$2:$A$150,A39,Investments_Clean!$D$2:$D$150,"Corporate",Investments_Clean!$F$2:$F$150,"Accepted"))&gt;0,1,0))</f>
        <v/>
      </c>
      <c r="BQ39" s="4" t="str">
        <f>IF(BL39=0,"",IF((COUNTIFS(Investments_Clean!$A$2:$A$150,A39,Investments_Clean!$D$2:$D$150,"Government",Investments_Clean!$F$2:$F$150,"Accepted"))&gt;0,1,0))</f>
        <v/>
      </c>
      <c r="BR39" s="4" t="str">
        <f>IF(BL39=0,"",IF((COUNTIFS(Investments_Clean!$A$2:$A$150,A39,Investments_Clean!$D$2:$D$150,"Grant/Philanthropic",Investments_Clean!$F$2:$F$150,"Accepted")+COUNTIFS(Investments_Clean!$A$2:$A$150,A39,Investments_Clean!$D$2:$D$150,"DFI/Impact",Investments_Clean!$F$2:$F$150,"Accepted"))&gt;0,1,0))</f>
        <v/>
      </c>
      <c r="BS39" s="4"/>
      <c r="BT39" s="4"/>
      <c r="BU39" s="4"/>
      <c r="BV39" s="7"/>
      <c r="BW39" s="4"/>
      <c r="BX39" s="4"/>
      <c r="BY39" s="7"/>
      <c r="BZ39" s="4"/>
      <c r="CA39" s="4">
        <v>0</v>
      </c>
      <c r="CB39" s="4"/>
      <c r="CC39" s="4">
        <f>IF(I39="","",IFERROR(IF(INDEX(Macro_Lookup!$B$2:$B$31,MATCH(I39,Macro_Lookup!$A$2:$A$31,0))="","",INDEX(Macro_Lookup!$B$2:$B$31,MATCH(I39,Macro_Lookup!$A$2:$A$31,0))),""))</f>
        <v>7.11</v>
      </c>
      <c r="CD39" s="4">
        <f>IF(I39="","",IFERROR(IF(INDEX(Macro_Lookup!$C$2:$C$31,MATCH(I39,Macro_Lookup!$A$2:$A$31,0))="","",INDEX(Macro_Lookup!$C$2:$C$31,MATCH(I39,Macro_Lookup!$A$2:$A$31,0))),""))</f>
        <v>5.51</v>
      </c>
      <c r="CE39" s="4" t="str">
        <f>IF(BJ39="","",IFERROR(IF(INDEX(Macro_Lookup!$B$2:$B$31,MATCH(BJ39,Macro_Lookup!$A$2:$A$31,0))="","",INDEX(Macro_Lookup!$B$2:$B$31,MATCH(BJ39,Macro_Lookup!$A$2:$A$31,0))),""))</f>
        <v/>
      </c>
      <c r="CF39" s="4" t="str">
        <f>IF(BJ39="","",IFERROR(IF(INDEX(Macro_Lookup!$C$2:$C$31,MATCH(BJ39,Macro_Lookup!$A$2:$A$31,0))="","",INDEX(Macro_Lookup!$C$2:$C$31,MATCH(BJ39,Macro_Lookup!$A$2:$A$31,0))),""))</f>
        <v/>
      </c>
      <c r="CG39" s="4">
        <v>7</v>
      </c>
    </row>
    <row r="40" spans="1:85" x14ac:dyDescent="0.3">
      <c r="A40" s="4" t="s">
        <v>271</v>
      </c>
      <c r="B40" s="4" t="s">
        <v>272</v>
      </c>
      <c r="C40" s="4" t="s">
        <v>87</v>
      </c>
      <c r="D40" s="4" t="s">
        <v>88</v>
      </c>
      <c r="E40" s="4">
        <v>0</v>
      </c>
      <c r="F40" s="4" t="s">
        <v>89</v>
      </c>
      <c r="G40" s="4"/>
      <c r="H40" s="4"/>
      <c r="I40" s="5">
        <v>2019</v>
      </c>
      <c r="J40" s="4"/>
      <c r="K40" s="4" t="s">
        <v>90</v>
      </c>
      <c r="L40" s="6">
        <v>46295</v>
      </c>
      <c r="M40" s="4">
        <f t="shared" si="6"/>
        <v>92</v>
      </c>
      <c r="N40" s="4">
        <f t="shared" si="7"/>
        <v>7.67</v>
      </c>
      <c r="O40" s="4" t="s">
        <v>263</v>
      </c>
      <c r="P40" s="4" t="s">
        <v>263</v>
      </c>
      <c r="Q40" s="4" t="s">
        <v>273</v>
      </c>
      <c r="R40" s="4">
        <v>1</v>
      </c>
      <c r="S40" s="4">
        <v>1</v>
      </c>
      <c r="T40" s="4">
        <v>0</v>
      </c>
      <c r="U40" s="4">
        <v>1</v>
      </c>
      <c r="V40" s="4">
        <v>0</v>
      </c>
      <c r="W40" s="4">
        <v>0</v>
      </c>
      <c r="X40" s="4" t="s">
        <v>197</v>
      </c>
      <c r="Y40" s="4">
        <v>3</v>
      </c>
      <c r="Z40" s="4">
        <v>1</v>
      </c>
      <c r="AA40" s="4">
        <v>1</v>
      </c>
      <c r="AB40" s="4" t="s">
        <v>274</v>
      </c>
      <c r="AC40" s="4"/>
      <c r="AD40" s="7"/>
      <c r="AE40" s="4"/>
      <c r="AF40" s="4">
        <f>IF(SUMIF(Founders_Clean!$A$2:$A$159,A40,Founders_Clean!$C$2:$C$159)=0,"",SUMIF(Founders_Clean!$A$2:$A$159,A40,Founders_Clean!$C$2:$C$159))</f>
        <v>1</v>
      </c>
      <c r="AG40" s="4">
        <f>IF(AF40="","",SUMIF(Founders_Clean!$A$2:$A$159,A40,Founders_Clean!$D$2:$D$159))</f>
        <v>1</v>
      </c>
      <c r="AH40" s="4">
        <f>IF(AF40="","",SUMIF(Founders_Clean!$A$2:$A$159,A40,Founders_Clean!$E$2:$E$159))</f>
        <v>0</v>
      </c>
      <c r="AI40" s="8">
        <f t="shared" si="8"/>
        <v>0</v>
      </c>
      <c r="AJ40" s="4">
        <f t="shared" si="9"/>
        <v>0</v>
      </c>
      <c r="AK40" s="8">
        <f t="shared" si="10"/>
        <v>0</v>
      </c>
      <c r="AL40" s="4"/>
      <c r="AM40" s="4"/>
      <c r="AN40" s="4"/>
      <c r="AO40" s="4"/>
      <c r="AP40" s="8"/>
      <c r="AQ40" s="4"/>
      <c r="AR40" s="4"/>
      <c r="AS40" s="4"/>
      <c r="AT40" s="7"/>
      <c r="AU40" s="4"/>
      <c r="AV40" s="4"/>
      <c r="AW40" s="4"/>
      <c r="AX40" s="4" t="s">
        <v>99</v>
      </c>
      <c r="AY40" s="4" t="s">
        <v>100</v>
      </c>
      <c r="AZ40" s="4"/>
      <c r="BA40" s="4">
        <v>0</v>
      </c>
      <c r="BB40" s="4">
        <v>0</v>
      </c>
      <c r="BC40" s="4">
        <v>0</v>
      </c>
      <c r="BD40" s="5"/>
      <c r="BE40" s="4"/>
      <c r="BF40" s="4">
        <f t="shared" si="11"/>
        <v>92</v>
      </c>
      <c r="BG40" s="4">
        <v>1</v>
      </c>
      <c r="BH40" s="7">
        <v>180000</v>
      </c>
      <c r="BI40" s="4" t="s">
        <v>101</v>
      </c>
      <c r="BJ40" s="5">
        <v>2021</v>
      </c>
      <c r="BK40" s="4">
        <v>1</v>
      </c>
      <c r="BL40" s="4">
        <f>COUNTIFS(Investments_Clean!$A$2:$A$150,A40,Investments_Clean!$F$2:$F$150,"Accepted")</f>
        <v>1</v>
      </c>
      <c r="BM40" s="4">
        <f>IF(BL40=0,"",IF((COUNTIFS(Investments_Clean!$A$2:$A$150,A40,Investments_Clean!$D$2:$D$150,"VC/PE",Investments_Clean!$F$2:$F$150,"Accepted"))&gt;0,1,0))</f>
        <v>0</v>
      </c>
      <c r="BN40" s="4">
        <f>IF(BL40=0,"",IF((COUNTIFS(Investments_Clean!$A$2:$A$150,A40,Investments_Clean!$D$2:$D$150,"Angel",Investments_Clean!$F$2:$F$150,"Accepted"))&gt;0,1,0))</f>
        <v>0</v>
      </c>
      <c r="BO40" s="4">
        <f>IF(BL40=0,"",IF((COUNTIFS(Investments_Clean!$A$2:$A$150,A40,Investments_Clean!$D$2:$D$150,"Accelerator",Investments_Clean!$F$2:$F$150,"Accepted"))&gt;0,1,0))</f>
        <v>0</v>
      </c>
      <c r="BP40" s="4">
        <f>IF(BL40=0,"",IF((COUNTIFS(Investments_Clean!$A$2:$A$150,A40,Investments_Clean!$D$2:$D$150,"Corporate",Investments_Clean!$F$2:$F$150,"Accepted"))&gt;0,1,0))</f>
        <v>1</v>
      </c>
      <c r="BQ40" s="4">
        <f>IF(BL40=0,"",IF((COUNTIFS(Investments_Clean!$A$2:$A$150,A40,Investments_Clean!$D$2:$D$150,"Government",Investments_Clean!$F$2:$F$150,"Accepted"))&gt;0,1,0))</f>
        <v>0</v>
      </c>
      <c r="BR40" s="4">
        <f>IF(BL40=0,"",IF((COUNTIFS(Investments_Clean!$A$2:$A$150,A40,Investments_Clean!$D$2:$D$150,"Grant/Philanthropic",Investments_Clean!$F$2:$F$150,"Accepted")+COUNTIFS(Investments_Clean!$A$2:$A$150,A40,Investments_Clean!$D$2:$D$150,"DFI/Impact",Investments_Clean!$F$2:$F$150,"Accepted"))&gt;0,1,0))</f>
        <v>0</v>
      </c>
      <c r="BS40" s="4"/>
      <c r="BT40" s="4"/>
      <c r="BU40" s="4"/>
      <c r="BV40" s="7"/>
      <c r="BW40" s="4"/>
      <c r="BX40" s="4"/>
      <c r="BY40" s="7"/>
      <c r="BZ40" s="4"/>
      <c r="CA40" s="4">
        <v>0</v>
      </c>
      <c r="CB40" s="4"/>
      <c r="CC40" s="4">
        <f>IF(I40="","",IFERROR(IF(INDEX(Macro_Lookup!$B$2:$B$31,MATCH(I40,Macro_Lookup!$A$2:$A$31,0))="","",INDEX(Macro_Lookup!$B$2:$B$31,MATCH(I40,Macro_Lookup!$A$2:$A$31,0))),""))</f>
        <v>7.88</v>
      </c>
      <c r="CD40" s="4">
        <f>IF(I40="","",IFERROR(IF(INDEX(Macro_Lookup!$C$2:$C$31,MATCH(I40,Macro_Lookup!$A$2:$A$31,0))="","",INDEX(Macro_Lookup!$C$2:$C$31,MATCH(I40,Macro_Lookup!$A$2:$A$31,0))),""))</f>
        <v>5.5</v>
      </c>
      <c r="CE40" s="4">
        <f>IF(BJ40="","",IFERROR(IF(INDEX(Macro_Lookup!$B$2:$B$31,MATCH(BJ40,Macro_Lookup!$A$2:$A$31,0))="","",INDEX(Macro_Lookup!$B$2:$B$31,MATCH(BJ40,Macro_Lookup!$A$2:$A$31,0))),""))</f>
        <v>6.94</v>
      </c>
      <c r="CF40" s="4">
        <f>IF(BJ40="","",IFERROR(IF(INDEX(Macro_Lookup!$C$2:$C$31,MATCH(BJ40,Macro_Lookup!$A$2:$A$31,0))="","",INDEX(Macro_Lookup!$C$2:$C$31,MATCH(BJ40,Macro_Lookup!$A$2:$A$31,0))),""))</f>
        <v>5.55</v>
      </c>
      <c r="CG40" s="4">
        <v>4</v>
      </c>
    </row>
    <row r="41" spans="1:85" x14ac:dyDescent="0.3">
      <c r="A41" s="4" t="s">
        <v>275</v>
      </c>
      <c r="B41" s="4" t="s">
        <v>276</v>
      </c>
      <c r="C41" s="4" t="s">
        <v>87</v>
      </c>
      <c r="D41" s="4" t="s">
        <v>88</v>
      </c>
      <c r="E41" s="4">
        <v>0</v>
      </c>
      <c r="F41" s="4" t="s">
        <v>89</v>
      </c>
      <c r="G41" s="4"/>
      <c r="H41" s="4"/>
      <c r="I41" s="5"/>
      <c r="J41" s="4"/>
      <c r="K41" s="4" t="s">
        <v>105</v>
      </c>
      <c r="L41" s="6">
        <v>46295</v>
      </c>
      <c r="M41" s="4" t="str">
        <f t="shared" si="6"/>
        <v/>
      </c>
      <c r="N41" s="4" t="str">
        <f t="shared" si="7"/>
        <v/>
      </c>
      <c r="O41" s="4" t="s">
        <v>263</v>
      </c>
      <c r="P41" s="4" t="s">
        <v>263</v>
      </c>
      <c r="Q41" s="4" t="s">
        <v>277</v>
      </c>
      <c r="R41" s="4">
        <v>0</v>
      </c>
      <c r="S41" s="4">
        <v>1</v>
      </c>
      <c r="T41" s="4">
        <v>0</v>
      </c>
      <c r="U41" s="4">
        <v>0</v>
      </c>
      <c r="V41" s="4">
        <v>0</v>
      </c>
      <c r="W41" s="4">
        <v>0</v>
      </c>
      <c r="X41" s="4" t="s">
        <v>278</v>
      </c>
      <c r="Y41" s="4"/>
      <c r="Z41" s="4"/>
      <c r="AA41" s="4"/>
      <c r="AB41" s="4"/>
      <c r="AC41" s="4"/>
      <c r="AD41" s="7"/>
      <c r="AE41" s="4"/>
      <c r="AF41" s="4">
        <f>IF(SUMIF(Founders_Clean!$A$2:$A$159,A41,Founders_Clean!$C$2:$C$159)=0,"",SUMIF(Founders_Clean!$A$2:$A$159,A41,Founders_Clean!$C$2:$C$159))</f>
        <v>1</v>
      </c>
      <c r="AG41" s="4">
        <f>IF(AF41="","",SUMIF(Founders_Clean!$A$2:$A$159,A41,Founders_Clean!$D$2:$D$159))</f>
        <v>1</v>
      </c>
      <c r="AH41" s="4">
        <f>IF(AF41="","",SUMIF(Founders_Clean!$A$2:$A$159,A41,Founders_Clean!$E$2:$E$159))</f>
        <v>0</v>
      </c>
      <c r="AI41" s="8">
        <f t="shared" si="8"/>
        <v>0</v>
      </c>
      <c r="AJ41" s="4">
        <f t="shared" si="9"/>
        <v>0</v>
      </c>
      <c r="AK41" s="8">
        <f t="shared" si="10"/>
        <v>0</v>
      </c>
      <c r="AL41" s="4"/>
      <c r="AM41" s="4"/>
      <c r="AN41" s="4"/>
      <c r="AO41" s="4"/>
      <c r="AP41" s="8"/>
      <c r="AQ41" s="4"/>
      <c r="AR41" s="4"/>
      <c r="AS41" s="4"/>
      <c r="AT41" s="7"/>
      <c r="AU41" s="4"/>
      <c r="AV41" s="4"/>
      <c r="AW41" s="4"/>
      <c r="AX41" s="4" t="s">
        <v>258</v>
      </c>
      <c r="AY41" s="4" t="s">
        <v>259</v>
      </c>
      <c r="AZ41" s="4" t="s">
        <v>279</v>
      </c>
      <c r="BA41" s="4"/>
      <c r="BB41" s="4">
        <v>0</v>
      </c>
      <c r="BC41" s="4"/>
      <c r="BD41" s="5"/>
      <c r="BE41" s="4"/>
      <c r="BF41" s="4" t="str">
        <f t="shared" si="11"/>
        <v/>
      </c>
      <c r="BG41" s="4"/>
      <c r="BH41" s="7"/>
      <c r="BI41" s="4"/>
      <c r="BJ41" s="5"/>
      <c r="BK41" s="4"/>
      <c r="BL41" s="4">
        <f>COUNTIFS(Investments_Clean!$A$2:$A$150,A41,Investments_Clean!$F$2:$F$150,"Accepted")</f>
        <v>0</v>
      </c>
      <c r="BM41" s="4" t="str">
        <f>IF(BL41=0,"",IF((COUNTIFS(Investments_Clean!$A$2:$A$150,A41,Investments_Clean!$D$2:$D$150,"VC/PE",Investments_Clean!$F$2:$F$150,"Accepted"))&gt;0,1,0))</f>
        <v/>
      </c>
      <c r="BN41" s="4" t="str">
        <f>IF(BL41=0,"",IF((COUNTIFS(Investments_Clean!$A$2:$A$150,A41,Investments_Clean!$D$2:$D$150,"Angel",Investments_Clean!$F$2:$F$150,"Accepted"))&gt;0,1,0))</f>
        <v/>
      </c>
      <c r="BO41" s="4" t="str">
        <f>IF(BL41=0,"",IF((COUNTIFS(Investments_Clean!$A$2:$A$150,A41,Investments_Clean!$D$2:$D$150,"Accelerator",Investments_Clean!$F$2:$F$150,"Accepted"))&gt;0,1,0))</f>
        <v/>
      </c>
      <c r="BP41" s="4" t="str">
        <f>IF(BL41=0,"",IF((COUNTIFS(Investments_Clean!$A$2:$A$150,A41,Investments_Clean!$D$2:$D$150,"Corporate",Investments_Clean!$F$2:$F$150,"Accepted"))&gt;0,1,0))</f>
        <v/>
      </c>
      <c r="BQ41" s="4" t="str">
        <f>IF(BL41=0,"",IF((COUNTIFS(Investments_Clean!$A$2:$A$150,A41,Investments_Clean!$D$2:$D$150,"Government",Investments_Clean!$F$2:$F$150,"Accepted"))&gt;0,1,0))</f>
        <v/>
      </c>
      <c r="BR41" s="4" t="str">
        <f>IF(BL41=0,"",IF((COUNTIFS(Investments_Clean!$A$2:$A$150,A41,Investments_Clean!$D$2:$D$150,"Grant/Philanthropic",Investments_Clean!$F$2:$F$150,"Accepted")+COUNTIFS(Investments_Clean!$A$2:$A$150,A41,Investments_Clean!$D$2:$D$150,"DFI/Impact",Investments_Clean!$F$2:$F$150,"Accepted"))&gt;0,1,0))</f>
        <v/>
      </c>
      <c r="BS41" s="4"/>
      <c r="BT41" s="4"/>
      <c r="BU41" s="4"/>
      <c r="BV41" s="7"/>
      <c r="BW41" s="4"/>
      <c r="BX41" s="4"/>
      <c r="BY41" s="7"/>
      <c r="BZ41" s="4"/>
      <c r="CA41" s="4">
        <v>0</v>
      </c>
      <c r="CB41" s="4"/>
      <c r="CC41" s="4" t="str">
        <f>IF(I41="","",IFERROR(IF(INDEX(Macro_Lookup!$B$2:$B$31,MATCH(I41,Macro_Lookup!$A$2:$A$31,0))="","",INDEX(Macro_Lookup!$B$2:$B$31,MATCH(I41,Macro_Lookup!$A$2:$A$31,0))),""))</f>
        <v/>
      </c>
      <c r="CD41" s="4" t="str">
        <f>IF(I41="","",IFERROR(IF(INDEX(Macro_Lookup!$C$2:$C$31,MATCH(I41,Macro_Lookup!$A$2:$A$31,0))="","",INDEX(Macro_Lookup!$C$2:$C$31,MATCH(I41,Macro_Lookup!$A$2:$A$31,0))),""))</f>
        <v/>
      </c>
      <c r="CE41" s="4" t="str">
        <f>IF(BJ41="","",IFERROR(IF(INDEX(Macro_Lookup!$B$2:$B$31,MATCH(BJ41,Macro_Lookup!$A$2:$A$31,0))="","",INDEX(Macro_Lookup!$B$2:$B$31,MATCH(BJ41,Macro_Lookup!$A$2:$A$31,0))),""))</f>
        <v/>
      </c>
      <c r="CF41" s="4" t="str">
        <f>IF(BJ41="","",IFERROR(IF(INDEX(Macro_Lookup!$C$2:$C$31,MATCH(BJ41,Macro_Lookup!$A$2:$A$31,0))="","",INDEX(Macro_Lookup!$C$2:$C$31,MATCH(BJ41,Macro_Lookup!$A$2:$A$31,0))),""))</f>
        <v/>
      </c>
      <c r="CG41" s="4">
        <v>10</v>
      </c>
    </row>
    <row r="42" spans="1:85" x14ac:dyDescent="0.3">
      <c r="A42" s="4" t="s">
        <v>280</v>
      </c>
      <c r="B42" s="4" t="s">
        <v>281</v>
      </c>
      <c r="C42" s="4" t="s">
        <v>87</v>
      </c>
      <c r="D42" s="4" t="s">
        <v>88</v>
      </c>
      <c r="E42" s="4">
        <v>0</v>
      </c>
      <c r="F42" s="4" t="s">
        <v>89</v>
      </c>
      <c r="G42" s="4"/>
      <c r="H42" s="4"/>
      <c r="I42" s="5">
        <v>2018</v>
      </c>
      <c r="J42" s="4"/>
      <c r="K42" s="4" t="s">
        <v>90</v>
      </c>
      <c r="L42" s="6">
        <v>46295</v>
      </c>
      <c r="M42" s="4">
        <f t="shared" si="6"/>
        <v>104</v>
      </c>
      <c r="N42" s="4">
        <f t="shared" si="7"/>
        <v>8.67</v>
      </c>
      <c r="O42" s="4" t="s">
        <v>263</v>
      </c>
      <c r="P42" s="4" t="s">
        <v>263</v>
      </c>
      <c r="Q42" s="4" t="s">
        <v>282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  <c r="X42" s="4" t="s">
        <v>283</v>
      </c>
      <c r="Y42" s="4">
        <v>3</v>
      </c>
      <c r="Z42" s="4">
        <v>1</v>
      </c>
      <c r="AA42" s="4">
        <v>1</v>
      </c>
      <c r="AB42" s="4" t="s">
        <v>284</v>
      </c>
      <c r="AC42" s="4"/>
      <c r="AD42" s="7"/>
      <c r="AE42" s="4"/>
      <c r="AF42" s="4">
        <f>IF(SUMIF(Founders_Clean!$A$2:$A$159,A42,Founders_Clean!$C$2:$C$159)=0,"",SUMIF(Founders_Clean!$A$2:$A$159,A42,Founders_Clean!$C$2:$C$159))</f>
        <v>3</v>
      </c>
      <c r="AG42" s="4">
        <f>IF(AF42="","",SUMIF(Founders_Clean!$A$2:$A$159,A42,Founders_Clean!$D$2:$D$159))</f>
        <v>3</v>
      </c>
      <c r="AH42" s="4">
        <f>IF(AF42="","",SUMIF(Founders_Clean!$A$2:$A$159,A42,Founders_Clean!$E$2:$E$159))</f>
        <v>0</v>
      </c>
      <c r="AI42" s="8">
        <f t="shared" si="8"/>
        <v>0</v>
      </c>
      <c r="AJ42" s="4">
        <f t="shared" si="9"/>
        <v>0</v>
      </c>
      <c r="AK42" s="8">
        <f t="shared" si="10"/>
        <v>0</v>
      </c>
      <c r="AL42" s="4">
        <v>27.5</v>
      </c>
      <c r="AM42" s="4"/>
      <c r="AN42" s="4"/>
      <c r="AO42" s="4"/>
      <c r="AP42" s="8"/>
      <c r="AQ42" s="4"/>
      <c r="AR42" s="4"/>
      <c r="AS42" s="4"/>
      <c r="AT42" s="7"/>
      <c r="AU42" s="4"/>
      <c r="AV42" s="4"/>
      <c r="AW42" s="4"/>
      <c r="AX42" s="4" t="s">
        <v>99</v>
      </c>
      <c r="AY42" s="4" t="s">
        <v>100</v>
      </c>
      <c r="AZ42" s="4"/>
      <c r="BA42" s="4">
        <v>0</v>
      </c>
      <c r="BB42" s="4">
        <v>0</v>
      </c>
      <c r="BC42" s="4">
        <v>0</v>
      </c>
      <c r="BD42" s="5"/>
      <c r="BE42" s="4"/>
      <c r="BF42" s="4">
        <f t="shared" si="11"/>
        <v>104</v>
      </c>
      <c r="BG42" s="4">
        <v>1</v>
      </c>
      <c r="BH42" s="7">
        <v>200000</v>
      </c>
      <c r="BI42" s="4" t="s">
        <v>145</v>
      </c>
      <c r="BJ42" s="5">
        <v>2021</v>
      </c>
      <c r="BK42" s="4">
        <v>1</v>
      </c>
      <c r="BL42" s="4">
        <f>COUNTIFS(Investments_Clean!$A$2:$A$150,A42,Investments_Clean!$F$2:$F$150,"Accepted")</f>
        <v>3</v>
      </c>
      <c r="BM42" s="4">
        <f>IF(BL42=0,"",IF((COUNTIFS(Investments_Clean!$A$2:$A$150,A42,Investments_Clean!$D$2:$D$150,"VC/PE",Investments_Clean!$F$2:$F$150,"Accepted"))&gt;0,1,0))</f>
        <v>0</v>
      </c>
      <c r="BN42" s="4">
        <f>IF(BL42=0,"",IF((COUNTIFS(Investments_Clean!$A$2:$A$150,A42,Investments_Clean!$D$2:$D$150,"Angel",Investments_Clean!$F$2:$F$150,"Accepted"))&gt;0,1,0))</f>
        <v>1</v>
      </c>
      <c r="BO42" s="4">
        <f>IF(BL42=0,"",IF((COUNTIFS(Investments_Clean!$A$2:$A$150,A42,Investments_Clean!$D$2:$D$150,"Accelerator",Investments_Clean!$F$2:$F$150,"Accepted"))&gt;0,1,0))</f>
        <v>1</v>
      </c>
      <c r="BP42" s="4">
        <f>IF(BL42=0,"",IF((COUNTIFS(Investments_Clean!$A$2:$A$150,A42,Investments_Clean!$D$2:$D$150,"Corporate",Investments_Clean!$F$2:$F$150,"Accepted"))&gt;0,1,0))</f>
        <v>0</v>
      </c>
      <c r="BQ42" s="4">
        <f>IF(BL42=0,"",IF((COUNTIFS(Investments_Clean!$A$2:$A$150,A42,Investments_Clean!$D$2:$D$150,"Government",Investments_Clean!$F$2:$F$150,"Accepted"))&gt;0,1,0))</f>
        <v>0</v>
      </c>
      <c r="BR42" s="4">
        <f>IF(BL42=0,"",IF((COUNTIFS(Investments_Clean!$A$2:$A$150,A42,Investments_Clean!$D$2:$D$150,"Grant/Philanthropic",Investments_Clean!$F$2:$F$150,"Accepted")+COUNTIFS(Investments_Clean!$A$2:$A$150,A42,Investments_Clean!$D$2:$D$150,"DFI/Impact",Investments_Clean!$F$2:$F$150,"Accepted"))&gt;0,1,0))</f>
        <v>0</v>
      </c>
      <c r="BS42" s="4"/>
      <c r="BT42" s="4"/>
      <c r="BU42" s="4"/>
      <c r="BV42" s="7"/>
      <c r="BW42" s="4"/>
      <c r="BX42" s="4"/>
      <c r="BY42" s="7"/>
      <c r="BZ42" s="4"/>
      <c r="CA42" s="4">
        <v>0</v>
      </c>
      <c r="CB42" s="4"/>
      <c r="CC42" s="4">
        <f>IF(I42="","",IFERROR(IF(INDEX(Macro_Lookup!$B$2:$B$31,MATCH(I42,Macro_Lookup!$A$2:$A$31,0))="","",INDEX(Macro_Lookup!$B$2:$B$31,MATCH(I42,Macro_Lookup!$A$2:$A$31,0))),""))</f>
        <v>7.32</v>
      </c>
      <c r="CD42" s="4">
        <f>IF(I42="","",IFERROR(IF(INDEX(Macro_Lookup!$C$2:$C$31,MATCH(I42,Macro_Lookup!$A$2:$A$31,0))="","",INDEX(Macro_Lookup!$C$2:$C$31,MATCH(I42,Macro_Lookup!$A$2:$A$31,0))),""))</f>
        <v>5.54</v>
      </c>
      <c r="CE42" s="4">
        <f>IF(BJ42="","",IFERROR(IF(INDEX(Macro_Lookup!$B$2:$B$31,MATCH(BJ42,Macro_Lookup!$A$2:$A$31,0))="","",INDEX(Macro_Lookup!$B$2:$B$31,MATCH(BJ42,Macro_Lookup!$A$2:$A$31,0))),""))</f>
        <v>6.94</v>
      </c>
      <c r="CF42" s="4">
        <f>IF(BJ42="","",IFERROR(IF(INDEX(Macro_Lookup!$C$2:$C$31,MATCH(BJ42,Macro_Lookup!$A$2:$A$31,0))="","",INDEX(Macro_Lookup!$C$2:$C$31,MATCH(BJ42,Macro_Lookup!$A$2:$A$31,0))),""))</f>
        <v>5.55</v>
      </c>
      <c r="CG42" s="4">
        <v>4</v>
      </c>
    </row>
    <row r="43" spans="1:85" x14ac:dyDescent="0.3">
      <c r="A43" s="4" t="s">
        <v>285</v>
      </c>
      <c r="B43" s="4" t="s">
        <v>286</v>
      </c>
      <c r="C43" s="4" t="s">
        <v>87</v>
      </c>
      <c r="D43" s="4" t="s">
        <v>88</v>
      </c>
      <c r="E43" s="4">
        <v>0</v>
      </c>
      <c r="F43" s="4" t="s">
        <v>89</v>
      </c>
      <c r="G43" s="4"/>
      <c r="H43" s="4"/>
      <c r="I43" s="5">
        <v>2020</v>
      </c>
      <c r="J43" s="4"/>
      <c r="K43" s="4" t="s">
        <v>90</v>
      </c>
      <c r="L43" s="6">
        <v>46295</v>
      </c>
      <c r="M43" s="4">
        <f t="shared" si="6"/>
        <v>80</v>
      </c>
      <c r="N43" s="4">
        <f t="shared" si="7"/>
        <v>6.67</v>
      </c>
      <c r="O43" s="4" t="s">
        <v>263</v>
      </c>
      <c r="P43" s="4" t="s">
        <v>263</v>
      </c>
      <c r="Q43" s="4" t="s">
        <v>287</v>
      </c>
      <c r="R43" s="4">
        <v>0</v>
      </c>
      <c r="S43" s="4">
        <v>1</v>
      </c>
      <c r="T43" s="4">
        <v>0</v>
      </c>
      <c r="U43" s="4">
        <v>1</v>
      </c>
      <c r="V43" s="4">
        <v>0</v>
      </c>
      <c r="W43" s="4">
        <v>0</v>
      </c>
      <c r="X43" s="4" t="s">
        <v>283</v>
      </c>
      <c r="Y43" s="4">
        <v>3</v>
      </c>
      <c r="Z43" s="4">
        <v>1</v>
      </c>
      <c r="AA43" s="4">
        <v>1</v>
      </c>
      <c r="AB43" s="4" t="s">
        <v>288</v>
      </c>
      <c r="AC43" s="4">
        <v>1</v>
      </c>
      <c r="AD43" s="7">
        <v>100000</v>
      </c>
      <c r="AE43" s="4" t="s">
        <v>289</v>
      </c>
      <c r="AF43" s="4">
        <f>IF(SUMIF(Founders_Clean!$A$2:$A$159,A43,Founders_Clean!$C$2:$C$159)=0,"",SUMIF(Founders_Clean!$A$2:$A$159,A43,Founders_Clean!$C$2:$C$159))</f>
        <v>2</v>
      </c>
      <c r="AG43" s="4">
        <f>IF(AF43="","",SUMIF(Founders_Clean!$A$2:$A$159,A43,Founders_Clean!$D$2:$D$159))</f>
        <v>1</v>
      </c>
      <c r="AH43" s="4">
        <f>IF(AF43="","",SUMIF(Founders_Clean!$A$2:$A$159,A43,Founders_Clean!$E$2:$E$159))</f>
        <v>1</v>
      </c>
      <c r="AI43" s="8">
        <f t="shared" si="8"/>
        <v>0.5</v>
      </c>
      <c r="AJ43" s="4">
        <f t="shared" si="9"/>
        <v>1</v>
      </c>
      <c r="AK43" s="8">
        <f t="shared" si="10"/>
        <v>0.5</v>
      </c>
      <c r="AL43" s="4">
        <v>25</v>
      </c>
      <c r="AM43" s="4"/>
      <c r="AN43" s="4"/>
      <c r="AO43" s="4"/>
      <c r="AP43" s="8"/>
      <c r="AQ43" s="4"/>
      <c r="AR43" s="4"/>
      <c r="AS43" s="4"/>
      <c r="AT43" s="7"/>
      <c r="AU43" s="4"/>
      <c r="AV43" s="4"/>
      <c r="AW43" s="4"/>
      <c r="AX43" s="4" t="s">
        <v>99</v>
      </c>
      <c r="AY43" s="4" t="s">
        <v>259</v>
      </c>
      <c r="AZ43" s="4" t="s">
        <v>290</v>
      </c>
      <c r="BA43" s="4">
        <v>0</v>
      </c>
      <c r="BB43" s="4">
        <v>0</v>
      </c>
      <c r="BC43" s="4">
        <v>0</v>
      </c>
      <c r="BD43" s="5"/>
      <c r="BE43" s="4"/>
      <c r="BF43" s="4">
        <f t="shared" si="11"/>
        <v>80</v>
      </c>
      <c r="BG43" s="4">
        <v>1</v>
      </c>
      <c r="BH43" s="7">
        <v>450000</v>
      </c>
      <c r="BI43" s="4" t="s">
        <v>145</v>
      </c>
      <c r="BJ43" s="5">
        <v>2024</v>
      </c>
      <c r="BK43" s="4">
        <v>1</v>
      </c>
      <c r="BL43" s="4">
        <f>COUNTIFS(Investments_Clean!$A$2:$A$150,A43,Investments_Clean!$F$2:$F$150,"Accepted")</f>
        <v>6</v>
      </c>
      <c r="BM43" s="4">
        <f>IF(BL43=0,"",IF((COUNTIFS(Investments_Clean!$A$2:$A$150,A43,Investments_Clean!$D$2:$D$150,"VC/PE",Investments_Clean!$F$2:$F$150,"Accepted"))&gt;0,1,0))</f>
        <v>1</v>
      </c>
      <c r="BN43" s="4">
        <f>IF(BL43=0,"",IF((COUNTIFS(Investments_Clean!$A$2:$A$150,A43,Investments_Clean!$D$2:$D$150,"Angel",Investments_Clean!$F$2:$F$150,"Accepted"))&gt;0,1,0))</f>
        <v>1</v>
      </c>
      <c r="BO43" s="4">
        <f>IF(BL43=0,"",IF((COUNTIFS(Investments_Clean!$A$2:$A$150,A43,Investments_Clean!$D$2:$D$150,"Accelerator",Investments_Clean!$F$2:$F$150,"Accepted"))&gt;0,1,0))</f>
        <v>1</v>
      </c>
      <c r="BP43" s="4">
        <f>IF(BL43=0,"",IF((COUNTIFS(Investments_Clean!$A$2:$A$150,A43,Investments_Clean!$D$2:$D$150,"Corporate",Investments_Clean!$F$2:$F$150,"Accepted"))&gt;0,1,0))</f>
        <v>0</v>
      </c>
      <c r="BQ43" s="4">
        <f>IF(BL43=0,"",IF((COUNTIFS(Investments_Clean!$A$2:$A$150,A43,Investments_Clean!$D$2:$D$150,"Government",Investments_Clean!$F$2:$F$150,"Accepted"))&gt;0,1,0))</f>
        <v>0</v>
      </c>
      <c r="BR43" s="4">
        <f>IF(BL43=0,"",IF((COUNTIFS(Investments_Clean!$A$2:$A$150,A43,Investments_Clean!$D$2:$D$150,"Grant/Philanthropic",Investments_Clean!$F$2:$F$150,"Accepted")+COUNTIFS(Investments_Clean!$A$2:$A$150,A43,Investments_Clean!$D$2:$D$150,"DFI/Impact",Investments_Clean!$F$2:$F$150,"Accepted"))&gt;0,1,0))</f>
        <v>1</v>
      </c>
      <c r="BS43" s="4"/>
      <c r="BT43" s="4"/>
      <c r="BU43" s="4"/>
      <c r="BV43" s="7"/>
      <c r="BW43" s="4"/>
      <c r="BX43" s="4"/>
      <c r="BY43" s="7"/>
      <c r="BZ43" s="4"/>
      <c r="CA43" s="4">
        <v>0</v>
      </c>
      <c r="CB43" s="4"/>
      <c r="CC43" s="4">
        <f>IF(I43="","",IFERROR(IF(INDEX(Macro_Lookup!$B$2:$B$31,MATCH(I43,Macro_Lookup!$A$2:$A$31,0))="","",INDEX(Macro_Lookup!$B$2:$B$31,MATCH(I43,Macro_Lookup!$A$2:$A$31,0))),""))</f>
        <v>3.45</v>
      </c>
      <c r="CD43" s="4">
        <f>IF(I43="","",IFERROR(IF(INDEX(Macro_Lookup!$C$2:$C$31,MATCH(I43,Macro_Lookup!$A$2:$A$31,0))="","",INDEX(Macro_Lookup!$C$2:$C$31,MATCH(I43,Macro_Lookup!$A$2:$A$31,0))),""))</f>
        <v>5.69</v>
      </c>
      <c r="CE43" s="4">
        <f>IF(BJ43="","",IFERROR(IF(INDEX(Macro_Lookup!$B$2:$B$31,MATCH(BJ43,Macro_Lookup!$A$2:$A$31,0))="","",INDEX(Macro_Lookup!$B$2:$B$31,MATCH(BJ43,Macro_Lookup!$A$2:$A$31,0))),""))</f>
        <v>4.22</v>
      </c>
      <c r="CF43" s="4">
        <f>IF(BJ43="","",IFERROR(IF(INDEX(Macro_Lookup!$C$2:$C$31,MATCH(BJ43,Macro_Lookup!$A$2:$A$31,0))="","",INDEX(Macro_Lookup!$C$2:$C$31,MATCH(BJ43,Macro_Lookup!$A$2:$A$31,0))),""))</f>
        <v>9.6999999999999993</v>
      </c>
      <c r="CG43" s="4">
        <v>3</v>
      </c>
    </row>
    <row r="44" spans="1:85" x14ac:dyDescent="0.3">
      <c r="A44" s="4" t="s">
        <v>291</v>
      </c>
      <c r="B44" s="4" t="s">
        <v>292</v>
      </c>
      <c r="C44" s="4" t="s">
        <v>87</v>
      </c>
      <c r="D44" s="4" t="s">
        <v>88</v>
      </c>
      <c r="E44" s="4">
        <v>0</v>
      </c>
      <c r="F44" s="4" t="s">
        <v>89</v>
      </c>
      <c r="G44" s="4"/>
      <c r="H44" s="4"/>
      <c r="I44" s="5">
        <v>2019</v>
      </c>
      <c r="J44" s="4"/>
      <c r="K44" s="4" t="s">
        <v>90</v>
      </c>
      <c r="L44" s="6">
        <v>46295</v>
      </c>
      <c r="M44" s="4">
        <f t="shared" si="6"/>
        <v>92</v>
      </c>
      <c r="N44" s="4">
        <f t="shared" si="7"/>
        <v>7.67</v>
      </c>
      <c r="O44" s="4" t="s">
        <v>263</v>
      </c>
      <c r="P44" s="4" t="s">
        <v>263</v>
      </c>
      <c r="Q44" s="4" t="s">
        <v>293</v>
      </c>
      <c r="R44" s="4">
        <v>0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 t="s">
        <v>283</v>
      </c>
      <c r="Y44" s="4">
        <v>3</v>
      </c>
      <c r="Z44" s="4">
        <v>1</v>
      </c>
      <c r="AA44" s="4">
        <v>1</v>
      </c>
      <c r="AB44" s="4" t="s">
        <v>294</v>
      </c>
      <c r="AC44" s="4"/>
      <c r="AD44" s="7"/>
      <c r="AE44" s="4"/>
      <c r="AF44" s="4">
        <f>IF(SUMIF(Founders_Clean!$A$2:$A$159,A44,Founders_Clean!$C$2:$C$159)=0,"",SUMIF(Founders_Clean!$A$2:$A$159,A44,Founders_Clean!$C$2:$C$159))</f>
        <v>1</v>
      </c>
      <c r="AG44" s="4">
        <f>IF(AF44="","",SUMIF(Founders_Clean!$A$2:$A$159,A44,Founders_Clean!$D$2:$D$159))</f>
        <v>1</v>
      </c>
      <c r="AH44" s="4">
        <f>IF(AF44="","",SUMIF(Founders_Clean!$A$2:$A$159,A44,Founders_Clean!$E$2:$E$159))</f>
        <v>0</v>
      </c>
      <c r="AI44" s="8">
        <f t="shared" si="8"/>
        <v>0</v>
      </c>
      <c r="AJ44" s="4">
        <f t="shared" si="9"/>
        <v>0</v>
      </c>
      <c r="AK44" s="8">
        <f t="shared" si="10"/>
        <v>0</v>
      </c>
      <c r="AL44" s="4">
        <v>15</v>
      </c>
      <c r="AM44" s="4"/>
      <c r="AN44" s="4"/>
      <c r="AO44" s="4"/>
      <c r="AP44" s="8"/>
      <c r="AQ44" s="4"/>
      <c r="AR44" s="4"/>
      <c r="AS44" s="4"/>
      <c r="AT44" s="7"/>
      <c r="AU44" s="4"/>
      <c r="AV44" s="4"/>
      <c r="AW44" s="4"/>
      <c r="AX44" s="4" t="s">
        <v>99</v>
      </c>
      <c r="AY44" s="4" t="s">
        <v>100</v>
      </c>
      <c r="AZ44" s="4"/>
      <c r="BA44" s="4">
        <v>0</v>
      </c>
      <c r="BB44" s="4">
        <v>0</v>
      </c>
      <c r="BC44" s="4">
        <v>0</v>
      </c>
      <c r="BD44" s="5"/>
      <c r="BE44" s="4"/>
      <c r="BF44" s="4">
        <f t="shared" si="11"/>
        <v>92</v>
      </c>
      <c r="BG44" s="4">
        <v>1</v>
      </c>
      <c r="BH44" s="7"/>
      <c r="BI44" s="4" t="s">
        <v>105</v>
      </c>
      <c r="BJ44" s="5">
        <v>2021</v>
      </c>
      <c r="BK44" s="4">
        <v>1</v>
      </c>
      <c r="BL44" s="4">
        <f>COUNTIFS(Investments_Clean!$A$2:$A$150,A44,Investments_Clean!$F$2:$F$150,"Accepted")</f>
        <v>1</v>
      </c>
      <c r="BM44" s="4">
        <f>IF(BL44=0,"",IF((COUNTIFS(Investments_Clean!$A$2:$A$150,A44,Investments_Clean!$D$2:$D$150,"VC/PE",Investments_Clean!$F$2:$F$150,"Accepted"))&gt;0,1,0))</f>
        <v>0</v>
      </c>
      <c r="BN44" s="4">
        <f>IF(BL44=0,"",IF((COUNTIFS(Investments_Clean!$A$2:$A$150,A44,Investments_Clean!$D$2:$D$150,"Angel",Investments_Clean!$F$2:$F$150,"Accepted"))&gt;0,1,0))</f>
        <v>0</v>
      </c>
      <c r="BO44" s="4">
        <f>IF(BL44=0,"",IF((COUNTIFS(Investments_Clean!$A$2:$A$150,A44,Investments_Clean!$D$2:$D$150,"Accelerator",Investments_Clean!$F$2:$F$150,"Accepted"))&gt;0,1,0))</f>
        <v>0</v>
      </c>
      <c r="BP44" s="4">
        <f>IF(BL44=0,"",IF((COUNTIFS(Investments_Clean!$A$2:$A$150,A44,Investments_Clean!$D$2:$D$150,"Corporate",Investments_Clean!$F$2:$F$150,"Accepted"))&gt;0,1,0))</f>
        <v>0</v>
      </c>
      <c r="BQ44" s="4">
        <f>IF(BL44=0,"",IF((COUNTIFS(Investments_Clean!$A$2:$A$150,A44,Investments_Clean!$D$2:$D$150,"Government",Investments_Clean!$F$2:$F$150,"Accepted"))&gt;0,1,0))</f>
        <v>1</v>
      </c>
      <c r="BR44" s="4">
        <f>IF(BL44=0,"",IF((COUNTIFS(Investments_Clean!$A$2:$A$150,A44,Investments_Clean!$D$2:$D$150,"Grant/Philanthropic",Investments_Clean!$F$2:$F$150,"Accepted")+COUNTIFS(Investments_Clean!$A$2:$A$150,A44,Investments_Clean!$D$2:$D$150,"DFI/Impact",Investments_Clean!$F$2:$F$150,"Accepted"))&gt;0,1,0))</f>
        <v>0</v>
      </c>
      <c r="BS44" s="4"/>
      <c r="BT44" s="4"/>
      <c r="BU44" s="4"/>
      <c r="BV44" s="7"/>
      <c r="BW44" s="4"/>
      <c r="BX44" s="4"/>
      <c r="BY44" s="7"/>
      <c r="BZ44" s="4"/>
      <c r="CA44" s="4">
        <v>0</v>
      </c>
      <c r="CB44" s="4"/>
      <c r="CC44" s="4">
        <f>IF(I44="","",IFERROR(IF(INDEX(Macro_Lookup!$B$2:$B$31,MATCH(I44,Macro_Lookup!$A$2:$A$31,0))="","",INDEX(Macro_Lookup!$B$2:$B$31,MATCH(I44,Macro_Lookup!$A$2:$A$31,0))),""))</f>
        <v>7.88</v>
      </c>
      <c r="CD44" s="4">
        <f>IF(I44="","",IFERROR(IF(INDEX(Macro_Lookup!$C$2:$C$31,MATCH(I44,Macro_Lookup!$A$2:$A$31,0))="","",INDEX(Macro_Lookup!$C$2:$C$31,MATCH(I44,Macro_Lookup!$A$2:$A$31,0))),""))</f>
        <v>5.5</v>
      </c>
      <c r="CE44" s="4">
        <f>IF(BJ44="","",IFERROR(IF(INDEX(Macro_Lookup!$B$2:$B$31,MATCH(BJ44,Macro_Lookup!$A$2:$A$31,0))="","",INDEX(Macro_Lookup!$B$2:$B$31,MATCH(BJ44,Macro_Lookup!$A$2:$A$31,0))),""))</f>
        <v>6.94</v>
      </c>
      <c r="CF44" s="4">
        <f>IF(BJ44="","",IFERROR(IF(INDEX(Macro_Lookup!$C$2:$C$31,MATCH(BJ44,Macro_Lookup!$A$2:$A$31,0))="","",INDEX(Macro_Lookup!$C$2:$C$31,MATCH(BJ44,Macro_Lookup!$A$2:$A$31,0))),""))</f>
        <v>5.55</v>
      </c>
      <c r="CG44" s="4">
        <v>4</v>
      </c>
    </row>
    <row r="45" spans="1:85" x14ac:dyDescent="0.3">
      <c r="A45" s="4" t="s">
        <v>295</v>
      </c>
      <c r="B45" s="4" t="s">
        <v>296</v>
      </c>
      <c r="C45" s="4" t="s">
        <v>87</v>
      </c>
      <c r="D45" s="4" t="s">
        <v>88</v>
      </c>
      <c r="E45" s="4">
        <v>0</v>
      </c>
      <c r="F45" s="4" t="s">
        <v>89</v>
      </c>
      <c r="G45" s="4"/>
      <c r="H45" s="4"/>
      <c r="I45" s="5">
        <v>2019</v>
      </c>
      <c r="J45" s="4"/>
      <c r="K45" s="4" t="s">
        <v>90</v>
      </c>
      <c r="L45" s="6">
        <v>46295</v>
      </c>
      <c r="M45" s="4">
        <f t="shared" si="6"/>
        <v>92</v>
      </c>
      <c r="N45" s="4">
        <f t="shared" si="7"/>
        <v>7.67</v>
      </c>
      <c r="O45" s="4" t="s">
        <v>263</v>
      </c>
      <c r="P45" s="4" t="s">
        <v>263</v>
      </c>
      <c r="Q45" s="4" t="s">
        <v>297</v>
      </c>
      <c r="R45" s="4">
        <v>0</v>
      </c>
      <c r="S45" s="4">
        <v>1</v>
      </c>
      <c r="T45" s="4">
        <v>0</v>
      </c>
      <c r="U45" s="4">
        <v>1</v>
      </c>
      <c r="V45" s="4">
        <v>0</v>
      </c>
      <c r="W45" s="4">
        <v>0</v>
      </c>
      <c r="X45" s="4" t="s">
        <v>283</v>
      </c>
      <c r="Y45" s="4">
        <v>3</v>
      </c>
      <c r="Z45" s="4">
        <v>1</v>
      </c>
      <c r="AA45" s="4"/>
      <c r="AB45" s="4"/>
      <c r="AC45" s="4"/>
      <c r="AD45" s="7"/>
      <c r="AE45" s="4"/>
      <c r="AF45" s="4">
        <f>IF(SUMIF(Founders_Clean!$A$2:$A$159,A45,Founders_Clean!$C$2:$C$159)=0,"",SUMIF(Founders_Clean!$A$2:$A$159,A45,Founders_Clean!$C$2:$C$159))</f>
        <v>1</v>
      </c>
      <c r="AG45" s="4">
        <f>IF(AF45="","",SUMIF(Founders_Clean!$A$2:$A$159,A45,Founders_Clean!$D$2:$D$159))</f>
        <v>1</v>
      </c>
      <c r="AH45" s="4">
        <f>IF(AF45="","",SUMIF(Founders_Clean!$A$2:$A$159,A45,Founders_Clean!$E$2:$E$159))</f>
        <v>0</v>
      </c>
      <c r="AI45" s="8">
        <f t="shared" si="8"/>
        <v>0</v>
      </c>
      <c r="AJ45" s="4">
        <f t="shared" si="9"/>
        <v>0</v>
      </c>
      <c r="AK45" s="8">
        <f t="shared" si="10"/>
        <v>0</v>
      </c>
      <c r="AL45" s="4">
        <v>17.5</v>
      </c>
      <c r="AM45" s="4">
        <v>2</v>
      </c>
      <c r="AN45" s="4" t="s">
        <v>96</v>
      </c>
      <c r="AO45" s="4">
        <v>1</v>
      </c>
      <c r="AP45" s="8">
        <v>1</v>
      </c>
      <c r="AQ45" s="4">
        <v>0</v>
      </c>
      <c r="AR45" s="4"/>
      <c r="AS45" s="4"/>
      <c r="AT45" s="7"/>
      <c r="AU45" s="4"/>
      <c r="AV45" s="4"/>
      <c r="AW45" s="4"/>
      <c r="AX45" s="4" t="s">
        <v>99</v>
      </c>
      <c r="AY45" s="4" t="s">
        <v>100</v>
      </c>
      <c r="AZ45" s="4"/>
      <c r="BA45" s="4">
        <v>0</v>
      </c>
      <c r="BB45" s="4">
        <v>0</v>
      </c>
      <c r="BC45" s="4">
        <v>0</v>
      </c>
      <c r="BD45" s="5"/>
      <c r="BE45" s="4"/>
      <c r="BF45" s="4">
        <f t="shared" si="11"/>
        <v>92</v>
      </c>
      <c r="BG45" s="4"/>
      <c r="BH45" s="7"/>
      <c r="BI45" s="4"/>
      <c r="BJ45" s="5"/>
      <c r="BK45" s="4"/>
      <c r="BL45" s="4">
        <f>COUNTIFS(Investments_Clean!$A$2:$A$150,A45,Investments_Clean!$F$2:$F$150,"Accepted")</f>
        <v>0</v>
      </c>
      <c r="BM45" s="4" t="str">
        <f>IF(BL45=0,"",IF((COUNTIFS(Investments_Clean!$A$2:$A$150,A45,Investments_Clean!$D$2:$D$150,"VC/PE",Investments_Clean!$F$2:$F$150,"Accepted"))&gt;0,1,0))</f>
        <v/>
      </c>
      <c r="BN45" s="4" t="str">
        <f>IF(BL45=0,"",IF((COUNTIFS(Investments_Clean!$A$2:$A$150,A45,Investments_Clean!$D$2:$D$150,"Angel",Investments_Clean!$F$2:$F$150,"Accepted"))&gt;0,1,0))</f>
        <v/>
      </c>
      <c r="BO45" s="4" t="str">
        <f>IF(BL45=0,"",IF((COUNTIFS(Investments_Clean!$A$2:$A$150,A45,Investments_Clean!$D$2:$D$150,"Accelerator",Investments_Clean!$F$2:$F$150,"Accepted"))&gt;0,1,0))</f>
        <v/>
      </c>
      <c r="BP45" s="4" t="str">
        <f>IF(BL45=0,"",IF((COUNTIFS(Investments_Clean!$A$2:$A$150,A45,Investments_Clean!$D$2:$D$150,"Corporate",Investments_Clean!$F$2:$F$150,"Accepted"))&gt;0,1,0))</f>
        <v/>
      </c>
      <c r="BQ45" s="4" t="str">
        <f>IF(BL45=0,"",IF((COUNTIFS(Investments_Clean!$A$2:$A$150,A45,Investments_Clean!$D$2:$D$150,"Government",Investments_Clean!$F$2:$F$150,"Accepted"))&gt;0,1,0))</f>
        <v/>
      </c>
      <c r="BR45" s="4" t="str">
        <f>IF(BL45=0,"",IF((COUNTIFS(Investments_Clean!$A$2:$A$150,A45,Investments_Clean!$D$2:$D$150,"Grant/Philanthropic",Investments_Clean!$F$2:$F$150,"Accepted")+COUNTIFS(Investments_Clean!$A$2:$A$150,A45,Investments_Clean!$D$2:$D$150,"DFI/Impact",Investments_Clean!$F$2:$F$150,"Accepted"))&gt;0,1,0))</f>
        <v/>
      </c>
      <c r="BS45" s="4"/>
      <c r="BT45" s="4"/>
      <c r="BU45" s="4"/>
      <c r="BV45" s="7"/>
      <c r="BW45" s="4"/>
      <c r="BX45" s="4"/>
      <c r="BY45" s="7"/>
      <c r="BZ45" s="4"/>
      <c r="CA45" s="4">
        <v>0</v>
      </c>
      <c r="CB45" s="4"/>
      <c r="CC45" s="4">
        <f>IF(I45="","",IFERROR(IF(INDEX(Macro_Lookup!$B$2:$B$31,MATCH(I45,Macro_Lookup!$A$2:$A$31,0))="","",INDEX(Macro_Lookup!$B$2:$B$31,MATCH(I45,Macro_Lookup!$A$2:$A$31,0))),""))</f>
        <v>7.88</v>
      </c>
      <c r="CD45" s="4">
        <f>IF(I45="","",IFERROR(IF(INDEX(Macro_Lookup!$C$2:$C$31,MATCH(I45,Macro_Lookup!$A$2:$A$31,0))="","",INDEX(Macro_Lookup!$C$2:$C$31,MATCH(I45,Macro_Lookup!$A$2:$A$31,0))),""))</f>
        <v>5.5</v>
      </c>
      <c r="CE45" s="4" t="str">
        <f>IF(BJ45="","",IFERROR(IF(INDEX(Macro_Lookup!$B$2:$B$31,MATCH(BJ45,Macro_Lookup!$A$2:$A$31,0))="","",INDEX(Macro_Lookup!$B$2:$B$31,MATCH(BJ45,Macro_Lookup!$A$2:$A$31,0))),""))</f>
        <v/>
      </c>
      <c r="CF45" s="4" t="str">
        <f>IF(BJ45="","",IFERROR(IF(INDEX(Macro_Lookup!$C$2:$C$31,MATCH(BJ45,Macro_Lookup!$A$2:$A$31,0))="","",INDEX(Macro_Lookup!$C$2:$C$31,MATCH(BJ45,Macro_Lookup!$A$2:$A$31,0))),""))</f>
        <v/>
      </c>
      <c r="CG45" s="4">
        <v>6</v>
      </c>
    </row>
    <row r="46" spans="1:85" x14ac:dyDescent="0.3">
      <c r="A46" s="4" t="s">
        <v>298</v>
      </c>
      <c r="B46" s="4" t="s">
        <v>299</v>
      </c>
      <c r="C46" s="4" t="s">
        <v>87</v>
      </c>
      <c r="D46" s="4" t="s">
        <v>88</v>
      </c>
      <c r="E46" s="4">
        <v>0</v>
      </c>
      <c r="F46" s="4" t="s">
        <v>89</v>
      </c>
      <c r="G46" s="4"/>
      <c r="H46" s="4"/>
      <c r="I46" s="5">
        <v>2018</v>
      </c>
      <c r="J46" s="4"/>
      <c r="K46" s="4" t="s">
        <v>90</v>
      </c>
      <c r="L46" s="6">
        <v>46295</v>
      </c>
      <c r="M46" s="4">
        <f t="shared" si="6"/>
        <v>104</v>
      </c>
      <c r="N46" s="4">
        <f t="shared" si="7"/>
        <v>8.67</v>
      </c>
      <c r="O46" s="4" t="s">
        <v>263</v>
      </c>
      <c r="P46" s="4" t="s">
        <v>263</v>
      </c>
      <c r="Q46" s="4" t="s">
        <v>300</v>
      </c>
      <c r="R46" s="4">
        <v>0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 t="s">
        <v>283</v>
      </c>
      <c r="Y46" s="4">
        <v>3</v>
      </c>
      <c r="Z46" s="4">
        <v>1</v>
      </c>
      <c r="AA46" s="4">
        <v>1</v>
      </c>
      <c r="AB46" s="4" t="s">
        <v>301</v>
      </c>
      <c r="AC46" s="4">
        <v>1</v>
      </c>
      <c r="AD46" s="7"/>
      <c r="AE46" s="4" t="s">
        <v>302</v>
      </c>
      <c r="AF46" s="4">
        <f>IF(SUMIF(Founders_Clean!$A$2:$A$159,A46,Founders_Clean!$C$2:$C$159)=0,"",SUMIF(Founders_Clean!$A$2:$A$159,A46,Founders_Clean!$C$2:$C$159))</f>
        <v>1</v>
      </c>
      <c r="AG46" s="4">
        <f>IF(AF46="","",SUMIF(Founders_Clean!$A$2:$A$159,A46,Founders_Clean!$D$2:$D$159))</f>
        <v>1</v>
      </c>
      <c r="AH46" s="4">
        <f>IF(AF46="","",SUMIF(Founders_Clean!$A$2:$A$159,A46,Founders_Clean!$E$2:$E$159))</f>
        <v>0</v>
      </c>
      <c r="AI46" s="8">
        <f t="shared" si="8"/>
        <v>0</v>
      </c>
      <c r="AJ46" s="4">
        <f t="shared" si="9"/>
        <v>0</v>
      </c>
      <c r="AK46" s="8">
        <f t="shared" si="10"/>
        <v>0</v>
      </c>
      <c r="AL46" s="4">
        <v>15</v>
      </c>
      <c r="AM46" s="4">
        <v>1</v>
      </c>
      <c r="AN46" s="4" t="s">
        <v>143</v>
      </c>
      <c r="AO46" s="4">
        <v>1</v>
      </c>
      <c r="AP46" s="8">
        <v>1</v>
      </c>
      <c r="AQ46" s="4">
        <v>0</v>
      </c>
      <c r="AR46" s="4"/>
      <c r="AS46" s="4"/>
      <c r="AT46" s="7"/>
      <c r="AU46" s="4"/>
      <c r="AV46" s="4"/>
      <c r="AW46" s="4"/>
      <c r="AX46" s="4" t="s">
        <v>99</v>
      </c>
      <c r="AY46" s="4" t="s">
        <v>100</v>
      </c>
      <c r="AZ46" s="4"/>
      <c r="BA46" s="4">
        <v>0</v>
      </c>
      <c r="BB46" s="4">
        <v>0</v>
      </c>
      <c r="BC46" s="4">
        <v>0</v>
      </c>
      <c r="BD46" s="5"/>
      <c r="BE46" s="4"/>
      <c r="BF46" s="4">
        <f t="shared" si="11"/>
        <v>104</v>
      </c>
      <c r="BG46" s="4">
        <v>1</v>
      </c>
      <c r="BH46" s="7"/>
      <c r="BI46" s="4" t="s">
        <v>105</v>
      </c>
      <c r="BJ46" s="5">
        <v>2020</v>
      </c>
      <c r="BK46" s="4">
        <v>1</v>
      </c>
      <c r="BL46" s="4">
        <f>COUNTIFS(Investments_Clean!$A$2:$A$150,A46,Investments_Clean!$F$2:$F$150,"Accepted")</f>
        <v>3</v>
      </c>
      <c r="BM46" s="4">
        <f>IF(BL46=0,"",IF((COUNTIFS(Investments_Clean!$A$2:$A$150,A46,Investments_Clean!$D$2:$D$150,"VC/PE",Investments_Clean!$F$2:$F$150,"Accepted"))&gt;0,1,0))</f>
        <v>0</v>
      </c>
      <c r="BN46" s="4">
        <f>IF(BL46=0,"",IF((COUNTIFS(Investments_Clean!$A$2:$A$150,A46,Investments_Clean!$D$2:$D$150,"Angel",Investments_Clean!$F$2:$F$150,"Accepted"))&gt;0,1,0))</f>
        <v>0</v>
      </c>
      <c r="BO46" s="4">
        <f>IF(BL46=0,"",IF((COUNTIFS(Investments_Clean!$A$2:$A$150,A46,Investments_Clean!$D$2:$D$150,"Accelerator",Investments_Clean!$F$2:$F$150,"Accepted"))&gt;0,1,0))</f>
        <v>1</v>
      </c>
      <c r="BP46" s="4">
        <f>IF(BL46=0,"",IF((COUNTIFS(Investments_Clean!$A$2:$A$150,A46,Investments_Clean!$D$2:$D$150,"Corporate",Investments_Clean!$F$2:$F$150,"Accepted"))&gt;0,1,0))</f>
        <v>0</v>
      </c>
      <c r="BQ46" s="4">
        <f>IF(BL46=0,"",IF((COUNTIFS(Investments_Clean!$A$2:$A$150,A46,Investments_Clean!$D$2:$D$150,"Government",Investments_Clean!$F$2:$F$150,"Accepted"))&gt;0,1,0))</f>
        <v>1</v>
      </c>
      <c r="BR46" s="4">
        <f>IF(BL46=0,"",IF((COUNTIFS(Investments_Clean!$A$2:$A$150,A46,Investments_Clean!$D$2:$D$150,"Grant/Philanthropic",Investments_Clean!$F$2:$F$150,"Accepted")+COUNTIFS(Investments_Clean!$A$2:$A$150,A46,Investments_Clean!$D$2:$D$150,"DFI/Impact",Investments_Clean!$F$2:$F$150,"Accepted"))&gt;0,1,0))</f>
        <v>1</v>
      </c>
      <c r="BS46" s="4"/>
      <c r="BT46" s="4"/>
      <c r="BU46" s="4"/>
      <c r="BV46" s="7"/>
      <c r="BW46" s="4"/>
      <c r="BX46" s="4"/>
      <c r="BY46" s="7"/>
      <c r="BZ46" s="4"/>
      <c r="CA46" s="4">
        <v>0</v>
      </c>
      <c r="CB46" s="4"/>
      <c r="CC46" s="4">
        <f>IF(I46="","",IFERROR(IF(INDEX(Macro_Lookup!$B$2:$B$31,MATCH(I46,Macro_Lookup!$A$2:$A$31,0))="","",INDEX(Macro_Lookup!$B$2:$B$31,MATCH(I46,Macro_Lookup!$A$2:$A$31,0))),""))</f>
        <v>7.32</v>
      </c>
      <c r="CD46" s="4">
        <f>IF(I46="","",IFERROR(IF(INDEX(Macro_Lookup!$C$2:$C$31,MATCH(I46,Macro_Lookup!$A$2:$A$31,0))="","",INDEX(Macro_Lookup!$C$2:$C$31,MATCH(I46,Macro_Lookup!$A$2:$A$31,0))),""))</f>
        <v>5.54</v>
      </c>
      <c r="CE46" s="4">
        <f>IF(BJ46="","",IFERROR(IF(INDEX(Macro_Lookup!$B$2:$B$31,MATCH(BJ46,Macro_Lookup!$A$2:$A$31,0))="","",INDEX(Macro_Lookup!$B$2:$B$31,MATCH(BJ46,Macro_Lookup!$A$2:$A$31,0))),""))</f>
        <v>3.45</v>
      </c>
      <c r="CF46" s="4">
        <f>IF(BJ46="","",IFERROR(IF(INDEX(Macro_Lookup!$C$2:$C$31,MATCH(BJ46,Macro_Lookup!$A$2:$A$31,0))="","",INDEX(Macro_Lookup!$C$2:$C$31,MATCH(BJ46,Macro_Lookup!$A$2:$A$31,0))),""))</f>
        <v>5.69</v>
      </c>
      <c r="CG46" s="4">
        <v>2</v>
      </c>
    </row>
    <row r="47" spans="1:85" x14ac:dyDescent="0.3">
      <c r="A47" s="4" t="s">
        <v>303</v>
      </c>
      <c r="B47" s="4" t="s">
        <v>304</v>
      </c>
      <c r="C47" s="4" t="s">
        <v>87</v>
      </c>
      <c r="D47" s="4" t="s">
        <v>88</v>
      </c>
      <c r="E47" s="4">
        <v>0</v>
      </c>
      <c r="F47" s="4" t="s">
        <v>89</v>
      </c>
      <c r="G47" s="4"/>
      <c r="H47" s="4"/>
      <c r="I47" s="5">
        <v>2014</v>
      </c>
      <c r="J47" s="4"/>
      <c r="K47" s="4" t="s">
        <v>90</v>
      </c>
      <c r="L47" s="6">
        <v>46295</v>
      </c>
      <c r="M47" s="4">
        <f t="shared" si="6"/>
        <v>152</v>
      </c>
      <c r="N47" s="4">
        <f t="shared" si="7"/>
        <v>12.67</v>
      </c>
      <c r="O47" s="4" t="s">
        <v>263</v>
      </c>
      <c r="P47" s="4" t="s">
        <v>263</v>
      </c>
      <c r="Q47" s="4" t="s">
        <v>305</v>
      </c>
      <c r="R47" s="4">
        <v>0</v>
      </c>
      <c r="S47" s="4">
        <v>1</v>
      </c>
      <c r="T47" s="4">
        <v>0</v>
      </c>
      <c r="U47" s="4">
        <v>0</v>
      </c>
      <c r="V47" s="4">
        <v>0</v>
      </c>
      <c r="W47" s="4">
        <v>0</v>
      </c>
      <c r="X47" s="4" t="s">
        <v>283</v>
      </c>
      <c r="Y47" s="4">
        <v>3</v>
      </c>
      <c r="Z47" s="4">
        <v>1</v>
      </c>
      <c r="AA47" s="4"/>
      <c r="AB47" s="4"/>
      <c r="AC47" s="4"/>
      <c r="AD47" s="7"/>
      <c r="AE47" s="4"/>
      <c r="AF47" s="4">
        <f>IF(SUMIF(Founders_Clean!$A$2:$A$159,A47,Founders_Clean!$C$2:$C$159)=0,"",SUMIF(Founders_Clean!$A$2:$A$159,A47,Founders_Clean!$C$2:$C$159))</f>
        <v>1</v>
      </c>
      <c r="AG47" s="4">
        <f>IF(AF47="","",SUMIF(Founders_Clean!$A$2:$A$159,A47,Founders_Clean!$D$2:$D$159))</f>
        <v>1</v>
      </c>
      <c r="AH47" s="4">
        <f>IF(AF47="","",SUMIF(Founders_Clean!$A$2:$A$159,A47,Founders_Clean!$E$2:$E$159))</f>
        <v>0</v>
      </c>
      <c r="AI47" s="8">
        <f t="shared" si="8"/>
        <v>0</v>
      </c>
      <c r="AJ47" s="4">
        <f t="shared" si="9"/>
        <v>0</v>
      </c>
      <c r="AK47" s="8">
        <f t="shared" si="10"/>
        <v>0</v>
      </c>
      <c r="AL47" s="4">
        <v>12.5</v>
      </c>
      <c r="AM47" s="4"/>
      <c r="AN47" s="4"/>
      <c r="AO47" s="4"/>
      <c r="AP47" s="8"/>
      <c r="AQ47" s="4"/>
      <c r="AR47" s="4"/>
      <c r="AS47" s="4"/>
      <c r="AT47" s="7"/>
      <c r="AU47" s="4"/>
      <c r="AV47" s="4"/>
      <c r="AW47" s="4"/>
      <c r="AX47" s="4" t="s">
        <v>99</v>
      </c>
      <c r="AY47" s="4" t="s">
        <v>100</v>
      </c>
      <c r="AZ47" s="4"/>
      <c r="BA47" s="4">
        <v>0</v>
      </c>
      <c r="BB47" s="4">
        <v>0</v>
      </c>
      <c r="BC47" s="4">
        <v>0</v>
      </c>
      <c r="BD47" s="5"/>
      <c r="BE47" s="4"/>
      <c r="BF47" s="4">
        <f t="shared" si="11"/>
        <v>152</v>
      </c>
      <c r="BG47" s="4"/>
      <c r="BH47" s="7"/>
      <c r="BI47" s="4"/>
      <c r="BJ47" s="5"/>
      <c r="BK47" s="4"/>
      <c r="BL47" s="4">
        <f>COUNTIFS(Investments_Clean!$A$2:$A$150,A47,Investments_Clean!$F$2:$F$150,"Accepted")</f>
        <v>0</v>
      </c>
      <c r="BM47" s="4" t="str">
        <f>IF(BL47=0,"",IF((COUNTIFS(Investments_Clean!$A$2:$A$150,A47,Investments_Clean!$D$2:$D$150,"VC/PE",Investments_Clean!$F$2:$F$150,"Accepted"))&gt;0,1,0))</f>
        <v/>
      </c>
      <c r="BN47" s="4" t="str">
        <f>IF(BL47=0,"",IF((COUNTIFS(Investments_Clean!$A$2:$A$150,A47,Investments_Clean!$D$2:$D$150,"Angel",Investments_Clean!$F$2:$F$150,"Accepted"))&gt;0,1,0))</f>
        <v/>
      </c>
      <c r="BO47" s="4" t="str">
        <f>IF(BL47=0,"",IF((COUNTIFS(Investments_Clean!$A$2:$A$150,A47,Investments_Clean!$D$2:$D$150,"Accelerator",Investments_Clean!$F$2:$F$150,"Accepted"))&gt;0,1,0))</f>
        <v/>
      </c>
      <c r="BP47" s="4" t="str">
        <f>IF(BL47=0,"",IF((COUNTIFS(Investments_Clean!$A$2:$A$150,A47,Investments_Clean!$D$2:$D$150,"Corporate",Investments_Clean!$F$2:$F$150,"Accepted"))&gt;0,1,0))</f>
        <v/>
      </c>
      <c r="BQ47" s="4" t="str">
        <f>IF(BL47=0,"",IF((COUNTIFS(Investments_Clean!$A$2:$A$150,A47,Investments_Clean!$D$2:$D$150,"Government",Investments_Clean!$F$2:$F$150,"Accepted"))&gt;0,1,0))</f>
        <v/>
      </c>
      <c r="BR47" s="4" t="str">
        <f>IF(BL47=0,"",IF((COUNTIFS(Investments_Clean!$A$2:$A$150,A47,Investments_Clean!$D$2:$D$150,"Grant/Philanthropic",Investments_Clean!$F$2:$F$150,"Accepted")+COUNTIFS(Investments_Clean!$A$2:$A$150,A47,Investments_Clean!$D$2:$D$150,"DFI/Impact",Investments_Clean!$F$2:$F$150,"Accepted"))&gt;0,1,0))</f>
        <v/>
      </c>
      <c r="BS47" s="4"/>
      <c r="BT47" s="4"/>
      <c r="BU47" s="4"/>
      <c r="BV47" s="7">
        <v>65000</v>
      </c>
      <c r="BW47" s="4"/>
      <c r="BX47" s="4"/>
      <c r="BY47" s="7"/>
      <c r="BZ47" s="4"/>
      <c r="CA47" s="4">
        <v>1</v>
      </c>
      <c r="CB47" s="4"/>
      <c r="CC47" s="4">
        <f>IF(I47="","",IFERROR(IF(INDEX(Macro_Lookup!$B$2:$B$31,MATCH(I47,Macro_Lookup!$A$2:$A$31,0))="","",INDEX(Macro_Lookup!$B$2:$B$31,MATCH(I47,Macro_Lookup!$A$2:$A$31,0))),""))</f>
        <v>6.06</v>
      </c>
      <c r="CD47" s="4">
        <f>IF(I47="","",IFERROR(IF(INDEX(Macro_Lookup!$C$2:$C$31,MATCH(I47,Macro_Lookup!$A$2:$A$31,0))="","",INDEX(Macro_Lookup!$C$2:$C$31,MATCH(I47,Macro_Lookup!$A$2:$A$31,0))),""))</f>
        <v>6.99</v>
      </c>
      <c r="CE47" s="4" t="str">
        <f>IF(BJ47="","",IFERROR(IF(INDEX(Macro_Lookup!$B$2:$B$31,MATCH(BJ47,Macro_Lookup!$A$2:$A$31,0))="","",INDEX(Macro_Lookup!$B$2:$B$31,MATCH(BJ47,Macro_Lookup!$A$2:$A$31,0))),""))</f>
        <v/>
      </c>
      <c r="CF47" s="4" t="str">
        <f>IF(BJ47="","",IFERROR(IF(INDEX(Macro_Lookup!$C$2:$C$31,MATCH(BJ47,Macro_Lookup!$A$2:$A$31,0))="","",INDEX(Macro_Lookup!$C$2:$C$31,MATCH(BJ47,Macro_Lookup!$A$2:$A$31,0))),""))</f>
        <v/>
      </c>
      <c r="CG47" s="4">
        <v>7</v>
      </c>
    </row>
    <row r="48" spans="1:85" x14ac:dyDescent="0.3">
      <c r="A48" s="4" t="s">
        <v>306</v>
      </c>
      <c r="B48" s="4" t="s">
        <v>307</v>
      </c>
      <c r="C48" s="4" t="s">
        <v>87</v>
      </c>
      <c r="D48" s="4" t="s">
        <v>88</v>
      </c>
      <c r="E48" s="4">
        <v>0</v>
      </c>
      <c r="F48" s="4" t="s">
        <v>89</v>
      </c>
      <c r="G48" s="4"/>
      <c r="H48" s="4"/>
      <c r="I48" s="5">
        <v>2015</v>
      </c>
      <c r="J48" s="4"/>
      <c r="K48" s="4" t="s">
        <v>90</v>
      </c>
      <c r="L48" s="6">
        <v>46295</v>
      </c>
      <c r="M48" s="4">
        <f t="shared" si="6"/>
        <v>140</v>
      </c>
      <c r="N48" s="4">
        <f t="shared" si="7"/>
        <v>11.67</v>
      </c>
      <c r="O48" s="4" t="s">
        <v>263</v>
      </c>
      <c r="P48" s="4" t="s">
        <v>263</v>
      </c>
      <c r="Q48" s="4" t="s">
        <v>308</v>
      </c>
      <c r="R48" s="4">
        <v>0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 t="s">
        <v>283</v>
      </c>
      <c r="Y48" s="4">
        <v>3</v>
      </c>
      <c r="Z48" s="4">
        <v>1</v>
      </c>
      <c r="AA48" s="4">
        <v>1</v>
      </c>
      <c r="AB48" s="4" t="s">
        <v>309</v>
      </c>
      <c r="AC48" s="4"/>
      <c r="AD48" s="7"/>
      <c r="AE48" s="4"/>
      <c r="AF48" s="4">
        <f>IF(SUMIF(Founders_Clean!$A$2:$A$159,A48,Founders_Clean!$C$2:$C$159)=0,"",SUMIF(Founders_Clean!$A$2:$A$159,A48,Founders_Clean!$C$2:$C$159))</f>
        <v>1</v>
      </c>
      <c r="AG48" s="4">
        <f>IF(AF48="","",SUMIF(Founders_Clean!$A$2:$A$159,A48,Founders_Clean!$D$2:$D$159))</f>
        <v>1</v>
      </c>
      <c r="AH48" s="4">
        <f>IF(AF48="","",SUMIF(Founders_Clean!$A$2:$A$159,A48,Founders_Clean!$E$2:$E$159))</f>
        <v>0</v>
      </c>
      <c r="AI48" s="8">
        <f t="shared" si="8"/>
        <v>0</v>
      </c>
      <c r="AJ48" s="4">
        <f t="shared" si="9"/>
        <v>0</v>
      </c>
      <c r="AK48" s="8">
        <f t="shared" si="10"/>
        <v>0</v>
      </c>
      <c r="AL48" s="4">
        <v>12.5</v>
      </c>
      <c r="AM48" s="4">
        <v>0</v>
      </c>
      <c r="AN48" s="4" t="s">
        <v>132</v>
      </c>
      <c r="AO48" s="4">
        <v>1</v>
      </c>
      <c r="AP48" s="8">
        <v>1</v>
      </c>
      <c r="AQ48" s="4">
        <v>0</v>
      </c>
      <c r="AR48" s="4"/>
      <c r="AS48" s="4"/>
      <c r="AT48" s="7"/>
      <c r="AU48" s="4"/>
      <c r="AV48" s="4"/>
      <c r="AW48" s="4"/>
      <c r="AX48" s="4" t="s">
        <v>99</v>
      </c>
      <c r="AY48" s="4" t="s">
        <v>100</v>
      </c>
      <c r="AZ48" s="4"/>
      <c r="BA48" s="4">
        <v>0</v>
      </c>
      <c r="BB48" s="4">
        <v>0</v>
      </c>
      <c r="BC48" s="4">
        <v>0</v>
      </c>
      <c r="BD48" s="5"/>
      <c r="BE48" s="4"/>
      <c r="BF48" s="4">
        <f t="shared" si="11"/>
        <v>140</v>
      </c>
      <c r="BG48" s="4"/>
      <c r="BH48" s="7"/>
      <c r="BI48" s="4"/>
      <c r="BJ48" s="5"/>
      <c r="BK48" s="4">
        <v>1</v>
      </c>
      <c r="BL48" s="4">
        <f>COUNTIFS(Investments_Clean!$A$2:$A$150,A48,Investments_Clean!$F$2:$F$150,"Accepted")</f>
        <v>1</v>
      </c>
      <c r="BM48" s="4">
        <f>IF(BL48=0,"",IF((COUNTIFS(Investments_Clean!$A$2:$A$150,A48,Investments_Clean!$D$2:$D$150,"VC/PE",Investments_Clean!$F$2:$F$150,"Accepted"))&gt;0,1,0))</f>
        <v>0</v>
      </c>
      <c r="BN48" s="4">
        <f>IF(BL48=0,"",IF((COUNTIFS(Investments_Clean!$A$2:$A$150,A48,Investments_Clean!$D$2:$D$150,"Angel",Investments_Clean!$F$2:$F$150,"Accepted"))&gt;0,1,0))</f>
        <v>0</v>
      </c>
      <c r="BO48" s="4">
        <f>IF(BL48=0,"",IF((COUNTIFS(Investments_Clean!$A$2:$A$150,A48,Investments_Clean!$D$2:$D$150,"Accelerator",Investments_Clean!$F$2:$F$150,"Accepted"))&gt;0,1,0))</f>
        <v>1</v>
      </c>
      <c r="BP48" s="4">
        <f>IF(BL48=0,"",IF((COUNTIFS(Investments_Clean!$A$2:$A$150,A48,Investments_Clean!$D$2:$D$150,"Corporate",Investments_Clean!$F$2:$F$150,"Accepted"))&gt;0,1,0))</f>
        <v>0</v>
      </c>
      <c r="BQ48" s="4">
        <f>IF(BL48=0,"",IF((COUNTIFS(Investments_Clean!$A$2:$A$150,A48,Investments_Clean!$D$2:$D$150,"Government",Investments_Clean!$F$2:$F$150,"Accepted"))&gt;0,1,0))</f>
        <v>0</v>
      </c>
      <c r="BR48" s="4">
        <f>IF(BL48=0,"",IF((COUNTIFS(Investments_Clean!$A$2:$A$150,A48,Investments_Clean!$D$2:$D$150,"Grant/Philanthropic",Investments_Clean!$F$2:$F$150,"Accepted")+COUNTIFS(Investments_Clean!$A$2:$A$150,A48,Investments_Clean!$D$2:$D$150,"DFI/Impact",Investments_Clean!$F$2:$F$150,"Accepted"))&gt;0,1,0))</f>
        <v>0</v>
      </c>
      <c r="BS48" s="4"/>
      <c r="BT48" s="4"/>
      <c r="BU48" s="4"/>
      <c r="BV48" s="7"/>
      <c r="BW48" s="4"/>
      <c r="BX48" s="4"/>
      <c r="BY48" s="7"/>
      <c r="BZ48" s="4"/>
      <c r="CA48" s="4">
        <v>0</v>
      </c>
      <c r="CB48" s="4"/>
      <c r="CC48" s="4">
        <f>IF(I48="","",IFERROR(IF(INDEX(Macro_Lookup!$B$2:$B$31,MATCH(I48,Macro_Lookup!$A$2:$A$31,0))="","",INDEX(Macro_Lookup!$B$2:$B$31,MATCH(I48,Macro_Lookup!$A$2:$A$31,0))),""))</f>
        <v>6.55</v>
      </c>
      <c r="CD48" s="4">
        <f>IF(I48="","",IFERROR(IF(INDEX(Macro_Lookup!$C$2:$C$31,MATCH(I48,Macro_Lookup!$A$2:$A$31,0))="","",INDEX(Macro_Lookup!$C$2:$C$31,MATCH(I48,Macro_Lookup!$A$2:$A$31,0))),""))</f>
        <v>6.4</v>
      </c>
      <c r="CE48" s="4" t="str">
        <f>IF(BJ48="","",IFERROR(IF(INDEX(Macro_Lookup!$B$2:$B$31,MATCH(BJ48,Macro_Lookup!$A$2:$A$31,0))="","",INDEX(Macro_Lookup!$B$2:$B$31,MATCH(BJ48,Macro_Lookup!$A$2:$A$31,0))),""))</f>
        <v/>
      </c>
      <c r="CF48" s="4" t="str">
        <f>IF(BJ48="","",IFERROR(IF(INDEX(Macro_Lookup!$C$2:$C$31,MATCH(BJ48,Macro_Lookup!$A$2:$A$31,0))="","",INDEX(Macro_Lookup!$C$2:$C$31,MATCH(BJ48,Macro_Lookup!$A$2:$A$31,0))),""))</f>
        <v/>
      </c>
      <c r="CG48" s="4">
        <v>4</v>
      </c>
    </row>
    <row r="49" spans="1:85" x14ac:dyDescent="0.3">
      <c r="A49" s="4" t="s">
        <v>310</v>
      </c>
      <c r="B49" s="4" t="s">
        <v>311</v>
      </c>
      <c r="C49" s="4" t="s">
        <v>87</v>
      </c>
      <c r="D49" s="4" t="s">
        <v>88</v>
      </c>
      <c r="E49" s="4">
        <v>0</v>
      </c>
      <c r="F49" s="4" t="s">
        <v>89</v>
      </c>
      <c r="G49" s="4"/>
      <c r="H49" s="4"/>
      <c r="I49" s="5">
        <v>2020</v>
      </c>
      <c r="J49" s="4"/>
      <c r="K49" s="4" t="s">
        <v>90</v>
      </c>
      <c r="L49" s="6">
        <v>46295</v>
      </c>
      <c r="M49" s="4">
        <f t="shared" si="6"/>
        <v>80</v>
      </c>
      <c r="N49" s="4">
        <f t="shared" si="7"/>
        <v>6.67</v>
      </c>
      <c r="O49" s="4" t="s">
        <v>263</v>
      </c>
      <c r="P49" s="4" t="s">
        <v>263</v>
      </c>
      <c r="Q49" s="4" t="s">
        <v>312</v>
      </c>
      <c r="R49" s="4">
        <v>0</v>
      </c>
      <c r="S49" s="4">
        <v>1</v>
      </c>
      <c r="T49" s="4">
        <v>0</v>
      </c>
      <c r="U49" s="4">
        <v>0</v>
      </c>
      <c r="V49" s="4">
        <v>0</v>
      </c>
      <c r="W49" s="4">
        <v>0</v>
      </c>
      <c r="X49" s="4" t="s">
        <v>283</v>
      </c>
      <c r="Y49" s="4">
        <v>3</v>
      </c>
      <c r="Z49" s="4">
        <v>1</v>
      </c>
      <c r="AA49" s="4">
        <v>1</v>
      </c>
      <c r="AB49" s="4" t="s">
        <v>313</v>
      </c>
      <c r="AC49" s="4"/>
      <c r="AD49" s="7"/>
      <c r="AE49" s="4"/>
      <c r="AF49" s="4">
        <f>IF(SUMIF(Founders_Clean!$A$2:$A$159,A49,Founders_Clean!$C$2:$C$159)=0,"",SUMIF(Founders_Clean!$A$2:$A$159,A49,Founders_Clean!$C$2:$C$159))</f>
        <v>3</v>
      </c>
      <c r="AG49" s="4">
        <f>IF(AF49="","",SUMIF(Founders_Clean!$A$2:$A$159,A49,Founders_Clean!$D$2:$D$159))</f>
        <v>3</v>
      </c>
      <c r="AH49" s="4">
        <f>IF(AF49="","",SUMIF(Founders_Clean!$A$2:$A$159,A49,Founders_Clean!$E$2:$E$159))</f>
        <v>0</v>
      </c>
      <c r="AI49" s="8">
        <f t="shared" si="8"/>
        <v>0</v>
      </c>
      <c r="AJ49" s="4">
        <f t="shared" si="9"/>
        <v>0</v>
      </c>
      <c r="AK49" s="8">
        <f t="shared" si="10"/>
        <v>0</v>
      </c>
      <c r="AL49" s="4">
        <v>17.5</v>
      </c>
      <c r="AM49" s="4">
        <v>1</v>
      </c>
      <c r="AN49" s="4" t="s">
        <v>143</v>
      </c>
      <c r="AO49" s="4">
        <v>1</v>
      </c>
      <c r="AP49" s="8">
        <v>1</v>
      </c>
      <c r="AQ49" s="4">
        <v>0</v>
      </c>
      <c r="AR49" s="4"/>
      <c r="AS49" s="4"/>
      <c r="AT49" s="7"/>
      <c r="AU49" s="4"/>
      <c r="AV49" s="4"/>
      <c r="AW49" s="4"/>
      <c r="AX49" s="4" t="s">
        <v>99</v>
      </c>
      <c r="AY49" s="4" t="s">
        <v>100</v>
      </c>
      <c r="AZ49" s="4"/>
      <c r="BA49" s="4">
        <v>0</v>
      </c>
      <c r="BB49" s="4">
        <v>0</v>
      </c>
      <c r="BC49" s="4">
        <v>0</v>
      </c>
      <c r="BD49" s="5"/>
      <c r="BE49" s="4"/>
      <c r="BF49" s="4">
        <f t="shared" si="11"/>
        <v>80</v>
      </c>
      <c r="BG49" s="4">
        <v>1</v>
      </c>
      <c r="BH49" s="7">
        <v>170000</v>
      </c>
      <c r="BI49" s="4" t="s">
        <v>101</v>
      </c>
      <c r="BJ49" s="5">
        <v>2022</v>
      </c>
      <c r="BK49" s="4">
        <v>1</v>
      </c>
      <c r="BL49" s="4">
        <f>COUNTIFS(Investments_Clean!$A$2:$A$150,A49,Investments_Clean!$F$2:$F$150,"Accepted")</f>
        <v>3</v>
      </c>
      <c r="BM49" s="4">
        <f>IF(BL49=0,"",IF((COUNTIFS(Investments_Clean!$A$2:$A$150,A49,Investments_Clean!$D$2:$D$150,"VC/PE",Investments_Clean!$F$2:$F$150,"Accepted"))&gt;0,1,0))</f>
        <v>1</v>
      </c>
      <c r="BN49" s="4">
        <f>IF(BL49=0,"",IF((COUNTIFS(Investments_Clean!$A$2:$A$150,A49,Investments_Clean!$D$2:$D$150,"Angel",Investments_Clean!$F$2:$F$150,"Accepted"))&gt;0,1,0))</f>
        <v>0</v>
      </c>
      <c r="BO49" s="4">
        <f>IF(BL49=0,"",IF((COUNTIFS(Investments_Clean!$A$2:$A$150,A49,Investments_Clean!$D$2:$D$150,"Accelerator",Investments_Clean!$F$2:$F$150,"Accepted"))&gt;0,1,0))</f>
        <v>1</v>
      </c>
      <c r="BP49" s="4">
        <f>IF(BL49=0,"",IF((COUNTIFS(Investments_Clean!$A$2:$A$150,A49,Investments_Clean!$D$2:$D$150,"Corporate",Investments_Clean!$F$2:$F$150,"Accepted"))&gt;0,1,0))</f>
        <v>0</v>
      </c>
      <c r="BQ49" s="4">
        <f>IF(BL49=0,"",IF((COUNTIFS(Investments_Clean!$A$2:$A$150,A49,Investments_Clean!$D$2:$D$150,"Government",Investments_Clean!$F$2:$F$150,"Accepted"))&gt;0,1,0))</f>
        <v>0</v>
      </c>
      <c r="BR49" s="4">
        <f>IF(BL49=0,"",IF((COUNTIFS(Investments_Clean!$A$2:$A$150,A49,Investments_Clean!$D$2:$D$150,"Grant/Philanthropic",Investments_Clean!$F$2:$F$150,"Accepted")+COUNTIFS(Investments_Clean!$A$2:$A$150,A49,Investments_Clean!$D$2:$D$150,"DFI/Impact",Investments_Clean!$F$2:$F$150,"Accepted"))&gt;0,1,0))</f>
        <v>0</v>
      </c>
      <c r="BS49" s="4"/>
      <c r="BT49" s="4"/>
      <c r="BU49" s="4"/>
      <c r="BV49" s="7"/>
      <c r="BW49" s="4"/>
      <c r="BX49" s="4"/>
      <c r="BY49" s="7"/>
      <c r="BZ49" s="4"/>
      <c r="CA49" s="4">
        <v>0</v>
      </c>
      <c r="CB49" s="4"/>
      <c r="CC49" s="4">
        <f>IF(I49="","",IFERROR(IF(INDEX(Macro_Lookup!$B$2:$B$31,MATCH(I49,Macro_Lookup!$A$2:$A$31,0))="","",INDEX(Macro_Lookup!$B$2:$B$31,MATCH(I49,Macro_Lookup!$A$2:$A$31,0))),""))</f>
        <v>3.45</v>
      </c>
      <c r="CD49" s="4">
        <f>IF(I49="","",IFERROR(IF(INDEX(Macro_Lookup!$C$2:$C$31,MATCH(I49,Macro_Lookup!$A$2:$A$31,0))="","",INDEX(Macro_Lookup!$C$2:$C$31,MATCH(I49,Macro_Lookup!$A$2:$A$31,0))),""))</f>
        <v>5.69</v>
      </c>
      <c r="CE49" s="4">
        <f>IF(BJ49="","",IFERROR(IF(INDEX(Macro_Lookup!$B$2:$B$31,MATCH(BJ49,Macro_Lookup!$A$2:$A$31,0))="","",INDEX(Macro_Lookup!$B$2:$B$31,MATCH(BJ49,Macro_Lookup!$A$2:$A$31,0))),""))</f>
        <v>7.1</v>
      </c>
      <c r="CF49" s="4">
        <f>IF(BJ49="","",IFERROR(IF(INDEX(Macro_Lookup!$C$2:$C$31,MATCH(BJ49,Macro_Lookup!$A$2:$A$31,0))="","",INDEX(Macro_Lookup!$C$2:$C$31,MATCH(BJ49,Macro_Lookup!$A$2:$A$31,0))),""))</f>
        <v>7.7</v>
      </c>
      <c r="CG49" s="4">
        <v>3</v>
      </c>
    </row>
    <row r="50" spans="1:85" x14ac:dyDescent="0.3">
      <c r="A50" s="4" t="s">
        <v>314</v>
      </c>
      <c r="B50" s="4" t="s">
        <v>315</v>
      </c>
      <c r="C50" s="4" t="s">
        <v>87</v>
      </c>
      <c r="D50" s="4" t="s">
        <v>88</v>
      </c>
      <c r="E50" s="4">
        <v>0</v>
      </c>
      <c r="F50" s="4" t="s">
        <v>89</v>
      </c>
      <c r="G50" s="4"/>
      <c r="H50" s="4"/>
      <c r="I50" s="5">
        <v>2012</v>
      </c>
      <c r="J50" s="4"/>
      <c r="K50" s="4" t="s">
        <v>90</v>
      </c>
      <c r="L50" s="6">
        <v>46295</v>
      </c>
      <c r="M50" s="4">
        <f t="shared" si="6"/>
        <v>176</v>
      </c>
      <c r="N50" s="4">
        <f t="shared" si="7"/>
        <v>14.67</v>
      </c>
      <c r="O50" s="4" t="s">
        <v>263</v>
      </c>
      <c r="P50" s="4" t="s">
        <v>263</v>
      </c>
      <c r="Q50" s="4" t="s">
        <v>316</v>
      </c>
      <c r="R50" s="4">
        <v>0</v>
      </c>
      <c r="S50" s="4">
        <v>1</v>
      </c>
      <c r="T50" s="4">
        <v>0</v>
      </c>
      <c r="U50" s="4">
        <v>0</v>
      </c>
      <c r="V50" s="4">
        <v>0</v>
      </c>
      <c r="W50" s="4">
        <v>0</v>
      </c>
      <c r="X50" s="4" t="s">
        <v>283</v>
      </c>
      <c r="Y50" s="4">
        <v>3</v>
      </c>
      <c r="Z50" s="4">
        <v>1</v>
      </c>
      <c r="AA50" s="4"/>
      <c r="AB50" s="4"/>
      <c r="AC50" s="4"/>
      <c r="AD50" s="7"/>
      <c r="AE50" s="4"/>
      <c r="AF50" s="4">
        <f>IF(SUMIF(Founders_Clean!$A$2:$A$159,A50,Founders_Clean!$C$2:$C$159)=0,"",SUMIF(Founders_Clean!$A$2:$A$159,A50,Founders_Clean!$C$2:$C$159))</f>
        <v>1</v>
      </c>
      <c r="AG50" s="4">
        <f>IF(AF50="","",SUMIF(Founders_Clean!$A$2:$A$159,A50,Founders_Clean!$D$2:$D$159))</f>
        <v>1</v>
      </c>
      <c r="AH50" s="4">
        <f>IF(AF50="","",SUMIF(Founders_Clean!$A$2:$A$159,A50,Founders_Clean!$E$2:$E$159))</f>
        <v>0</v>
      </c>
      <c r="AI50" s="8">
        <f t="shared" si="8"/>
        <v>0</v>
      </c>
      <c r="AJ50" s="4">
        <f t="shared" si="9"/>
        <v>0</v>
      </c>
      <c r="AK50" s="8">
        <f t="shared" si="10"/>
        <v>0</v>
      </c>
      <c r="AL50" s="4">
        <v>15</v>
      </c>
      <c r="AM50" s="4"/>
      <c r="AN50" s="4"/>
      <c r="AO50" s="4"/>
      <c r="AP50" s="8"/>
      <c r="AQ50" s="4">
        <v>1</v>
      </c>
      <c r="AR50" s="4"/>
      <c r="AS50" s="4"/>
      <c r="AT50" s="7"/>
      <c r="AU50" s="4"/>
      <c r="AV50" s="4"/>
      <c r="AW50" s="4"/>
      <c r="AX50" s="4" t="s">
        <v>99</v>
      </c>
      <c r="AY50" s="4" t="s">
        <v>100</v>
      </c>
      <c r="AZ50" s="4"/>
      <c r="BA50" s="4">
        <v>0</v>
      </c>
      <c r="BB50" s="4">
        <v>0</v>
      </c>
      <c r="BC50" s="4">
        <v>0</v>
      </c>
      <c r="BD50" s="5"/>
      <c r="BE50" s="4"/>
      <c r="BF50" s="4">
        <f t="shared" si="11"/>
        <v>176</v>
      </c>
      <c r="BG50" s="4"/>
      <c r="BH50" s="7"/>
      <c r="BI50" s="4"/>
      <c r="BJ50" s="5"/>
      <c r="BK50" s="4"/>
      <c r="BL50" s="4">
        <f>COUNTIFS(Investments_Clean!$A$2:$A$150,A50,Investments_Clean!$F$2:$F$150,"Accepted")</f>
        <v>0</v>
      </c>
      <c r="BM50" s="4" t="str">
        <f>IF(BL50=0,"",IF((COUNTIFS(Investments_Clean!$A$2:$A$150,A50,Investments_Clean!$D$2:$D$150,"VC/PE",Investments_Clean!$F$2:$F$150,"Accepted"))&gt;0,1,0))</f>
        <v/>
      </c>
      <c r="BN50" s="4" t="str">
        <f>IF(BL50=0,"",IF((COUNTIFS(Investments_Clean!$A$2:$A$150,A50,Investments_Clean!$D$2:$D$150,"Angel",Investments_Clean!$F$2:$F$150,"Accepted"))&gt;0,1,0))</f>
        <v/>
      </c>
      <c r="BO50" s="4" t="str">
        <f>IF(BL50=0,"",IF((COUNTIFS(Investments_Clean!$A$2:$A$150,A50,Investments_Clean!$D$2:$D$150,"Accelerator",Investments_Clean!$F$2:$F$150,"Accepted"))&gt;0,1,0))</f>
        <v/>
      </c>
      <c r="BP50" s="4" t="str">
        <f>IF(BL50=0,"",IF((COUNTIFS(Investments_Clean!$A$2:$A$150,A50,Investments_Clean!$D$2:$D$150,"Corporate",Investments_Clean!$F$2:$F$150,"Accepted"))&gt;0,1,0))</f>
        <v/>
      </c>
      <c r="BQ50" s="4" t="str">
        <f>IF(BL50=0,"",IF((COUNTIFS(Investments_Clean!$A$2:$A$150,A50,Investments_Clean!$D$2:$D$150,"Government",Investments_Clean!$F$2:$F$150,"Accepted"))&gt;0,1,0))</f>
        <v/>
      </c>
      <c r="BR50" s="4" t="str">
        <f>IF(BL50=0,"",IF((COUNTIFS(Investments_Clean!$A$2:$A$150,A50,Investments_Clean!$D$2:$D$150,"Grant/Philanthropic",Investments_Clean!$F$2:$F$150,"Accepted")+COUNTIFS(Investments_Clean!$A$2:$A$150,A50,Investments_Clean!$D$2:$D$150,"DFI/Impact",Investments_Clean!$F$2:$F$150,"Accepted"))&gt;0,1,0))</f>
        <v/>
      </c>
      <c r="BS50" s="4"/>
      <c r="BT50" s="4"/>
      <c r="BU50" s="4"/>
      <c r="BV50" s="7"/>
      <c r="BW50" s="4"/>
      <c r="BX50" s="4"/>
      <c r="BY50" s="7"/>
      <c r="BZ50" s="4"/>
      <c r="CA50" s="4">
        <v>0</v>
      </c>
      <c r="CB50" s="4"/>
      <c r="CC50" s="4">
        <f>IF(I50="","",IFERROR(IF(INDEX(Macro_Lookup!$B$2:$B$31,MATCH(I50,Macro_Lookup!$A$2:$A$31,0))="","",INDEX(Macro_Lookup!$B$2:$B$31,MATCH(I50,Macro_Lookup!$A$2:$A$31,0))),""))</f>
        <v>6.52</v>
      </c>
      <c r="CD50" s="4">
        <f>IF(I50="","",IFERROR(IF(INDEX(Macro_Lookup!$C$2:$C$31,MATCH(I50,Macro_Lookup!$A$2:$A$31,0))="","",INDEX(Macro_Lookup!$C$2:$C$31,MATCH(I50,Macro_Lookup!$A$2:$A$31,0))),""))</f>
        <v>6.22</v>
      </c>
      <c r="CE50" s="4" t="str">
        <f>IF(BJ50="","",IFERROR(IF(INDEX(Macro_Lookup!$B$2:$B$31,MATCH(BJ50,Macro_Lookup!$A$2:$A$31,0))="","",INDEX(Macro_Lookup!$B$2:$B$31,MATCH(BJ50,Macro_Lookup!$A$2:$A$31,0))),""))</f>
        <v/>
      </c>
      <c r="CF50" s="4" t="str">
        <f>IF(BJ50="","",IFERROR(IF(INDEX(Macro_Lookup!$C$2:$C$31,MATCH(BJ50,Macro_Lookup!$A$2:$A$31,0))="","",INDEX(Macro_Lookup!$C$2:$C$31,MATCH(BJ50,Macro_Lookup!$A$2:$A$31,0))),""))</f>
        <v/>
      </c>
      <c r="CG50" s="4">
        <v>7</v>
      </c>
    </row>
    <row r="51" spans="1:85" x14ac:dyDescent="0.3">
      <c r="A51" s="4" t="s">
        <v>317</v>
      </c>
      <c r="B51" s="4" t="s">
        <v>318</v>
      </c>
      <c r="C51" s="4" t="s">
        <v>87</v>
      </c>
      <c r="D51" s="4" t="s">
        <v>88</v>
      </c>
      <c r="E51" s="4">
        <v>0</v>
      </c>
      <c r="F51" s="4" t="s">
        <v>89</v>
      </c>
      <c r="G51" s="4"/>
      <c r="H51" s="4"/>
      <c r="I51" s="5">
        <v>2014</v>
      </c>
      <c r="J51" s="4"/>
      <c r="K51" s="4" t="s">
        <v>90</v>
      </c>
      <c r="L51" s="6">
        <v>46295</v>
      </c>
      <c r="M51" s="4">
        <f t="shared" si="6"/>
        <v>152</v>
      </c>
      <c r="N51" s="4">
        <f t="shared" si="7"/>
        <v>12.67</v>
      </c>
      <c r="O51" s="4" t="s">
        <v>319</v>
      </c>
      <c r="P51" s="4" t="s">
        <v>263</v>
      </c>
      <c r="Q51" s="4" t="s">
        <v>320</v>
      </c>
      <c r="R51" s="4">
        <v>0</v>
      </c>
      <c r="S51" s="4">
        <v>1</v>
      </c>
      <c r="T51" s="4">
        <v>0</v>
      </c>
      <c r="U51" s="4">
        <v>0</v>
      </c>
      <c r="V51" s="4">
        <v>0</v>
      </c>
      <c r="W51" s="4">
        <v>0</v>
      </c>
      <c r="X51" s="4" t="s">
        <v>283</v>
      </c>
      <c r="Y51" s="4">
        <v>3</v>
      </c>
      <c r="Z51" s="4">
        <v>1</v>
      </c>
      <c r="AA51" s="4"/>
      <c r="AB51" s="4"/>
      <c r="AC51" s="4"/>
      <c r="AD51" s="7"/>
      <c r="AE51" s="4"/>
      <c r="AF51" s="4" t="str">
        <f>IF(SUMIF(Founders_Clean!$A$2:$A$159,A51,Founders_Clean!$C$2:$C$159)=0,"",SUMIF(Founders_Clean!$A$2:$A$159,A51,Founders_Clean!$C$2:$C$159))</f>
        <v/>
      </c>
      <c r="AG51" s="4" t="str">
        <f>IF(AF51="","",SUMIF(Founders_Clean!$A$2:$A$159,A51,Founders_Clean!$D$2:$D$159))</f>
        <v/>
      </c>
      <c r="AH51" s="4" t="str">
        <f>IF(AF51="","",SUMIF(Founders_Clean!$A$2:$A$159,A51,Founders_Clean!$E$2:$E$159))</f>
        <v/>
      </c>
      <c r="AI51" s="8" t="str">
        <f t="shared" si="8"/>
        <v/>
      </c>
      <c r="AJ51" s="4" t="str">
        <f t="shared" si="9"/>
        <v/>
      </c>
      <c r="AK51" s="8" t="str">
        <f t="shared" si="10"/>
        <v/>
      </c>
      <c r="AL51" s="4">
        <v>10</v>
      </c>
      <c r="AM51" s="4"/>
      <c r="AN51" s="4"/>
      <c r="AO51" s="4"/>
      <c r="AP51" s="8"/>
      <c r="AQ51" s="4"/>
      <c r="AR51" s="4"/>
      <c r="AS51" s="4"/>
      <c r="AT51" s="7"/>
      <c r="AU51" s="4"/>
      <c r="AV51" s="4"/>
      <c r="AW51" s="4"/>
      <c r="AX51" s="4" t="s">
        <v>99</v>
      </c>
      <c r="AY51" s="4" t="s">
        <v>100</v>
      </c>
      <c r="AZ51" s="4"/>
      <c r="BA51" s="4">
        <v>0</v>
      </c>
      <c r="BB51" s="4">
        <v>0</v>
      </c>
      <c r="BC51" s="4">
        <v>0</v>
      </c>
      <c r="BD51" s="5"/>
      <c r="BE51" s="4"/>
      <c r="BF51" s="4">
        <f t="shared" si="11"/>
        <v>152</v>
      </c>
      <c r="BG51" s="4"/>
      <c r="BH51" s="7"/>
      <c r="BI51" s="4"/>
      <c r="BJ51" s="5"/>
      <c r="BK51" s="4"/>
      <c r="BL51" s="4">
        <f>COUNTIFS(Investments_Clean!$A$2:$A$150,A51,Investments_Clean!$F$2:$F$150,"Accepted")</f>
        <v>0</v>
      </c>
      <c r="BM51" s="4" t="str">
        <f>IF(BL51=0,"",IF((COUNTIFS(Investments_Clean!$A$2:$A$150,A51,Investments_Clean!$D$2:$D$150,"VC/PE",Investments_Clean!$F$2:$F$150,"Accepted"))&gt;0,1,0))</f>
        <v/>
      </c>
      <c r="BN51" s="4" t="str">
        <f>IF(BL51=0,"",IF((COUNTIFS(Investments_Clean!$A$2:$A$150,A51,Investments_Clean!$D$2:$D$150,"Angel",Investments_Clean!$F$2:$F$150,"Accepted"))&gt;0,1,0))</f>
        <v/>
      </c>
      <c r="BO51" s="4" t="str">
        <f>IF(BL51=0,"",IF((COUNTIFS(Investments_Clean!$A$2:$A$150,A51,Investments_Clean!$D$2:$D$150,"Accelerator",Investments_Clean!$F$2:$F$150,"Accepted"))&gt;0,1,0))</f>
        <v/>
      </c>
      <c r="BP51" s="4" t="str">
        <f>IF(BL51=0,"",IF((COUNTIFS(Investments_Clean!$A$2:$A$150,A51,Investments_Clean!$D$2:$D$150,"Corporate",Investments_Clean!$F$2:$F$150,"Accepted"))&gt;0,1,0))</f>
        <v/>
      </c>
      <c r="BQ51" s="4" t="str">
        <f>IF(BL51=0,"",IF((COUNTIFS(Investments_Clean!$A$2:$A$150,A51,Investments_Clean!$D$2:$D$150,"Government",Investments_Clean!$F$2:$F$150,"Accepted"))&gt;0,1,0))</f>
        <v/>
      </c>
      <c r="BR51" s="4" t="str">
        <f>IF(BL51=0,"",IF((COUNTIFS(Investments_Clean!$A$2:$A$150,A51,Investments_Clean!$D$2:$D$150,"Grant/Philanthropic",Investments_Clean!$F$2:$F$150,"Accepted")+COUNTIFS(Investments_Clean!$A$2:$A$150,A51,Investments_Clean!$D$2:$D$150,"DFI/Impact",Investments_Clean!$F$2:$F$150,"Accepted"))&gt;0,1,0))</f>
        <v/>
      </c>
      <c r="BS51" s="4"/>
      <c r="BT51" s="4"/>
      <c r="BU51" s="4"/>
      <c r="BV51" s="7"/>
      <c r="BW51" s="4"/>
      <c r="BX51" s="4"/>
      <c r="BY51" s="7"/>
      <c r="BZ51" s="4"/>
      <c r="CA51" s="4">
        <v>0</v>
      </c>
      <c r="CB51" s="4"/>
      <c r="CC51" s="4">
        <f>IF(I51="","",IFERROR(IF(INDEX(Macro_Lookup!$B$2:$B$31,MATCH(I51,Macro_Lookup!$A$2:$A$31,0))="","",INDEX(Macro_Lookup!$B$2:$B$31,MATCH(I51,Macro_Lookup!$A$2:$A$31,0))),""))</f>
        <v>6.06</v>
      </c>
      <c r="CD51" s="4">
        <f>IF(I51="","",IFERROR(IF(INDEX(Macro_Lookup!$C$2:$C$31,MATCH(I51,Macro_Lookup!$A$2:$A$31,0))="","",INDEX(Macro_Lookup!$C$2:$C$31,MATCH(I51,Macro_Lookup!$A$2:$A$31,0))),""))</f>
        <v>6.99</v>
      </c>
      <c r="CE51" s="4" t="str">
        <f>IF(BJ51="","",IFERROR(IF(INDEX(Macro_Lookup!$B$2:$B$31,MATCH(BJ51,Macro_Lookup!$A$2:$A$31,0))="","",INDEX(Macro_Lookup!$B$2:$B$31,MATCH(BJ51,Macro_Lookup!$A$2:$A$31,0))),""))</f>
        <v/>
      </c>
      <c r="CF51" s="4" t="str">
        <f>IF(BJ51="","",IFERROR(IF(INDEX(Macro_Lookup!$C$2:$C$31,MATCH(BJ51,Macro_Lookup!$A$2:$A$31,0))="","",INDEX(Macro_Lookup!$C$2:$C$31,MATCH(BJ51,Macro_Lookup!$A$2:$A$31,0))),""))</f>
        <v/>
      </c>
      <c r="CG51" s="4">
        <v>8</v>
      </c>
    </row>
    <row r="52" spans="1:85" x14ac:dyDescent="0.3">
      <c r="A52" s="4" t="s">
        <v>321</v>
      </c>
      <c r="B52" s="4" t="s">
        <v>322</v>
      </c>
      <c r="C52" s="4" t="s">
        <v>87</v>
      </c>
      <c r="D52" s="4" t="s">
        <v>88</v>
      </c>
      <c r="E52" s="4">
        <v>0</v>
      </c>
      <c r="F52" s="4" t="s">
        <v>89</v>
      </c>
      <c r="G52" s="4"/>
      <c r="H52" s="4"/>
      <c r="I52" s="5">
        <v>2018</v>
      </c>
      <c r="J52" s="4"/>
      <c r="K52" s="4" t="s">
        <v>90</v>
      </c>
      <c r="L52" s="6">
        <v>46295</v>
      </c>
      <c r="M52" s="4">
        <f t="shared" si="6"/>
        <v>104</v>
      </c>
      <c r="N52" s="4">
        <f t="shared" si="7"/>
        <v>8.67</v>
      </c>
      <c r="O52" s="4" t="s">
        <v>323</v>
      </c>
      <c r="P52" s="4" t="s">
        <v>323</v>
      </c>
      <c r="Q52" s="4" t="s">
        <v>324</v>
      </c>
      <c r="R52" s="4">
        <v>0</v>
      </c>
      <c r="S52" s="4">
        <v>1</v>
      </c>
      <c r="T52" s="4">
        <v>0</v>
      </c>
      <c r="U52" s="4">
        <v>0</v>
      </c>
      <c r="V52" s="4">
        <v>0</v>
      </c>
      <c r="W52" s="4">
        <v>0</v>
      </c>
      <c r="X52" s="4" t="s">
        <v>283</v>
      </c>
      <c r="Y52" s="4">
        <v>3</v>
      </c>
      <c r="Z52" s="4">
        <v>1</v>
      </c>
      <c r="AA52" s="4">
        <v>0</v>
      </c>
      <c r="AB52" s="4" t="s">
        <v>325</v>
      </c>
      <c r="AC52" s="4"/>
      <c r="AD52" s="7"/>
      <c r="AE52" s="4"/>
      <c r="AF52" s="4">
        <f>IF(SUMIF(Founders_Clean!$A$2:$A$159,A52,Founders_Clean!$C$2:$C$159)=0,"",SUMIF(Founders_Clean!$A$2:$A$159,A52,Founders_Clean!$C$2:$C$159))</f>
        <v>1</v>
      </c>
      <c r="AG52" s="4">
        <f>IF(AF52="","",SUMIF(Founders_Clean!$A$2:$A$159,A52,Founders_Clean!$D$2:$D$159))</f>
        <v>0</v>
      </c>
      <c r="AH52" s="4">
        <f>IF(AF52="","",SUMIF(Founders_Clean!$A$2:$A$159,A52,Founders_Clean!$E$2:$E$159))</f>
        <v>1</v>
      </c>
      <c r="AI52" s="8">
        <f t="shared" si="8"/>
        <v>1</v>
      </c>
      <c r="AJ52" s="4">
        <f t="shared" si="9"/>
        <v>1</v>
      </c>
      <c r="AK52" s="8">
        <f t="shared" si="10"/>
        <v>0</v>
      </c>
      <c r="AL52" s="4">
        <v>47.5</v>
      </c>
      <c r="AM52" s="4">
        <v>2</v>
      </c>
      <c r="AN52" s="4" t="s">
        <v>96</v>
      </c>
      <c r="AO52" s="4">
        <v>0</v>
      </c>
      <c r="AP52" s="8">
        <v>0</v>
      </c>
      <c r="AQ52" s="4">
        <v>0</v>
      </c>
      <c r="AR52" s="4">
        <v>20</v>
      </c>
      <c r="AS52" s="4">
        <v>20</v>
      </c>
      <c r="AT52" s="7"/>
      <c r="AU52" s="4"/>
      <c r="AV52" s="4"/>
      <c r="AW52" s="4"/>
      <c r="AX52" s="4" t="s">
        <v>99</v>
      </c>
      <c r="AY52" s="4" t="s">
        <v>100</v>
      </c>
      <c r="AZ52" s="4"/>
      <c r="BA52" s="4">
        <v>0</v>
      </c>
      <c r="BB52" s="4">
        <v>0</v>
      </c>
      <c r="BC52" s="4">
        <v>0</v>
      </c>
      <c r="BD52" s="5"/>
      <c r="BE52" s="4"/>
      <c r="BF52" s="4">
        <f t="shared" si="11"/>
        <v>104</v>
      </c>
      <c r="BG52" s="4">
        <v>1</v>
      </c>
      <c r="BH52" s="7">
        <v>10600000</v>
      </c>
      <c r="BI52" s="4" t="s">
        <v>145</v>
      </c>
      <c r="BJ52" s="5">
        <v>2021</v>
      </c>
      <c r="BK52" s="4">
        <v>1</v>
      </c>
      <c r="BL52" s="4">
        <f>COUNTIFS(Investments_Clean!$A$2:$A$150,A52,Investments_Clean!$F$2:$F$150,"Accepted")</f>
        <v>1</v>
      </c>
      <c r="BM52" s="4">
        <f>IF(BL52=0,"",IF((COUNTIFS(Investments_Clean!$A$2:$A$150,A52,Investments_Clean!$D$2:$D$150,"VC/PE",Investments_Clean!$F$2:$F$150,"Accepted"))&gt;0,1,0))</f>
        <v>1</v>
      </c>
      <c r="BN52" s="4">
        <f>IF(BL52=0,"",IF((COUNTIFS(Investments_Clean!$A$2:$A$150,A52,Investments_Clean!$D$2:$D$150,"Angel",Investments_Clean!$F$2:$F$150,"Accepted"))&gt;0,1,0))</f>
        <v>0</v>
      </c>
      <c r="BO52" s="4">
        <f>IF(BL52=0,"",IF((COUNTIFS(Investments_Clean!$A$2:$A$150,A52,Investments_Clean!$D$2:$D$150,"Accelerator",Investments_Clean!$F$2:$F$150,"Accepted"))&gt;0,1,0))</f>
        <v>0</v>
      </c>
      <c r="BP52" s="4">
        <f>IF(BL52=0,"",IF((COUNTIFS(Investments_Clean!$A$2:$A$150,A52,Investments_Clean!$D$2:$D$150,"Corporate",Investments_Clean!$F$2:$F$150,"Accepted"))&gt;0,1,0))</f>
        <v>0</v>
      </c>
      <c r="BQ52" s="4">
        <f>IF(BL52=0,"",IF((COUNTIFS(Investments_Clean!$A$2:$A$150,A52,Investments_Clean!$D$2:$D$150,"Government",Investments_Clean!$F$2:$F$150,"Accepted"))&gt;0,1,0))</f>
        <v>0</v>
      </c>
      <c r="BR52" s="4">
        <f>IF(BL52=0,"",IF((COUNTIFS(Investments_Clean!$A$2:$A$150,A52,Investments_Clean!$D$2:$D$150,"Grant/Philanthropic",Investments_Clean!$F$2:$F$150,"Accepted")+COUNTIFS(Investments_Clean!$A$2:$A$150,A52,Investments_Clean!$D$2:$D$150,"DFI/Impact",Investments_Clean!$F$2:$F$150,"Accepted"))&gt;0,1,0))</f>
        <v>0</v>
      </c>
      <c r="BS52" s="4"/>
      <c r="BT52" s="4"/>
      <c r="BU52" s="4"/>
      <c r="BV52" s="7"/>
      <c r="BW52" s="4"/>
      <c r="BX52" s="4"/>
      <c r="BY52" s="7"/>
      <c r="BZ52" s="4"/>
      <c r="CA52" s="4">
        <v>0</v>
      </c>
      <c r="CB52" s="4"/>
      <c r="CC52" s="4">
        <f>IF(I52="","",IFERROR(IF(INDEX(Macro_Lookup!$B$2:$B$31,MATCH(I52,Macro_Lookup!$A$2:$A$31,0))="","",INDEX(Macro_Lookup!$B$2:$B$31,MATCH(I52,Macro_Lookup!$A$2:$A$31,0))),""))</f>
        <v>7.32</v>
      </c>
      <c r="CD52" s="4">
        <f>IF(I52="","",IFERROR(IF(INDEX(Macro_Lookup!$C$2:$C$31,MATCH(I52,Macro_Lookup!$A$2:$A$31,0))="","",INDEX(Macro_Lookup!$C$2:$C$31,MATCH(I52,Macro_Lookup!$A$2:$A$31,0))),""))</f>
        <v>5.54</v>
      </c>
      <c r="CE52" s="4">
        <f>IF(BJ52="","",IFERROR(IF(INDEX(Macro_Lookup!$B$2:$B$31,MATCH(BJ52,Macro_Lookup!$A$2:$A$31,0))="","",INDEX(Macro_Lookup!$B$2:$B$31,MATCH(BJ52,Macro_Lookup!$A$2:$A$31,0))),""))</f>
        <v>6.94</v>
      </c>
      <c r="CF52" s="4">
        <f>IF(BJ52="","",IFERROR(IF(INDEX(Macro_Lookup!$C$2:$C$31,MATCH(BJ52,Macro_Lookup!$A$2:$A$31,0))="","",INDEX(Macro_Lookup!$C$2:$C$31,MATCH(BJ52,Macro_Lookup!$A$2:$A$31,0))),""))</f>
        <v>5.55</v>
      </c>
      <c r="CG52" s="4">
        <v>3</v>
      </c>
    </row>
    <row r="53" spans="1:85" x14ac:dyDescent="0.3">
      <c r="A53" s="4" t="s">
        <v>326</v>
      </c>
      <c r="B53" s="4" t="s">
        <v>327</v>
      </c>
      <c r="C53" s="4" t="s">
        <v>87</v>
      </c>
      <c r="D53" s="4" t="s">
        <v>88</v>
      </c>
      <c r="E53" s="4">
        <v>0</v>
      </c>
      <c r="F53" s="4" t="s">
        <v>89</v>
      </c>
      <c r="G53" s="4"/>
      <c r="H53" s="4"/>
      <c r="I53" s="5">
        <v>2020</v>
      </c>
      <c r="J53" s="4"/>
      <c r="K53" s="4" t="s">
        <v>90</v>
      </c>
      <c r="L53" s="6">
        <v>46295</v>
      </c>
      <c r="M53" s="4">
        <f t="shared" si="6"/>
        <v>80</v>
      </c>
      <c r="N53" s="4">
        <f t="shared" si="7"/>
        <v>6.67</v>
      </c>
      <c r="O53" s="4" t="s">
        <v>328</v>
      </c>
      <c r="P53" s="4" t="s">
        <v>323</v>
      </c>
      <c r="Q53" s="4" t="s">
        <v>329</v>
      </c>
      <c r="R53" s="4">
        <v>1</v>
      </c>
      <c r="S53" s="4">
        <v>1</v>
      </c>
      <c r="T53" s="4">
        <v>0</v>
      </c>
      <c r="U53" s="4">
        <v>0</v>
      </c>
      <c r="V53" s="4">
        <v>0</v>
      </c>
      <c r="W53" s="4">
        <v>0</v>
      </c>
      <c r="X53" s="4" t="s">
        <v>283</v>
      </c>
      <c r="Y53" s="4">
        <v>3</v>
      </c>
      <c r="Z53" s="4">
        <v>1</v>
      </c>
      <c r="AA53" s="4">
        <v>1</v>
      </c>
      <c r="AB53" s="4" t="s">
        <v>284</v>
      </c>
      <c r="AC53" s="4"/>
      <c r="AD53" s="7"/>
      <c r="AE53" s="4"/>
      <c r="AF53" s="4">
        <f>IF(SUMIF(Founders_Clean!$A$2:$A$159,A53,Founders_Clean!$C$2:$C$159)=0,"",SUMIF(Founders_Clean!$A$2:$A$159,A53,Founders_Clean!$C$2:$C$159))</f>
        <v>2</v>
      </c>
      <c r="AG53" s="4">
        <f>IF(AF53="","",SUMIF(Founders_Clean!$A$2:$A$159,A53,Founders_Clean!$D$2:$D$159))</f>
        <v>2</v>
      </c>
      <c r="AH53" s="4">
        <f>IF(AF53="","",SUMIF(Founders_Clean!$A$2:$A$159,A53,Founders_Clean!$E$2:$E$159))</f>
        <v>0</v>
      </c>
      <c r="AI53" s="8">
        <f t="shared" si="8"/>
        <v>0</v>
      </c>
      <c r="AJ53" s="4">
        <f t="shared" si="9"/>
        <v>0</v>
      </c>
      <c r="AK53" s="8">
        <f t="shared" si="10"/>
        <v>0</v>
      </c>
      <c r="AL53" s="4">
        <v>27.5</v>
      </c>
      <c r="AM53" s="4"/>
      <c r="AN53" s="4"/>
      <c r="AO53" s="4"/>
      <c r="AP53" s="8"/>
      <c r="AQ53" s="4">
        <v>1</v>
      </c>
      <c r="AR53" s="4"/>
      <c r="AS53" s="4"/>
      <c r="AT53" s="7">
        <v>6</v>
      </c>
      <c r="AU53" s="4" t="s">
        <v>151</v>
      </c>
      <c r="AV53" s="4" t="s">
        <v>98</v>
      </c>
      <c r="AW53" s="4"/>
      <c r="AX53" s="4" t="s">
        <v>99</v>
      </c>
      <c r="AY53" s="4" t="s">
        <v>100</v>
      </c>
      <c r="AZ53" s="4"/>
      <c r="BA53" s="4">
        <v>0</v>
      </c>
      <c r="BB53" s="4">
        <v>0</v>
      </c>
      <c r="BC53" s="4">
        <v>0</v>
      </c>
      <c r="BD53" s="5"/>
      <c r="BE53" s="4"/>
      <c r="BF53" s="4">
        <f t="shared" si="11"/>
        <v>80</v>
      </c>
      <c r="BG53" s="4"/>
      <c r="BH53" s="7"/>
      <c r="BI53" s="4"/>
      <c r="BJ53" s="5"/>
      <c r="BK53" s="4">
        <v>1</v>
      </c>
      <c r="BL53" s="4">
        <f>COUNTIFS(Investments_Clean!$A$2:$A$150,A53,Investments_Clean!$F$2:$F$150,"Accepted")</f>
        <v>1</v>
      </c>
      <c r="BM53" s="4">
        <f>IF(BL53=0,"",IF((COUNTIFS(Investments_Clean!$A$2:$A$150,A53,Investments_Clean!$D$2:$D$150,"VC/PE",Investments_Clean!$F$2:$F$150,"Accepted"))&gt;0,1,0))</f>
        <v>0</v>
      </c>
      <c r="BN53" s="4">
        <f>IF(BL53=0,"",IF((COUNTIFS(Investments_Clean!$A$2:$A$150,A53,Investments_Clean!$D$2:$D$150,"Angel",Investments_Clean!$F$2:$F$150,"Accepted"))&gt;0,1,0))</f>
        <v>0</v>
      </c>
      <c r="BO53" s="4">
        <f>IF(BL53=0,"",IF((COUNTIFS(Investments_Clean!$A$2:$A$150,A53,Investments_Clean!$D$2:$D$150,"Accelerator",Investments_Clean!$F$2:$F$150,"Accepted"))&gt;0,1,0))</f>
        <v>1</v>
      </c>
      <c r="BP53" s="4">
        <f>IF(BL53=0,"",IF((COUNTIFS(Investments_Clean!$A$2:$A$150,A53,Investments_Clean!$D$2:$D$150,"Corporate",Investments_Clean!$F$2:$F$150,"Accepted"))&gt;0,1,0))</f>
        <v>0</v>
      </c>
      <c r="BQ53" s="4">
        <f>IF(BL53=0,"",IF((COUNTIFS(Investments_Clean!$A$2:$A$150,A53,Investments_Clean!$D$2:$D$150,"Government",Investments_Clean!$F$2:$F$150,"Accepted"))&gt;0,1,0))</f>
        <v>0</v>
      </c>
      <c r="BR53" s="4">
        <f>IF(BL53=0,"",IF((COUNTIFS(Investments_Clean!$A$2:$A$150,A53,Investments_Clean!$D$2:$D$150,"Grant/Philanthropic",Investments_Clean!$F$2:$F$150,"Accepted")+COUNTIFS(Investments_Clean!$A$2:$A$150,A53,Investments_Clean!$D$2:$D$150,"DFI/Impact",Investments_Clean!$F$2:$F$150,"Accepted"))&gt;0,1,0))</f>
        <v>0</v>
      </c>
      <c r="BS53" s="4"/>
      <c r="BT53" s="4"/>
      <c r="BU53" s="4"/>
      <c r="BV53" s="7"/>
      <c r="BW53" s="4"/>
      <c r="BX53" s="4"/>
      <c r="BY53" s="7">
        <v>1000000</v>
      </c>
      <c r="BZ53" s="4">
        <v>4.7</v>
      </c>
      <c r="CA53" s="4">
        <v>1</v>
      </c>
      <c r="CB53" s="4"/>
      <c r="CC53" s="4">
        <f>IF(I53="","",IFERROR(IF(INDEX(Macro_Lookup!$B$2:$B$31,MATCH(I53,Macro_Lookup!$A$2:$A$31,0))="","",INDEX(Macro_Lookup!$B$2:$B$31,MATCH(I53,Macro_Lookup!$A$2:$A$31,0))),""))</f>
        <v>3.45</v>
      </c>
      <c r="CD53" s="4">
        <f>IF(I53="","",IFERROR(IF(INDEX(Macro_Lookup!$C$2:$C$31,MATCH(I53,Macro_Lookup!$A$2:$A$31,0))="","",INDEX(Macro_Lookup!$C$2:$C$31,MATCH(I53,Macro_Lookup!$A$2:$A$31,0))),""))</f>
        <v>5.69</v>
      </c>
      <c r="CE53" s="4" t="str">
        <f>IF(BJ53="","",IFERROR(IF(INDEX(Macro_Lookup!$B$2:$B$31,MATCH(BJ53,Macro_Lookup!$A$2:$A$31,0))="","",INDEX(Macro_Lookup!$B$2:$B$31,MATCH(BJ53,Macro_Lookup!$A$2:$A$31,0))),""))</f>
        <v/>
      </c>
      <c r="CF53" s="4" t="str">
        <f>IF(BJ53="","",IFERROR(IF(INDEX(Macro_Lookup!$C$2:$C$31,MATCH(BJ53,Macro_Lookup!$A$2:$A$31,0))="","",INDEX(Macro_Lookup!$C$2:$C$31,MATCH(BJ53,Macro_Lookup!$A$2:$A$31,0))),""))</f>
        <v/>
      </c>
      <c r="CG53" s="4">
        <v>4</v>
      </c>
    </row>
    <row r="54" spans="1:85" x14ac:dyDescent="0.3">
      <c r="A54" s="4" t="s">
        <v>330</v>
      </c>
      <c r="B54" s="4" t="s">
        <v>331</v>
      </c>
      <c r="C54" s="4" t="s">
        <v>87</v>
      </c>
      <c r="D54" s="4" t="s">
        <v>88</v>
      </c>
      <c r="E54" s="4">
        <v>0</v>
      </c>
      <c r="F54" s="4" t="s">
        <v>89</v>
      </c>
      <c r="G54" s="4"/>
      <c r="H54" s="4"/>
      <c r="I54" s="5">
        <v>2020</v>
      </c>
      <c r="J54" s="4"/>
      <c r="K54" s="4" t="s">
        <v>90</v>
      </c>
      <c r="L54" s="6">
        <v>46295</v>
      </c>
      <c r="M54" s="4">
        <f t="shared" si="6"/>
        <v>80</v>
      </c>
      <c r="N54" s="4">
        <f t="shared" si="7"/>
        <v>6.67</v>
      </c>
      <c r="O54" s="4" t="s">
        <v>332</v>
      </c>
      <c r="P54" s="4" t="s">
        <v>323</v>
      </c>
      <c r="Q54" s="4" t="s">
        <v>333</v>
      </c>
      <c r="R54" s="4">
        <v>0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  <c r="X54" s="4" t="s">
        <v>283</v>
      </c>
      <c r="Y54" s="4">
        <v>3</v>
      </c>
      <c r="Z54" s="4">
        <v>1</v>
      </c>
      <c r="AA54" s="4">
        <v>1</v>
      </c>
      <c r="AB54" s="4" t="s">
        <v>334</v>
      </c>
      <c r="AC54" s="4"/>
      <c r="AD54" s="7"/>
      <c r="AE54" s="4"/>
      <c r="AF54" s="4">
        <f>IF(SUMIF(Founders_Clean!$A$2:$A$159,A54,Founders_Clean!$C$2:$C$159)=0,"",SUMIF(Founders_Clean!$A$2:$A$159,A54,Founders_Clean!$C$2:$C$159))</f>
        <v>4</v>
      </c>
      <c r="AG54" s="4">
        <f>IF(AF54="","",SUMIF(Founders_Clean!$A$2:$A$159,A54,Founders_Clean!$D$2:$D$159))</f>
        <v>3</v>
      </c>
      <c r="AH54" s="4">
        <f>IF(AF54="","",SUMIF(Founders_Clean!$A$2:$A$159,A54,Founders_Clean!$E$2:$E$159))</f>
        <v>1</v>
      </c>
      <c r="AI54" s="8">
        <f t="shared" si="8"/>
        <v>0.25</v>
      </c>
      <c r="AJ54" s="4">
        <f t="shared" si="9"/>
        <v>1</v>
      </c>
      <c r="AK54" s="8">
        <f t="shared" si="10"/>
        <v>0.375</v>
      </c>
      <c r="AL54" s="4">
        <v>27.5</v>
      </c>
      <c r="AM54" s="4"/>
      <c r="AN54" s="4"/>
      <c r="AO54" s="4">
        <v>0</v>
      </c>
      <c r="AP54" s="8">
        <v>0</v>
      </c>
      <c r="AQ54" s="4">
        <v>1</v>
      </c>
      <c r="AR54" s="4">
        <v>10</v>
      </c>
      <c r="AS54" s="4">
        <v>10</v>
      </c>
      <c r="AT54" s="7"/>
      <c r="AU54" s="4"/>
      <c r="AV54" s="4"/>
      <c r="AW54" s="4"/>
      <c r="AX54" s="4" t="s">
        <v>99</v>
      </c>
      <c r="AY54" s="4" t="s">
        <v>100</v>
      </c>
      <c r="AZ54" s="4"/>
      <c r="BA54" s="4">
        <v>0</v>
      </c>
      <c r="BB54" s="4">
        <v>0</v>
      </c>
      <c r="BC54" s="4">
        <v>0</v>
      </c>
      <c r="BD54" s="5"/>
      <c r="BE54" s="4"/>
      <c r="BF54" s="4">
        <f t="shared" si="11"/>
        <v>80</v>
      </c>
      <c r="BG54" s="4">
        <v>1</v>
      </c>
      <c r="BH54" s="7">
        <v>5500000</v>
      </c>
      <c r="BI54" s="4" t="s">
        <v>145</v>
      </c>
      <c r="BJ54" s="5">
        <v>2023</v>
      </c>
      <c r="BK54" s="4">
        <v>1</v>
      </c>
      <c r="BL54" s="4">
        <f>COUNTIFS(Investments_Clean!$A$2:$A$150,A54,Investments_Clean!$F$2:$F$150,"Accepted")</f>
        <v>5</v>
      </c>
      <c r="BM54" s="4">
        <f>IF(BL54=0,"",IF((COUNTIFS(Investments_Clean!$A$2:$A$150,A54,Investments_Clean!$D$2:$D$150,"VC/PE",Investments_Clean!$F$2:$F$150,"Accepted"))&gt;0,1,0))</f>
        <v>1</v>
      </c>
      <c r="BN54" s="4">
        <f>IF(BL54=0,"",IF((COUNTIFS(Investments_Clean!$A$2:$A$150,A54,Investments_Clean!$D$2:$D$150,"Angel",Investments_Clean!$F$2:$F$150,"Accepted"))&gt;0,1,0))</f>
        <v>1</v>
      </c>
      <c r="BO54" s="4">
        <f>IF(BL54=0,"",IF((COUNTIFS(Investments_Clean!$A$2:$A$150,A54,Investments_Clean!$D$2:$D$150,"Accelerator",Investments_Clean!$F$2:$F$150,"Accepted"))&gt;0,1,0))</f>
        <v>1</v>
      </c>
      <c r="BP54" s="4">
        <f>IF(BL54=0,"",IF((COUNTIFS(Investments_Clean!$A$2:$A$150,A54,Investments_Clean!$D$2:$D$150,"Corporate",Investments_Clean!$F$2:$F$150,"Accepted"))&gt;0,1,0))</f>
        <v>0</v>
      </c>
      <c r="BQ54" s="4">
        <f>IF(BL54=0,"",IF((COUNTIFS(Investments_Clean!$A$2:$A$150,A54,Investments_Clean!$D$2:$D$150,"Government",Investments_Clean!$F$2:$F$150,"Accepted"))&gt;0,1,0))</f>
        <v>0</v>
      </c>
      <c r="BR54" s="4">
        <f>IF(BL54=0,"",IF((COUNTIFS(Investments_Clean!$A$2:$A$150,A54,Investments_Clean!$D$2:$D$150,"Grant/Philanthropic",Investments_Clean!$F$2:$F$150,"Accepted")+COUNTIFS(Investments_Clean!$A$2:$A$150,A54,Investments_Clean!$D$2:$D$150,"DFI/Impact",Investments_Clean!$F$2:$F$150,"Accepted"))&gt;0,1,0))</f>
        <v>0</v>
      </c>
      <c r="BS54" s="4"/>
      <c r="BT54" s="4"/>
      <c r="BU54" s="4"/>
      <c r="BV54" s="7"/>
      <c r="BW54" s="4"/>
      <c r="BX54" s="4"/>
      <c r="BY54" s="7"/>
      <c r="BZ54" s="4"/>
      <c r="CA54" s="4">
        <v>0</v>
      </c>
      <c r="CB54" s="4"/>
      <c r="CC54" s="4">
        <f>IF(I54="","",IFERROR(IF(INDEX(Macro_Lookup!$B$2:$B$31,MATCH(I54,Macro_Lookup!$A$2:$A$31,0))="","",INDEX(Macro_Lookup!$B$2:$B$31,MATCH(I54,Macro_Lookup!$A$2:$A$31,0))),""))</f>
        <v>3.45</v>
      </c>
      <c r="CD54" s="4">
        <f>IF(I54="","",IFERROR(IF(INDEX(Macro_Lookup!$C$2:$C$31,MATCH(I54,Macro_Lookup!$A$2:$A$31,0))="","",INDEX(Macro_Lookup!$C$2:$C$31,MATCH(I54,Macro_Lookup!$A$2:$A$31,0))),""))</f>
        <v>5.69</v>
      </c>
      <c r="CE54" s="4">
        <f>IF(BJ54="","",IFERROR(IF(INDEX(Macro_Lookup!$B$2:$B$31,MATCH(BJ54,Macro_Lookup!$A$2:$A$31,0))="","",INDEX(Macro_Lookup!$B$2:$B$31,MATCH(BJ54,Macro_Lookup!$A$2:$A$31,0))),""))</f>
        <v>5.78</v>
      </c>
      <c r="CF54" s="4">
        <f>IF(BJ54="","",IFERROR(IF(INDEX(Macro_Lookup!$C$2:$C$31,MATCH(BJ54,Macro_Lookup!$A$2:$A$31,0))="","",INDEX(Macro_Lookup!$C$2:$C$31,MATCH(BJ54,Macro_Lookup!$A$2:$A$31,0))),""))</f>
        <v>9.02</v>
      </c>
      <c r="CG54" s="4">
        <v>4</v>
      </c>
    </row>
    <row r="55" spans="1:85" x14ac:dyDescent="0.3">
      <c r="A55" s="4" t="s">
        <v>335</v>
      </c>
      <c r="B55" s="4" t="s">
        <v>336</v>
      </c>
      <c r="C55" s="4" t="s">
        <v>87</v>
      </c>
      <c r="D55" s="4" t="s">
        <v>88</v>
      </c>
      <c r="E55" s="4">
        <v>0</v>
      </c>
      <c r="F55" s="4" t="s">
        <v>89</v>
      </c>
      <c r="G55" s="4"/>
      <c r="H55" s="4"/>
      <c r="I55" s="5">
        <v>2016</v>
      </c>
      <c r="J55" s="4"/>
      <c r="K55" s="4" t="s">
        <v>90</v>
      </c>
      <c r="L55" s="6">
        <v>46295</v>
      </c>
      <c r="M55" s="4">
        <f t="shared" si="6"/>
        <v>128</v>
      </c>
      <c r="N55" s="4">
        <f t="shared" si="7"/>
        <v>10.67</v>
      </c>
      <c r="O55" s="4" t="s">
        <v>337</v>
      </c>
      <c r="P55" s="4" t="s">
        <v>323</v>
      </c>
      <c r="Q55" s="4" t="s">
        <v>338</v>
      </c>
      <c r="R55" s="4">
        <v>1</v>
      </c>
      <c r="S55" s="4">
        <v>1</v>
      </c>
      <c r="T55" s="4">
        <v>0</v>
      </c>
      <c r="U55" s="4">
        <v>0</v>
      </c>
      <c r="V55" s="4">
        <v>0</v>
      </c>
      <c r="W55" s="4">
        <v>0</v>
      </c>
      <c r="X55" s="4" t="s">
        <v>283</v>
      </c>
      <c r="Y55" s="4">
        <v>3</v>
      </c>
      <c r="Z55" s="4">
        <v>1</v>
      </c>
      <c r="AA55" s="4">
        <v>1</v>
      </c>
      <c r="AB55" s="4" t="s">
        <v>339</v>
      </c>
      <c r="AC55" s="4">
        <v>1</v>
      </c>
      <c r="AD55" s="7">
        <v>108000</v>
      </c>
      <c r="AE55" s="4" t="s">
        <v>289</v>
      </c>
      <c r="AF55" s="4">
        <f>IF(SUMIF(Founders_Clean!$A$2:$A$159,A55,Founders_Clean!$C$2:$C$159)=0,"",SUMIF(Founders_Clean!$A$2:$A$159,A55,Founders_Clean!$C$2:$C$159))</f>
        <v>1</v>
      </c>
      <c r="AG55" s="4">
        <f>IF(AF55="","",SUMIF(Founders_Clean!$A$2:$A$159,A55,Founders_Clean!$D$2:$D$159))</f>
        <v>0</v>
      </c>
      <c r="AH55" s="4">
        <f>IF(AF55="","",SUMIF(Founders_Clean!$A$2:$A$159,A55,Founders_Clean!$E$2:$E$159))</f>
        <v>1</v>
      </c>
      <c r="AI55" s="8">
        <f t="shared" si="8"/>
        <v>1</v>
      </c>
      <c r="AJ55" s="4">
        <f t="shared" si="9"/>
        <v>1</v>
      </c>
      <c r="AK55" s="8">
        <f t="shared" si="10"/>
        <v>0</v>
      </c>
      <c r="AL55" s="4">
        <v>50</v>
      </c>
      <c r="AM55" s="4">
        <v>2</v>
      </c>
      <c r="AN55" s="4" t="s">
        <v>96</v>
      </c>
      <c r="AO55" s="4">
        <v>0</v>
      </c>
      <c r="AP55" s="8">
        <v>0</v>
      </c>
      <c r="AQ55" s="4">
        <v>0</v>
      </c>
      <c r="AR55" s="4">
        <v>13</v>
      </c>
      <c r="AS55" s="4">
        <v>13</v>
      </c>
      <c r="AT55" s="7">
        <v>30.5</v>
      </c>
      <c r="AU55" s="4" t="s">
        <v>157</v>
      </c>
      <c r="AV55" s="4" t="s">
        <v>118</v>
      </c>
      <c r="AW55" s="4"/>
      <c r="AX55" s="4" t="s">
        <v>99</v>
      </c>
      <c r="AY55" s="4" t="s">
        <v>100</v>
      </c>
      <c r="AZ55" s="4"/>
      <c r="BA55" s="4">
        <v>0</v>
      </c>
      <c r="BB55" s="4">
        <v>0</v>
      </c>
      <c r="BC55" s="4">
        <v>0</v>
      </c>
      <c r="BD55" s="5"/>
      <c r="BE55" s="4"/>
      <c r="BF55" s="4">
        <f t="shared" si="11"/>
        <v>128</v>
      </c>
      <c r="BG55" s="4">
        <v>1</v>
      </c>
      <c r="BH55" s="7">
        <v>108000</v>
      </c>
      <c r="BI55" s="4" t="s">
        <v>101</v>
      </c>
      <c r="BJ55" s="5">
        <v>2023</v>
      </c>
      <c r="BK55" s="4">
        <v>1</v>
      </c>
      <c r="BL55" s="4">
        <f>COUNTIFS(Investments_Clean!$A$2:$A$150,A55,Investments_Clean!$F$2:$F$150,"Accepted")</f>
        <v>3</v>
      </c>
      <c r="BM55" s="4">
        <f>IF(BL55=0,"",IF((COUNTIFS(Investments_Clean!$A$2:$A$150,A55,Investments_Clean!$D$2:$D$150,"VC/PE",Investments_Clean!$F$2:$F$150,"Accepted"))&gt;0,1,0))</f>
        <v>0</v>
      </c>
      <c r="BN55" s="4">
        <f>IF(BL55=0,"",IF((COUNTIFS(Investments_Clean!$A$2:$A$150,A55,Investments_Clean!$D$2:$D$150,"Angel",Investments_Clean!$F$2:$F$150,"Accepted"))&gt;0,1,0))</f>
        <v>0</v>
      </c>
      <c r="BO55" s="4">
        <f>IF(BL55=0,"",IF((COUNTIFS(Investments_Clean!$A$2:$A$150,A55,Investments_Clean!$D$2:$D$150,"Accelerator",Investments_Clean!$F$2:$F$150,"Accepted"))&gt;0,1,0))</f>
        <v>1</v>
      </c>
      <c r="BP55" s="4">
        <f>IF(BL55=0,"",IF((COUNTIFS(Investments_Clean!$A$2:$A$150,A55,Investments_Clean!$D$2:$D$150,"Corporate",Investments_Clean!$F$2:$F$150,"Accepted"))&gt;0,1,0))</f>
        <v>0</v>
      </c>
      <c r="BQ55" s="4">
        <f>IF(BL55=0,"",IF((COUNTIFS(Investments_Clean!$A$2:$A$150,A55,Investments_Clean!$D$2:$D$150,"Government",Investments_Clean!$F$2:$F$150,"Accepted"))&gt;0,1,0))</f>
        <v>0</v>
      </c>
      <c r="BR55" s="4">
        <f>IF(BL55=0,"",IF((COUNTIFS(Investments_Clean!$A$2:$A$150,A55,Investments_Clean!$D$2:$D$150,"Grant/Philanthropic",Investments_Clean!$F$2:$F$150,"Accepted")+COUNTIFS(Investments_Clean!$A$2:$A$150,A55,Investments_Clean!$D$2:$D$150,"DFI/Impact",Investments_Clean!$F$2:$F$150,"Accepted"))&gt;0,1,0))</f>
        <v>1</v>
      </c>
      <c r="BS55" s="4"/>
      <c r="BT55" s="4"/>
      <c r="BU55" s="4"/>
      <c r="BV55" s="7"/>
      <c r="BW55" s="4"/>
      <c r="BX55" s="4"/>
      <c r="BY55" s="7"/>
      <c r="BZ55" s="4"/>
      <c r="CA55" s="4">
        <v>0</v>
      </c>
      <c r="CB55" s="4"/>
      <c r="CC55" s="4">
        <f>IF(I55="","",IFERROR(IF(INDEX(Macro_Lookup!$B$2:$B$31,MATCH(I55,Macro_Lookup!$A$2:$A$31,0))="","",INDEX(Macro_Lookup!$B$2:$B$31,MATCH(I55,Macro_Lookup!$A$2:$A$31,0))),""))</f>
        <v>7.11</v>
      </c>
      <c r="CD55" s="4">
        <f>IF(I55="","",IFERROR(IF(INDEX(Macro_Lookup!$C$2:$C$31,MATCH(I55,Macro_Lookup!$A$2:$A$31,0))="","",INDEX(Macro_Lookup!$C$2:$C$31,MATCH(I55,Macro_Lookup!$A$2:$A$31,0))),""))</f>
        <v>5.51</v>
      </c>
      <c r="CE55" s="4">
        <f>IF(BJ55="","",IFERROR(IF(INDEX(Macro_Lookup!$B$2:$B$31,MATCH(BJ55,Macro_Lookup!$A$2:$A$31,0))="","",INDEX(Macro_Lookup!$B$2:$B$31,MATCH(BJ55,Macro_Lookup!$A$2:$A$31,0))),""))</f>
        <v>5.78</v>
      </c>
      <c r="CF55" s="4">
        <f>IF(BJ55="","",IFERROR(IF(INDEX(Macro_Lookup!$C$2:$C$31,MATCH(BJ55,Macro_Lookup!$A$2:$A$31,0))="","",INDEX(Macro_Lookup!$C$2:$C$31,MATCH(BJ55,Macro_Lookup!$A$2:$A$31,0))),""))</f>
        <v>9.02</v>
      </c>
      <c r="CG55" s="4">
        <v>1</v>
      </c>
    </row>
    <row r="56" spans="1:85" x14ac:dyDescent="0.3">
      <c r="A56" s="4" t="s">
        <v>340</v>
      </c>
      <c r="B56" s="4" t="s">
        <v>341</v>
      </c>
      <c r="C56" s="4" t="s">
        <v>87</v>
      </c>
      <c r="D56" s="4" t="s">
        <v>88</v>
      </c>
      <c r="E56" s="4">
        <v>0</v>
      </c>
      <c r="F56" s="4" t="s">
        <v>89</v>
      </c>
      <c r="G56" s="4"/>
      <c r="H56" s="4"/>
      <c r="I56" s="5">
        <v>2015</v>
      </c>
      <c r="J56" s="4"/>
      <c r="K56" s="4" t="s">
        <v>90</v>
      </c>
      <c r="L56" s="6">
        <v>46295</v>
      </c>
      <c r="M56" s="4">
        <f t="shared" si="6"/>
        <v>140</v>
      </c>
      <c r="N56" s="4">
        <f t="shared" si="7"/>
        <v>11.67</v>
      </c>
      <c r="O56" s="4" t="s">
        <v>342</v>
      </c>
      <c r="P56" s="4" t="s">
        <v>323</v>
      </c>
      <c r="Q56" s="4" t="s">
        <v>343</v>
      </c>
      <c r="R56" s="4">
        <v>1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  <c r="X56" s="4" t="s">
        <v>283</v>
      </c>
      <c r="Y56" s="4">
        <v>3</v>
      </c>
      <c r="Z56" s="4">
        <v>1</v>
      </c>
      <c r="AA56" s="4">
        <v>1</v>
      </c>
      <c r="AB56" s="4" t="s">
        <v>344</v>
      </c>
      <c r="AC56" s="4">
        <v>1</v>
      </c>
      <c r="AD56" s="7"/>
      <c r="AE56" s="4" t="s">
        <v>302</v>
      </c>
      <c r="AF56" s="4">
        <f>IF(SUMIF(Founders_Clean!$A$2:$A$159,A56,Founders_Clean!$C$2:$C$159)=0,"",SUMIF(Founders_Clean!$A$2:$A$159,A56,Founders_Clean!$C$2:$C$159))</f>
        <v>1</v>
      </c>
      <c r="AG56" s="4">
        <f>IF(AF56="","",SUMIF(Founders_Clean!$A$2:$A$159,A56,Founders_Clean!$D$2:$D$159))</f>
        <v>0</v>
      </c>
      <c r="AH56" s="4">
        <f>IF(AF56="","",SUMIF(Founders_Clean!$A$2:$A$159,A56,Founders_Clean!$E$2:$E$159))</f>
        <v>1</v>
      </c>
      <c r="AI56" s="8">
        <f t="shared" si="8"/>
        <v>1</v>
      </c>
      <c r="AJ56" s="4">
        <f t="shared" si="9"/>
        <v>1</v>
      </c>
      <c r="AK56" s="8">
        <f t="shared" si="10"/>
        <v>0</v>
      </c>
      <c r="AL56" s="4">
        <v>50</v>
      </c>
      <c r="AM56" s="4">
        <v>1</v>
      </c>
      <c r="AN56" s="4" t="s">
        <v>143</v>
      </c>
      <c r="AO56" s="4">
        <v>0</v>
      </c>
      <c r="AP56" s="8">
        <v>0</v>
      </c>
      <c r="AQ56" s="4">
        <v>0</v>
      </c>
      <c r="AR56" s="4"/>
      <c r="AS56" s="4"/>
      <c r="AT56" s="7"/>
      <c r="AU56" s="4"/>
      <c r="AV56" s="4"/>
      <c r="AW56" s="4"/>
      <c r="AX56" s="4" t="s">
        <v>99</v>
      </c>
      <c r="AY56" s="4" t="s">
        <v>100</v>
      </c>
      <c r="AZ56" s="4"/>
      <c r="BA56" s="4">
        <v>0</v>
      </c>
      <c r="BB56" s="4">
        <v>0</v>
      </c>
      <c r="BC56" s="4">
        <v>0</v>
      </c>
      <c r="BD56" s="5"/>
      <c r="BE56" s="4"/>
      <c r="BF56" s="4">
        <f t="shared" si="11"/>
        <v>140</v>
      </c>
      <c r="BG56" s="4">
        <v>1</v>
      </c>
      <c r="BH56" s="7">
        <v>2200000</v>
      </c>
      <c r="BI56" s="4" t="s">
        <v>101</v>
      </c>
      <c r="BJ56" s="5">
        <v>2021</v>
      </c>
      <c r="BK56" s="4">
        <v>1</v>
      </c>
      <c r="BL56" s="4">
        <f>COUNTIFS(Investments_Clean!$A$2:$A$150,A56,Investments_Clean!$F$2:$F$150,"Accepted")</f>
        <v>5</v>
      </c>
      <c r="BM56" s="4">
        <f>IF(BL56=0,"",IF((COUNTIFS(Investments_Clean!$A$2:$A$150,A56,Investments_Clean!$D$2:$D$150,"VC/PE",Investments_Clean!$F$2:$F$150,"Accepted"))&gt;0,1,0))</f>
        <v>1</v>
      </c>
      <c r="BN56" s="4">
        <f>IF(BL56=0,"",IF((COUNTIFS(Investments_Clean!$A$2:$A$150,A56,Investments_Clean!$D$2:$D$150,"Angel",Investments_Clean!$F$2:$F$150,"Accepted"))&gt;0,1,0))</f>
        <v>0</v>
      </c>
      <c r="BO56" s="4">
        <f>IF(BL56=0,"",IF((COUNTIFS(Investments_Clean!$A$2:$A$150,A56,Investments_Clean!$D$2:$D$150,"Accelerator",Investments_Clean!$F$2:$F$150,"Accepted"))&gt;0,1,0))</f>
        <v>1</v>
      </c>
      <c r="BP56" s="4">
        <f>IF(BL56=0,"",IF((COUNTIFS(Investments_Clean!$A$2:$A$150,A56,Investments_Clean!$D$2:$D$150,"Corporate",Investments_Clean!$F$2:$F$150,"Accepted"))&gt;0,1,0))</f>
        <v>0</v>
      </c>
      <c r="BQ56" s="4">
        <f>IF(BL56=0,"",IF((COUNTIFS(Investments_Clean!$A$2:$A$150,A56,Investments_Clean!$D$2:$D$150,"Government",Investments_Clean!$F$2:$F$150,"Accepted"))&gt;0,1,0))</f>
        <v>0</v>
      </c>
      <c r="BR56" s="4">
        <f>IF(BL56=0,"",IF((COUNTIFS(Investments_Clean!$A$2:$A$150,A56,Investments_Clean!$D$2:$D$150,"Grant/Philanthropic",Investments_Clean!$F$2:$F$150,"Accepted")+COUNTIFS(Investments_Clean!$A$2:$A$150,A56,Investments_Clean!$D$2:$D$150,"DFI/Impact",Investments_Clean!$F$2:$F$150,"Accepted"))&gt;0,1,0))</f>
        <v>1</v>
      </c>
      <c r="BS56" s="4"/>
      <c r="BT56" s="4"/>
      <c r="BU56" s="4"/>
      <c r="BV56" s="7"/>
      <c r="BW56" s="4"/>
      <c r="BX56" s="4"/>
      <c r="BY56" s="7">
        <v>10000000</v>
      </c>
      <c r="BZ56" s="4"/>
      <c r="CA56" s="4">
        <v>1</v>
      </c>
      <c r="CB56" s="4"/>
      <c r="CC56" s="4">
        <f>IF(I56="","",IFERROR(IF(INDEX(Macro_Lookup!$B$2:$B$31,MATCH(I56,Macro_Lookup!$A$2:$A$31,0))="","",INDEX(Macro_Lookup!$B$2:$B$31,MATCH(I56,Macro_Lookup!$A$2:$A$31,0))),""))</f>
        <v>6.55</v>
      </c>
      <c r="CD56" s="4">
        <f>IF(I56="","",IFERROR(IF(INDEX(Macro_Lookup!$C$2:$C$31,MATCH(I56,Macro_Lookup!$A$2:$A$31,0))="","",INDEX(Macro_Lookup!$C$2:$C$31,MATCH(I56,Macro_Lookup!$A$2:$A$31,0))),""))</f>
        <v>6.4</v>
      </c>
      <c r="CE56" s="4">
        <f>IF(BJ56="","",IFERROR(IF(INDEX(Macro_Lookup!$B$2:$B$31,MATCH(BJ56,Macro_Lookup!$A$2:$A$31,0))="","",INDEX(Macro_Lookup!$B$2:$B$31,MATCH(BJ56,Macro_Lookup!$A$2:$A$31,0))),""))</f>
        <v>6.94</v>
      </c>
      <c r="CF56" s="4">
        <f>IF(BJ56="","",IFERROR(IF(INDEX(Macro_Lookup!$C$2:$C$31,MATCH(BJ56,Macro_Lookup!$A$2:$A$31,0))="","",INDEX(Macro_Lookup!$C$2:$C$31,MATCH(BJ56,Macro_Lookup!$A$2:$A$31,0))),""))</f>
        <v>5.55</v>
      </c>
      <c r="CG56" s="4">
        <v>2</v>
      </c>
    </row>
    <row r="57" spans="1:85" x14ac:dyDescent="0.3">
      <c r="A57" s="4" t="s">
        <v>345</v>
      </c>
      <c r="B57" s="4" t="s">
        <v>346</v>
      </c>
      <c r="C57" s="4" t="s">
        <v>87</v>
      </c>
      <c r="D57" s="4" t="s">
        <v>88</v>
      </c>
      <c r="E57" s="4">
        <v>0</v>
      </c>
      <c r="F57" s="4" t="s">
        <v>89</v>
      </c>
      <c r="G57" s="4"/>
      <c r="H57" s="4"/>
      <c r="I57" s="5">
        <v>2014</v>
      </c>
      <c r="J57" s="4"/>
      <c r="K57" s="4" t="s">
        <v>90</v>
      </c>
      <c r="L57" s="6">
        <v>46295</v>
      </c>
      <c r="M57" s="4">
        <f t="shared" si="6"/>
        <v>152</v>
      </c>
      <c r="N57" s="4">
        <f t="shared" si="7"/>
        <v>12.67</v>
      </c>
      <c r="O57" s="4" t="s">
        <v>347</v>
      </c>
      <c r="P57" s="4" t="s">
        <v>323</v>
      </c>
      <c r="Q57" s="4" t="s">
        <v>348</v>
      </c>
      <c r="R57" s="4">
        <v>1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 t="s">
        <v>283</v>
      </c>
      <c r="Y57" s="4">
        <v>3</v>
      </c>
      <c r="Z57" s="4">
        <v>1</v>
      </c>
      <c r="AA57" s="4">
        <v>1</v>
      </c>
      <c r="AB57" s="4" t="s">
        <v>349</v>
      </c>
      <c r="AC57" s="4">
        <v>1</v>
      </c>
      <c r="AD57" s="7"/>
      <c r="AE57" s="4" t="s">
        <v>302</v>
      </c>
      <c r="AF57" s="4">
        <f>IF(SUMIF(Founders_Clean!$A$2:$A$159,A57,Founders_Clean!$C$2:$C$159)=0,"",SUMIF(Founders_Clean!$A$2:$A$159,A57,Founders_Clean!$C$2:$C$159))</f>
        <v>1</v>
      </c>
      <c r="AG57" s="4">
        <f>IF(AF57="","",SUMIF(Founders_Clean!$A$2:$A$159,A57,Founders_Clean!$D$2:$D$159))</f>
        <v>1</v>
      </c>
      <c r="AH57" s="4">
        <f>IF(AF57="","",SUMIF(Founders_Clean!$A$2:$A$159,A57,Founders_Clean!$E$2:$E$159))</f>
        <v>0</v>
      </c>
      <c r="AI57" s="8">
        <f t="shared" si="8"/>
        <v>0</v>
      </c>
      <c r="AJ57" s="4">
        <f t="shared" si="9"/>
        <v>0</v>
      </c>
      <c r="AK57" s="8">
        <f t="shared" si="10"/>
        <v>0</v>
      </c>
      <c r="AL57" s="4">
        <v>25</v>
      </c>
      <c r="AM57" s="4">
        <v>2</v>
      </c>
      <c r="AN57" s="4" t="s">
        <v>96</v>
      </c>
      <c r="AO57" s="4">
        <v>1</v>
      </c>
      <c r="AP57" s="8">
        <v>1</v>
      </c>
      <c r="AQ57" s="4">
        <v>1</v>
      </c>
      <c r="AR57" s="4">
        <v>6.5</v>
      </c>
      <c r="AS57" s="4">
        <v>6.5</v>
      </c>
      <c r="AT57" s="7">
        <v>6</v>
      </c>
      <c r="AU57" s="4" t="s">
        <v>151</v>
      </c>
      <c r="AV57" s="4" t="s">
        <v>118</v>
      </c>
      <c r="AW57" s="4"/>
      <c r="AX57" s="4" t="s">
        <v>99</v>
      </c>
      <c r="AY57" s="4" t="s">
        <v>100</v>
      </c>
      <c r="AZ57" s="4"/>
      <c r="BA57" s="4">
        <v>0</v>
      </c>
      <c r="BB57" s="4">
        <v>0</v>
      </c>
      <c r="BC57" s="4">
        <v>0</v>
      </c>
      <c r="BD57" s="5"/>
      <c r="BE57" s="4"/>
      <c r="BF57" s="4">
        <f t="shared" si="11"/>
        <v>152</v>
      </c>
      <c r="BG57" s="4">
        <v>1</v>
      </c>
      <c r="BH57" s="7"/>
      <c r="BI57" s="4" t="s">
        <v>105</v>
      </c>
      <c r="BJ57" s="5"/>
      <c r="BK57" s="4">
        <v>1</v>
      </c>
      <c r="BL57" s="4">
        <f>COUNTIFS(Investments_Clean!$A$2:$A$150,A57,Investments_Clean!$F$2:$F$150,"Accepted")</f>
        <v>4</v>
      </c>
      <c r="BM57" s="4">
        <f>IF(BL57=0,"",IF((COUNTIFS(Investments_Clean!$A$2:$A$150,A57,Investments_Clean!$D$2:$D$150,"VC/PE",Investments_Clean!$F$2:$F$150,"Accepted"))&gt;0,1,0))</f>
        <v>0</v>
      </c>
      <c r="BN57" s="4">
        <f>IF(BL57=0,"",IF((COUNTIFS(Investments_Clean!$A$2:$A$150,A57,Investments_Clean!$D$2:$D$150,"Angel",Investments_Clean!$F$2:$F$150,"Accepted"))&gt;0,1,0))</f>
        <v>0</v>
      </c>
      <c r="BO57" s="4">
        <f>IF(BL57=0,"",IF((COUNTIFS(Investments_Clean!$A$2:$A$150,A57,Investments_Clean!$D$2:$D$150,"Accelerator",Investments_Clean!$F$2:$F$150,"Accepted"))&gt;0,1,0))</f>
        <v>0</v>
      </c>
      <c r="BP57" s="4">
        <f>IF(BL57=0,"",IF((COUNTIFS(Investments_Clean!$A$2:$A$150,A57,Investments_Clean!$D$2:$D$150,"Corporate",Investments_Clean!$F$2:$F$150,"Accepted"))&gt;0,1,0))</f>
        <v>0</v>
      </c>
      <c r="BQ57" s="4">
        <f>IF(BL57=0,"",IF((COUNTIFS(Investments_Clean!$A$2:$A$150,A57,Investments_Clean!$D$2:$D$150,"Government",Investments_Clean!$F$2:$F$150,"Accepted"))&gt;0,1,0))</f>
        <v>0</v>
      </c>
      <c r="BR57" s="4">
        <f>IF(BL57=0,"",IF((COUNTIFS(Investments_Clean!$A$2:$A$150,A57,Investments_Clean!$D$2:$D$150,"Grant/Philanthropic",Investments_Clean!$F$2:$F$150,"Accepted")+COUNTIFS(Investments_Clean!$A$2:$A$150,A57,Investments_Clean!$D$2:$D$150,"DFI/Impact",Investments_Clean!$F$2:$F$150,"Accepted"))&gt;0,1,0))</f>
        <v>1</v>
      </c>
      <c r="BS57" s="4"/>
      <c r="BT57" s="4"/>
      <c r="BU57" s="4"/>
      <c r="BV57" s="7"/>
      <c r="BW57" s="4"/>
      <c r="BX57" s="4"/>
      <c r="BY57" s="7"/>
      <c r="BZ57" s="4"/>
      <c r="CA57" s="4">
        <v>0</v>
      </c>
      <c r="CB57" s="4"/>
      <c r="CC57" s="4">
        <f>IF(I57="","",IFERROR(IF(INDEX(Macro_Lookup!$B$2:$B$31,MATCH(I57,Macro_Lookup!$A$2:$A$31,0))="","",INDEX(Macro_Lookup!$B$2:$B$31,MATCH(I57,Macro_Lookup!$A$2:$A$31,0))),""))</f>
        <v>6.06</v>
      </c>
      <c r="CD57" s="4">
        <f>IF(I57="","",IFERROR(IF(INDEX(Macro_Lookup!$C$2:$C$31,MATCH(I57,Macro_Lookup!$A$2:$A$31,0))="","",INDEX(Macro_Lookup!$C$2:$C$31,MATCH(I57,Macro_Lookup!$A$2:$A$31,0))),""))</f>
        <v>6.99</v>
      </c>
      <c r="CE57" s="4" t="str">
        <f>IF(BJ57="","",IFERROR(IF(INDEX(Macro_Lookup!$B$2:$B$31,MATCH(BJ57,Macro_Lookup!$A$2:$A$31,0))="","",INDEX(Macro_Lookup!$B$2:$B$31,MATCH(BJ57,Macro_Lookup!$A$2:$A$31,0))),""))</f>
        <v/>
      </c>
      <c r="CF57" s="4" t="str">
        <f>IF(BJ57="","",IFERROR(IF(INDEX(Macro_Lookup!$C$2:$C$31,MATCH(BJ57,Macro_Lookup!$A$2:$A$31,0))="","",INDEX(Macro_Lookup!$C$2:$C$31,MATCH(BJ57,Macro_Lookup!$A$2:$A$31,0))),""))</f>
        <v/>
      </c>
      <c r="CG57" s="4">
        <v>1</v>
      </c>
    </row>
    <row r="58" spans="1:85" x14ac:dyDescent="0.3">
      <c r="A58" s="4" t="s">
        <v>350</v>
      </c>
      <c r="B58" s="4" t="s">
        <v>351</v>
      </c>
      <c r="C58" s="4" t="s">
        <v>87</v>
      </c>
      <c r="D58" s="4" t="s">
        <v>88</v>
      </c>
      <c r="E58" s="4">
        <v>0</v>
      </c>
      <c r="F58" s="4" t="s">
        <v>89</v>
      </c>
      <c r="G58" s="4"/>
      <c r="H58" s="4"/>
      <c r="I58" s="5">
        <v>2020</v>
      </c>
      <c r="J58" s="4"/>
      <c r="K58" s="4" t="s">
        <v>90</v>
      </c>
      <c r="L58" s="6">
        <v>46295</v>
      </c>
      <c r="M58" s="4">
        <f t="shared" si="6"/>
        <v>80</v>
      </c>
      <c r="N58" s="4">
        <f t="shared" si="7"/>
        <v>6.67</v>
      </c>
      <c r="O58" s="4" t="s">
        <v>332</v>
      </c>
      <c r="P58" s="4" t="s">
        <v>323</v>
      </c>
      <c r="Q58" s="4" t="s">
        <v>352</v>
      </c>
      <c r="R58" s="4">
        <v>0</v>
      </c>
      <c r="S58" s="4">
        <v>1</v>
      </c>
      <c r="T58" s="4">
        <v>0</v>
      </c>
      <c r="U58" s="4">
        <v>0</v>
      </c>
      <c r="V58" s="4">
        <v>0</v>
      </c>
      <c r="W58" s="4">
        <v>0</v>
      </c>
      <c r="X58" s="4" t="s">
        <v>283</v>
      </c>
      <c r="Y58" s="4">
        <v>3</v>
      </c>
      <c r="Z58" s="4">
        <v>1</v>
      </c>
      <c r="AA58" s="4">
        <v>1</v>
      </c>
      <c r="AB58" s="4" t="s">
        <v>353</v>
      </c>
      <c r="AC58" s="4">
        <v>1</v>
      </c>
      <c r="AD58" s="7"/>
      <c r="AE58" s="4" t="s">
        <v>302</v>
      </c>
      <c r="AF58" s="4">
        <f>IF(SUMIF(Founders_Clean!$A$2:$A$159,A58,Founders_Clean!$C$2:$C$159)=0,"",SUMIF(Founders_Clean!$A$2:$A$159,A58,Founders_Clean!$C$2:$C$159))</f>
        <v>1</v>
      </c>
      <c r="AG58" s="4">
        <f>IF(AF58="","",SUMIF(Founders_Clean!$A$2:$A$159,A58,Founders_Clean!$D$2:$D$159))</f>
        <v>1</v>
      </c>
      <c r="AH58" s="4">
        <f>IF(AF58="","",SUMIF(Founders_Clean!$A$2:$A$159,A58,Founders_Clean!$E$2:$E$159))</f>
        <v>0</v>
      </c>
      <c r="AI58" s="8">
        <f t="shared" si="8"/>
        <v>0</v>
      </c>
      <c r="AJ58" s="4">
        <f t="shared" si="9"/>
        <v>0</v>
      </c>
      <c r="AK58" s="8">
        <f t="shared" si="10"/>
        <v>0</v>
      </c>
      <c r="AL58" s="4">
        <v>17.5</v>
      </c>
      <c r="AM58" s="4"/>
      <c r="AN58" s="4"/>
      <c r="AO58" s="4"/>
      <c r="AP58" s="8"/>
      <c r="AQ58" s="4"/>
      <c r="AR58" s="4"/>
      <c r="AS58" s="4"/>
      <c r="AT58" s="7"/>
      <c r="AU58" s="4"/>
      <c r="AV58" s="4"/>
      <c r="AW58" s="4"/>
      <c r="AX58" s="4" t="s">
        <v>99</v>
      </c>
      <c r="AY58" s="4" t="s">
        <v>100</v>
      </c>
      <c r="AZ58" s="4" t="s">
        <v>354</v>
      </c>
      <c r="BA58" s="4">
        <v>0</v>
      </c>
      <c r="BB58" s="4">
        <v>1</v>
      </c>
      <c r="BC58" s="4">
        <v>0</v>
      </c>
      <c r="BD58" s="5"/>
      <c r="BE58" s="4"/>
      <c r="BF58" s="4">
        <f t="shared" si="11"/>
        <v>80</v>
      </c>
      <c r="BG58" s="4">
        <v>1</v>
      </c>
      <c r="BH58" s="7">
        <v>750000</v>
      </c>
      <c r="BI58" s="4" t="s">
        <v>101</v>
      </c>
      <c r="BJ58" s="5">
        <v>2023</v>
      </c>
      <c r="BK58" s="4">
        <v>1</v>
      </c>
      <c r="BL58" s="4">
        <f>COUNTIFS(Investments_Clean!$A$2:$A$150,A58,Investments_Clean!$F$2:$F$150,"Accepted")</f>
        <v>6</v>
      </c>
      <c r="BM58" s="4">
        <f>IF(BL58=0,"",IF((COUNTIFS(Investments_Clean!$A$2:$A$150,A58,Investments_Clean!$D$2:$D$150,"VC/PE",Investments_Clean!$F$2:$F$150,"Accepted"))&gt;0,1,0))</f>
        <v>1</v>
      </c>
      <c r="BN58" s="4">
        <f>IF(BL58=0,"",IF((COUNTIFS(Investments_Clean!$A$2:$A$150,A58,Investments_Clean!$D$2:$D$150,"Angel",Investments_Clean!$F$2:$F$150,"Accepted"))&gt;0,1,0))</f>
        <v>1</v>
      </c>
      <c r="BO58" s="4">
        <f>IF(BL58=0,"",IF((COUNTIFS(Investments_Clean!$A$2:$A$150,A58,Investments_Clean!$D$2:$D$150,"Accelerator",Investments_Clean!$F$2:$F$150,"Accepted"))&gt;0,1,0))</f>
        <v>1</v>
      </c>
      <c r="BP58" s="4">
        <f>IF(BL58=0,"",IF((COUNTIFS(Investments_Clean!$A$2:$A$150,A58,Investments_Clean!$D$2:$D$150,"Corporate",Investments_Clean!$F$2:$F$150,"Accepted"))&gt;0,1,0))</f>
        <v>0</v>
      </c>
      <c r="BQ58" s="4">
        <f>IF(BL58=0,"",IF((COUNTIFS(Investments_Clean!$A$2:$A$150,A58,Investments_Clean!$D$2:$D$150,"Government",Investments_Clean!$F$2:$F$150,"Accepted"))&gt;0,1,0))</f>
        <v>1</v>
      </c>
      <c r="BR58" s="4">
        <f>IF(BL58=0,"",IF((COUNTIFS(Investments_Clean!$A$2:$A$150,A58,Investments_Clean!$D$2:$D$150,"Grant/Philanthropic",Investments_Clean!$F$2:$F$150,"Accepted")+COUNTIFS(Investments_Clean!$A$2:$A$150,A58,Investments_Clean!$D$2:$D$150,"DFI/Impact",Investments_Clean!$F$2:$F$150,"Accepted"))&gt;0,1,0))</f>
        <v>1</v>
      </c>
      <c r="BS58" s="4"/>
      <c r="BT58" s="4"/>
      <c r="BU58" s="4"/>
      <c r="BV58" s="7"/>
      <c r="BW58" s="4"/>
      <c r="BX58" s="4"/>
      <c r="BY58" s="7"/>
      <c r="BZ58" s="4"/>
      <c r="CA58" s="4">
        <v>0</v>
      </c>
      <c r="CB58" s="4"/>
      <c r="CC58" s="4">
        <f>IF(I58="","",IFERROR(IF(INDEX(Macro_Lookup!$B$2:$B$31,MATCH(I58,Macro_Lookup!$A$2:$A$31,0))="","",INDEX(Macro_Lookup!$B$2:$B$31,MATCH(I58,Macro_Lookup!$A$2:$A$31,0))),""))</f>
        <v>3.45</v>
      </c>
      <c r="CD58" s="4">
        <f>IF(I58="","",IFERROR(IF(INDEX(Macro_Lookup!$C$2:$C$31,MATCH(I58,Macro_Lookup!$A$2:$A$31,0))="","",INDEX(Macro_Lookup!$C$2:$C$31,MATCH(I58,Macro_Lookup!$A$2:$A$31,0))),""))</f>
        <v>5.69</v>
      </c>
      <c r="CE58" s="4">
        <f>IF(BJ58="","",IFERROR(IF(INDEX(Macro_Lookup!$B$2:$B$31,MATCH(BJ58,Macro_Lookup!$A$2:$A$31,0))="","",INDEX(Macro_Lookup!$B$2:$B$31,MATCH(BJ58,Macro_Lookup!$A$2:$A$31,0))),""))</f>
        <v>5.78</v>
      </c>
      <c r="CF58" s="4">
        <f>IF(BJ58="","",IFERROR(IF(INDEX(Macro_Lookup!$C$2:$C$31,MATCH(BJ58,Macro_Lookup!$A$2:$A$31,0))="","",INDEX(Macro_Lookup!$C$2:$C$31,MATCH(BJ58,Macro_Lookup!$A$2:$A$31,0))),""))</f>
        <v>9.02</v>
      </c>
      <c r="CG58" s="4">
        <v>3</v>
      </c>
    </row>
    <row r="59" spans="1:85" x14ac:dyDescent="0.3">
      <c r="A59" s="4" t="s">
        <v>355</v>
      </c>
      <c r="B59" s="4" t="s">
        <v>356</v>
      </c>
      <c r="C59" s="4" t="s">
        <v>87</v>
      </c>
      <c r="D59" s="4" t="s">
        <v>88</v>
      </c>
      <c r="E59" s="4">
        <v>0</v>
      </c>
      <c r="F59" s="4" t="s">
        <v>89</v>
      </c>
      <c r="G59" s="4"/>
      <c r="H59" s="4"/>
      <c r="I59" s="5">
        <v>2015</v>
      </c>
      <c r="J59" s="4"/>
      <c r="K59" s="4" t="s">
        <v>90</v>
      </c>
      <c r="L59" s="6">
        <v>46295</v>
      </c>
      <c r="M59" s="4">
        <f t="shared" si="6"/>
        <v>140</v>
      </c>
      <c r="N59" s="4">
        <f t="shared" si="7"/>
        <v>11.67</v>
      </c>
      <c r="O59" s="4" t="s">
        <v>328</v>
      </c>
      <c r="P59" s="4" t="s">
        <v>323</v>
      </c>
      <c r="Q59" s="4" t="s">
        <v>293</v>
      </c>
      <c r="R59" s="4">
        <v>0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 t="s">
        <v>283</v>
      </c>
      <c r="Y59" s="4">
        <v>3</v>
      </c>
      <c r="Z59" s="4">
        <v>1</v>
      </c>
      <c r="AA59" s="4"/>
      <c r="AB59" s="4"/>
      <c r="AC59" s="4"/>
      <c r="AD59" s="7"/>
      <c r="AE59" s="4"/>
      <c r="AF59" s="4">
        <f>IF(SUMIF(Founders_Clean!$A$2:$A$159,A59,Founders_Clean!$C$2:$C$159)=0,"",SUMIF(Founders_Clean!$A$2:$A$159,A59,Founders_Clean!$C$2:$C$159))</f>
        <v>1</v>
      </c>
      <c r="AG59" s="4">
        <f>IF(AF59="","",SUMIF(Founders_Clean!$A$2:$A$159,A59,Founders_Clean!$D$2:$D$159))</f>
        <v>1</v>
      </c>
      <c r="AH59" s="4">
        <f>IF(AF59="","",SUMIF(Founders_Clean!$A$2:$A$159,A59,Founders_Clean!$E$2:$E$159))</f>
        <v>0</v>
      </c>
      <c r="AI59" s="8">
        <f t="shared" si="8"/>
        <v>0</v>
      </c>
      <c r="AJ59" s="4">
        <f t="shared" si="9"/>
        <v>0</v>
      </c>
      <c r="AK59" s="8">
        <f t="shared" si="10"/>
        <v>0</v>
      </c>
      <c r="AL59" s="4">
        <v>15</v>
      </c>
      <c r="AM59" s="4"/>
      <c r="AN59" s="4"/>
      <c r="AO59" s="4">
        <v>1</v>
      </c>
      <c r="AP59" s="8">
        <v>1</v>
      </c>
      <c r="AQ59" s="4">
        <v>1</v>
      </c>
      <c r="AR59" s="4"/>
      <c r="AS59" s="4"/>
      <c r="AT59" s="7"/>
      <c r="AU59" s="4"/>
      <c r="AV59" s="4"/>
      <c r="AW59" s="4"/>
      <c r="AX59" s="4" t="s">
        <v>99</v>
      </c>
      <c r="AY59" s="4" t="s">
        <v>100</v>
      </c>
      <c r="AZ59" s="4" t="s">
        <v>357</v>
      </c>
      <c r="BA59" s="4">
        <v>0</v>
      </c>
      <c r="BB59" s="4">
        <v>0</v>
      </c>
      <c r="BC59" s="4">
        <v>0</v>
      </c>
      <c r="BD59" s="5"/>
      <c r="BE59" s="4"/>
      <c r="BF59" s="4">
        <f t="shared" si="11"/>
        <v>140</v>
      </c>
      <c r="BG59" s="4">
        <v>1</v>
      </c>
      <c r="BH59" s="7">
        <v>250000</v>
      </c>
      <c r="BI59" s="4" t="s">
        <v>101</v>
      </c>
      <c r="BJ59" s="5">
        <v>2015</v>
      </c>
      <c r="BK59" s="4">
        <v>1</v>
      </c>
      <c r="BL59" s="4">
        <f>COUNTIFS(Investments_Clean!$A$2:$A$150,A59,Investments_Clean!$F$2:$F$150,"Accepted")</f>
        <v>1</v>
      </c>
      <c r="BM59" s="4">
        <f>IF(BL59=0,"",IF((COUNTIFS(Investments_Clean!$A$2:$A$150,A59,Investments_Clean!$D$2:$D$150,"VC/PE",Investments_Clean!$F$2:$F$150,"Accepted"))&gt;0,1,0))</f>
        <v>1</v>
      </c>
      <c r="BN59" s="4">
        <f>IF(BL59=0,"",IF((COUNTIFS(Investments_Clean!$A$2:$A$150,A59,Investments_Clean!$D$2:$D$150,"Angel",Investments_Clean!$F$2:$F$150,"Accepted"))&gt;0,1,0))</f>
        <v>0</v>
      </c>
      <c r="BO59" s="4">
        <f>IF(BL59=0,"",IF((COUNTIFS(Investments_Clean!$A$2:$A$150,A59,Investments_Clean!$D$2:$D$150,"Accelerator",Investments_Clean!$F$2:$F$150,"Accepted"))&gt;0,1,0))</f>
        <v>0</v>
      </c>
      <c r="BP59" s="4">
        <f>IF(BL59=0,"",IF((COUNTIFS(Investments_Clean!$A$2:$A$150,A59,Investments_Clean!$D$2:$D$150,"Corporate",Investments_Clean!$F$2:$F$150,"Accepted"))&gt;0,1,0))</f>
        <v>0</v>
      </c>
      <c r="BQ59" s="4">
        <f>IF(BL59=0,"",IF((COUNTIFS(Investments_Clean!$A$2:$A$150,A59,Investments_Clean!$D$2:$D$150,"Government",Investments_Clean!$F$2:$F$150,"Accepted"))&gt;0,1,0))</f>
        <v>0</v>
      </c>
      <c r="BR59" s="4">
        <f>IF(BL59=0,"",IF((COUNTIFS(Investments_Clean!$A$2:$A$150,A59,Investments_Clean!$D$2:$D$150,"Grant/Philanthropic",Investments_Clean!$F$2:$F$150,"Accepted")+COUNTIFS(Investments_Clean!$A$2:$A$150,A59,Investments_Clean!$D$2:$D$150,"DFI/Impact",Investments_Clean!$F$2:$F$150,"Accepted"))&gt;0,1,0))</f>
        <v>0</v>
      </c>
      <c r="BS59" s="4"/>
      <c r="BT59" s="4"/>
      <c r="BU59" s="4"/>
      <c r="BV59" s="7"/>
      <c r="BW59" s="4"/>
      <c r="BX59" s="4"/>
      <c r="BY59" s="7"/>
      <c r="BZ59" s="4"/>
      <c r="CA59" s="4">
        <v>0</v>
      </c>
      <c r="CB59" s="4"/>
      <c r="CC59" s="4">
        <f>IF(I59="","",IFERROR(IF(INDEX(Macro_Lookup!$B$2:$B$31,MATCH(I59,Macro_Lookup!$A$2:$A$31,0))="","",INDEX(Macro_Lookup!$B$2:$B$31,MATCH(I59,Macro_Lookup!$A$2:$A$31,0))),""))</f>
        <v>6.55</v>
      </c>
      <c r="CD59" s="4">
        <f>IF(I59="","",IFERROR(IF(INDEX(Macro_Lookup!$C$2:$C$31,MATCH(I59,Macro_Lookup!$A$2:$A$31,0))="","",INDEX(Macro_Lookup!$C$2:$C$31,MATCH(I59,Macro_Lookup!$A$2:$A$31,0))),""))</f>
        <v>6.4</v>
      </c>
      <c r="CE59" s="4">
        <f>IF(BJ59="","",IFERROR(IF(INDEX(Macro_Lookup!$B$2:$B$31,MATCH(BJ59,Macro_Lookup!$A$2:$A$31,0))="","",INDEX(Macro_Lookup!$B$2:$B$31,MATCH(BJ59,Macro_Lookup!$A$2:$A$31,0))),""))</f>
        <v>6.55</v>
      </c>
      <c r="CF59" s="4">
        <f>IF(BJ59="","",IFERROR(IF(INDEX(Macro_Lookup!$C$2:$C$31,MATCH(BJ59,Macro_Lookup!$A$2:$A$31,0))="","",INDEX(Macro_Lookup!$C$2:$C$31,MATCH(BJ59,Macro_Lookup!$A$2:$A$31,0))),""))</f>
        <v>6.4</v>
      </c>
      <c r="CG59" s="4">
        <v>5</v>
      </c>
    </row>
    <row r="60" spans="1:85" x14ac:dyDescent="0.3">
      <c r="A60" s="4" t="s">
        <v>358</v>
      </c>
      <c r="B60" s="4" t="s">
        <v>359</v>
      </c>
      <c r="C60" s="4" t="s">
        <v>87</v>
      </c>
      <c r="D60" s="4" t="s">
        <v>88</v>
      </c>
      <c r="E60" s="4">
        <v>0</v>
      </c>
      <c r="F60" s="4" t="s">
        <v>89</v>
      </c>
      <c r="G60" s="4"/>
      <c r="H60" s="4"/>
      <c r="I60" s="5">
        <v>2017</v>
      </c>
      <c r="J60" s="4"/>
      <c r="K60" s="4" t="s">
        <v>90</v>
      </c>
      <c r="L60" s="6">
        <v>46295</v>
      </c>
      <c r="M60" s="4">
        <f t="shared" si="6"/>
        <v>116</v>
      </c>
      <c r="N60" s="4">
        <f t="shared" si="7"/>
        <v>9.67</v>
      </c>
      <c r="O60" s="4" t="s">
        <v>328</v>
      </c>
      <c r="P60" s="4" t="s">
        <v>323</v>
      </c>
      <c r="Q60" s="4" t="s">
        <v>282</v>
      </c>
      <c r="R60" s="4">
        <v>1</v>
      </c>
      <c r="S60" s="4">
        <v>1</v>
      </c>
      <c r="T60" s="4">
        <v>0</v>
      </c>
      <c r="U60" s="4">
        <v>0</v>
      </c>
      <c r="V60" s="4">
        <v>0</v>
      </c>
      <c r="W60" s="4">
        <v>0</v>
      </c>
      <c r="X60" s="4" t="s">
        <v>283</v>
      </c>
      <c r="Y60" s="4">
        <v>3</v>
      </c>
      <c r="Z60" s="4">
        <v>1</v>
      </c>
      <c r="AA60" s="4">
        <v>1</v>
      </c>
      <c r="AB60" s="4" t="s">
        <v>360</v>
      </c>
      <c r="AC60" s="4"/>
      <c r="AD60" s="7"/>
      <c r="AE60" s="4"/>
      <c r="AF60" s="4">
        <f>IF(SUMIF(Founders_Clean!$A$2:$A$159,A60,Founders_Clean!$C$2:$C$159)=0,"",SUMIF(Founders_Clean!$A$2:$A$159,A60,Founders_Clean!$C$2:$C$159))</f>
        <v>2</v>
      </c>
      <c r="AG60" s="4">
        <f>IF(AF60="","",SUMIF(Founders_Clean!$A$2:$A$159,A60,Founders_Clean!$D$2:$D$159))</f>
        <v>2</v>
      </c>
      <c r="AH60" s="4">
        <f>IF(AF60="","",SUMIF(Founders_Clean!$A$2:$A$159,A60,Founders_Clean!$E$2:$E$159))</f>
        <v>0</v>
      </c>
      <c r="AI60" s="8">
        <f t="shared" si="8"/>
        <v>0</v>
      </c>
      <c r="AJ60" s="4">
        <f t="shared" si="9"/>
        <v>0</v>
      </c>
      <c r="AK60" s="8">
        <f t="shared" si="10"/>
        <v>0</v>
      </c>
      <c r="AL60" s="4">
        <v>15</v>
      </c>
      <c r="AM60" s="4"/>
      <c r="AN60" s="4"/>
      <c r="AO60" s="4"/>
      <c r="AP60" s="8"/>
      <c r="AQ60" s="4"/>
      <c r="AR60" s="4"/>
      <c r="AS60" s="4"/>
      <c r="AT60" s="7"/>
      <c r="AU60" s="4"/>
      <c r="AV60" s="4"/>
      <c r="AW60" s="4"/>
      <c r="AX60" s="4" t="s">
        <v>99</v>
      </c>
      <c r="AY60" s="4" t="s">
        <v>100</v>
      </c>
      <c r="AZ60" s="4"/>
      <c r="BA60" s="4">
        <v>0</v>
      </c>
      <c r="BB60" s="4">
        <v>0</v>
      </c>
      <c r="BC60" s="4">
        <v>0</v>
      </c>
      <c r="BD60" s="5"/>
      <c r="BE60" s="4"/>
      <c r="BF60" s="4">
        <f t="shared" si="11"/>
        <v>116</v>
      </c>
      <c r="BG60" s="4">
        <v>1</v>
      </c>
      <c r="BH60" s="7">
        <v>500000</v>
      </c>
      <c r="BI60" s="4" t="s">
        <v>101</v>
      </c>
      <c r="BJ60" s="5">
        <v>2022</v>
      </c>
      <c r="BK60" s="4">
        <v>1</v>
      </c>
      <c r="BL60" s="4">
        <f>COUNTIFS(Investments_Clean!$A$2:$A$150,A60,Investments_Clean!$F$2:$F$150,"Accepted")</f>
        <v>4</v>
      </c>
      <c r="BM60" s="4">
        <f>IF(BL60=0,"",IF((COUNTIFS(Investments_Clean!$A$2:$A$150,A60,Investments_Clean!$D$2:$D$150,"VC/PE",Investments_Clean!$F$2:$F$150,"Accepted"))&gt;0,1,0))</f>
        <v>1</v>
      </c>
      <c r="BN60" s="4">
        <f>IF(BL60=0,"",IF((COUNTIFS(Investments_Clean!$A$2:$A$150,A60,Investments_Clean!$D$2:$D$150,"Angel",Investments_Clean!$F$2:$F$150,"Accepted"))&gt;0,1,0))</f>
        <v>1</v>
      </c>
      <c r="BO60" s="4">
        <f>IF(BL60=0,"",IF((COUNTIFS(Investments_Clean!$A$2:$A$150,A60,Investments_Clean!$D$2:$D$150,"Accelerator",Investments_Clean!$F$2:$F$150,"Accepted"))&gt;0,1,0))</f>
        <v>1</v>
      </c>
      <c r="BP60" s="4">
        <f>IF(BL60=0,"",IF((COUNTIFS(Investments_Clean!$A$2:$A$150,A60,Investments_Clean!$D$2:$D$150,"Corporate",Investments_Clean!$F$2:$F$150,"Accepted"))&gt;0,1,0))</f>
        <v>0</v>
      </c>
      <c r="BQ60" s="4">
        <f>IF(BL60=0,"",IF((COUNTIFS(Investments_Clean!$A$2:$A$150,A60,Investments_Clean!$D$2:$D$150,"Government",Investments_Clean!$F$2:$F$150,"Accepted"))&gt;0,1,0))</f>
        <v>0</v>
      </c>
      <c r="BR60" s="4">
        <f>IF(BL60=0,"",IF((COUNTIFS(Investments_Clean!$A$2:$A$150,A60,Investments_Clean!$D$2:$D$150,"Grant/Philanthropic",Investments_Clean!$F$2:$F$150,"Accepted")+COUNTIFS(Investments_Clean!$A$2:$A$150,A60,Investments_Clean!$D$2:$D$150,"DFI/Impact",Investments_Clean!$F$2:$F$150,"Accepted"))&gt;0,1,0))</f>
        <v>0</v>
      </c>
      <c r="BS60" s="4"/>
      <c r="BT60" s="4"/>
      <c r="BU60" s="4"/>
      <c r="BV60" s="7"/>
      <c r="BW60" s="4"/>
      <c r="BX60" s="4"/>
      <c r="BY60" s="7"/>
      <c r="BZ60" s="4"/>
      <c r="CA60" s="4">
        <v>0</v>
      </c>
      <c r="CB60" s="4"/>
      <c r="CC60" s="4">
        <f>IF(I60="","",IFERROR(IF(INDEX(Macro_Lookup!$B$2:$B$31,MATCH(I60,Macro_Lookup!$A$2:$A$31,0))="","",INDEX(Macro_Lookup!$B$2:$B$31,MATCH(I60,Macro_Lookup!$A$2:$A$31,0))),""))</f>
        <v>6.59</v>
      </c>
      <c r="CD60" s="4">
        <f>IF(I60="","",IFERROR(IF(INDEX(Macro_Lookup!$C$2:$C$31,MATCH(I60,Macro_Lookup!$A$2:$A$31,0))="","",INDEX(Macro_Lookup!$C$2:$C$31,MATCH(I60,Macro_Lookup!$A$2:$A$31,0))),""))</f>
        <v>5.7</v>
      </c>
      <c r="CE60" s="4">
        <f>IF(BJ60="","",IFERROR(IF(INDEX(Macro_Lookup!$B$2:$B$31,MATCH(BJ60,Macro_Lookup!$A$2:$A$31,0))="","",INDEX(Macro_Lookup!$B$2:$B$31,MATCH(BJ60,Macro_Lookup!$A$2:$A$31,0))),""))</f>
        <v>7.1</v>
      </c>
      <c r="CF60" s="4">
        <f>IF(BJ60="","",IFERROR(IF(INDEX(Macro_Lookup!$C$2:$C$31,MATCH(BJ60,Macro_Lookup!$A$2:$A$31,0))="","",INDEX(Macro_Lookup!$C$2:$C$31,MATCH(BJ60,Macro_Lookup!$A$2:$A$31,0))),""))</f>
        <v>7.7</v>
      </c>
      <c r="CG60" s="4">
        <v>4</v>
      </c>
    </row>
    <row r="61" spans="1:85" x14ac:dyDescent="0.3">
      <c r="A61" s="4" t="s">
        <v>361</v>
      </c>
      <c r="B61" s="4" t="s">
        <v>362</v>
      </c>
      <c r="C61" s="4" t="s">
        <v>87</v>
      </c>
      <c r="D61" s="4" t="s">
        <v>88</v>
      </c>
      <c r="E61" s="4">
        <v>0</v>
      </c>
      <c r="F61" s="4" t="s">
        <v>89</v>
      </c>
      <c r="G61" s="4"/>
      <c r="H61" s="4"/>
      <c r="I61" s="5">
        <v>2018</v>
      </c>
      <c r="J61" s="4"/>
      <c r="K61" s="4" t="s">
        <v>90</v>
      </c>
      <c r="L61" s="6">
        <v>46295</v>
      </c>
      <c r="M61" s="4">
        <f t="shared" si="6"/>
        <v>104</v>
      </c>
      <c r="N61" s="4">
        <f t="shared" si="7"/>
        <v>8.67</v>
      </c>
      <c r="O61" s="4" t="s">
        <v>328</v>
      </c>
      <c r="P61" s="4" t="s">
        <v>323</v>
      </c>
      <c r="Q61" s="4" t="s">
        <v>282</v>
      </c>
      <c r="R61" s="4">
        <v>1</v>
      </c>
      <c r="S61" s="4">
        <v>1</v>
      </c>
      <c r="T61" s="4">
        <v>0</v>
      </c>
      <c r="U61" s="4">
        <v>0</v>
      </c>
      <c r="V61" s="4">
        <v>0</v>
      </c>
      <c r="W61" s="4">
        <v>0</v>
      </c>
      <c r="X61" s="4" t="s">
        <v>283</v>
      </c>
      <c r="Y61" s="4">
        <v>3</v>
      </c>
      <c r="Z61" s="4">
        <v>1</v>
      </c>
      <c r="AA61" s="4"/>
      <c r="AB61" s="4"/>
      <c r="AC61" s="4"/>
      <c r="AD61" s="7"/>
      <c r="AE61" s="4"/>
      <c r="AF61" s="4" t="str">
        <f>IF(SUMIF(Founders_Clean!$A$2:$A$159,A61,Founders_Clean!$C$2:$C$159)=0,"",SUMIF(Founders_Clean!$A$2:$A$159,A61,Founders_Clean!$C$2:$C$159))</f>
        <v/>
      </c>
      <c r="AG61" s="4" t="str">
        <f>IF(AF61="","",SUMIF(Founders_Clean!$A$2:$A$159,A61,Founders_Clean!$D$2:$D$159))</f>
        <v/>
      </c>
      <c r="AH61" s="4" t="str">
        <f>IF(AF61="","",SUMIF(Founders_Clean!$A$2:$A$159,A61,Founders_Clean!$E$2:$E$159))</f>
        <v/>
      </c>
      <c r="AI61" s="8" t="str">
        <f t="shared" si="8"/>
        <v/>
      </c>
      <c r="AJ61" s="4" t="str">
        <f t="shared" si="9"/>
        <v/>
      </c>
      <c r="AK61" s="8" t="str">
        <f t="shared" si="10"/>
        <v/>
      </c>
      <c r="AL61" s="4">
        <v>10</v>
      </c>
      <c r="AM61" s="4"/>
      <c r="AN61" s="4"/>
      <c r="AO61" s="4"/>
      <c r="AP61" s="8"/>
      <c r="AQ61" s="4"/>
      <c r="AR61" s="4"/>
      <c r="AS61" s="4"/>
      <c r="AT61" s="7"/>
      <c r="AU61" s="4"/>
      <c r="AV61" s="4"/>
      <c r="AW61" s="4"/>
      <c r="AX61" s="4" t="s">
        <v>99</v>
      </c>
      <c r="AY61" s="4" t="s">
        <v>100</v>
      </c>
      <c r="AZ61" s="4"/>
      <c r="BA61" s="4">
        <v>0</v>
      </c>
      <c r="BB61" s="4">
        <v>0</v>
      </c>
      <c r="BC61" s="4">
        <v>0</v>
      </c>
      <c r="BD61" s="5"/>
      <c r="BE61" s="4"/>
      <c r="BF61" s="4">
        <f t="shared" si="11"/>
        <v>104</v>
      </c>
      <c r="BG61" s="4"/>
      <c r="BH61" s="7"/>
      <c r="BI61" s="4"/>
      <c r="BJ61" s="5"/>
      <c r="BK61" s="4"/>
      <c r="BL61" s="4">
        <f>COUNTIFS(Investments_Clean!$A$2:$A$150,A61,Investments_Clean!$F$2:$F$150,"Accepted")</f>
        <v>0</v>
      </c>
      <c r="BM61" s="4" t="str">
        <f>IF(BL61=0,"",IF((COUNTIFS(Investments_Clean!$A$2:$A$150,A61,Investments_Clean!$D$2:$D$150,"VC/PE",Investments_Clean!$F$2:$F$150,"Accepted"))&gt;0,1,0))</f>
        <v/>
      </c>
      <c r="BN61" s="4" t="str">
        <f>IF(BL61=0,"",IF((COUNTIFS(Investments_Clean!$A$2:$A$150,A61,Investments_Clean!$D$2:$D$150,"Angel",Investments_Clean!$F$2:$F$150,"Accepted"))&gt;0,1,0))</f>
        <v/>
      </c>
      <c r="BO61" s="4" t="str">
        <f>IF(BL61=0,"",IF((COUNTIFS(Investments_Clean!$A$2:$A$150,A61,Investments_Clean!$D$2:$D$150,"Accelerator",Investments_Clean!$F$2:$F$150,"Accepted"))&gt;0,1,0))</f>
        <v/>
      </c>
      <c r="BP61" s="4" t="str">
        <f>IF(BL61=0,"",IF((COUNTIFS(Investments_Clean!$A$2:$A$150,A61,Investments_Clean!$D$2:$D$150,"Corporate",Investments_Clean!$F$2:$F$150,"Accepted"))&gt;0,1,0))</f>
        <v/>
      </c>
      <c r="BQ61" s="4" t="str">
        <f>IF(BL61=0,"",IF((COUNTIFS(Investments_Clean!$A$2:$A$150,A61,Investments_Clean!$D$2:$D$150,"Government",Investments_Clean!$F$2:$F$150,"Accepted"))&gt;0,1,0))</f>
        <v/>
      </c>
      <c r="BR61" s="4" t="str">
        <f>IF(BL61=0,"",IF((COUNTIFS(Investments_Clean!$A$2:$A$150,A61,Investments_Clean!$D$2:$D$150,"Grant/Philanthropic",Investments_Clean!$F$2:$F$150,"Accepted")+COUNTIFS(Investments_Clean!$A$2:$A$150,A61,Investments_Clean!$D$2:$D$150,"DFI/Impact",Investments_Clean!$F$2:$F$150,"Accepted"))&gt;0,1,0))</f>
        <v/>
      </c>
      <c r="BS61" s="4"/>
      <c r="BT61" s="4"/>
      <c r="BU61" s="4"/>
      <c r="BV61" s="7"/>
      <c r="BW61" s="4"/>
      <c r="BX61" s="4"/>
      <c r="BY61" s="7"/>
      <c r="BZ61" s="4"/>
      <c r="CA61" s="4">
        <v>0</v>
      </c>
      <c r="CB61" s="4"/>
      <c r="CC61" s="4">
        <f>IF(I61="","",IFERROR(IF(INDEX(Macro_Lookup!$B$2:$B$31,MATCH(I61,Macro_Lookup!$A$2:$A$31,0))="","",INDEX(Macro_Lookup!$B$2:$B$31,MATCH(I61,Macro_Lookup!$A$2:$A$31,0))),""))</f>
        <v>7.32</v>
      </c>
      <c r="CD61" s="4">
        <f>IF(I61="","",IFERROR(IF(INDEX(Macro_Lookup!$C$2:$C$31,MATCH(I61,Macro_Lookup!$A$2:$A$31,0))="","",INDEX(Macro_Lookup!$C$2:$C$31,MATCH(I61,Macro_Lookup!$A$2:$A$31,0))),""))</f>
        <v>5.54</v>
      </c>
      <c r="CE61" s="4" t="str">
        <f>IF(BJ61="","",IFERROR(IF(INDEX(Macro_Lookup!$B$2:$B$31,MATCH(BJ61,Macro_Lookup!$A$2:$A$31,0))="","",INDEX(Macro_Lookup!$B$2:$B$31,MATCH(BJ61,Macro_Lookup!$A$2:$A$31,0))),""))</f>
        <v/>
      </c>
      <c r="CF61" s="4" t="str">
        <f>IF(BJ61="","",IFERROR(IF(INDEX(Macro_Lookup!$C$2:$C$31,MATCH(BJ61,Macro_Lookup!$A$2:$A$31,0))="","",INDEX(Macro_Lookup!$C$2:$C$31,MATCH(BJ61,Macro_Lookup!$A$2:$A$31,0))),""))</f>
        <v/>
      </c>
      <c r="CG61" s="4">
        <v>8</v>
      </c>
    </row>
    <row r="62" spans="1:85" x14ac:dyDescent="0.3">
      <c r="A62" s="4" t="s">
        <v>363</v>
      </c>
      <c r="B62" s="4" t="s">
        <v>364</v>
      </c>
      <c r="C62" s="4" t="s">
        <v>87</v>
      </c>
      <c r="D62" s="4" t="s">
        <v>88</v>
      </c>
      <c r="E62" s="4">
        <v>0</v>
      </c>
      <c r="F62" s="4" t="s">
        <v>89</v>
      </c>
      <c r="G62" s="4"/>
      <c r="H62" s="4"/>
      <c r="I62" s="5">
        <v>2024</v>
      </c>
      <c r="J62" s="4">
        <v>2</v>
      </c>
      <c r="K62" s="4" t="s">
        <v>129</v>
      </c>
      <c r="L62" s="6">
        <v>46295</v>
      </c>
      <c r="M62" s="4">
        <f t="shared" si="6"/>
        <v>31</v>
      </c>
      <c r="N62" s="4">
        <f t="shared" si="7"/>
        <v>2.58</v>
      </c>
      <c r="O62" s="4" t="s">
        <v>365</v>
      </c>
      <c r="P62" s="4" t="s">
        <v>323</v>
      </c>
      <c r="Q62" s="4" t="s">
        <v>366</v>
      </c>
      <c r="R62" s="4">
        <v>0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 t="s">
        <v>367</v>
      </c>
      <c r="Y62" s="4">
        <v>2</v>
      </c>
      <c r="Z62" s="4">
        <v>1</v>
      </c>
      <c r="AA62" s="4">
        <v>1</v>
      </c>
      <c r="AB62" s="4" t="s">
        <v>368</v>
      </c>
      <c r="AC62" s="4"/>
      <c r="AD62" s="7"/>
      <c r="AE62" s="4"/>
      <c r="AF62" s="4">
        <f>IF(SUMIF(Founders_Clean!$A$2:$A$159,A62,Founders_Clean!$C$2:$C$159)=0,"",SUMIF(Founders_Clean!$A$2:$A$159,A62,Founders_Clean!$C$2:$C$159))</f>
        <v>1</v>
      </c>
      <c r="AG62" s="4">
        <f>IF(AF62="","",SUMIF(Founders_Clean!$A$2:$A$159,A62,Founders_Clean!$D$2:$D$159))</f>
        <v>0</v>
      </c>
      <c r="AH62" s="4">
        <f>IF(AF62="","",SUMIF(Founders_Clean!$A$2:$A$159,A62,Founders_Clean!$E$2:$E$159))</f>
        <v>1</v>
      </c>
      <c r="AI62" s="8">
        <f t="shared" si="8"/>
        <v>1</v>
      </c>
      <c r="AJ62" s="4">
        <f t="shared" si="9"/>
        <v>1</v>
      </c>
      <c r="AK62" s="8">
        <f t="shared" si="10"/>
        <v>0</v>
      </c>
      <c r="AL62" s="4"/>
      <c r="AM62" s="4">
        <v>1</v>
      </c>
      <c r="AN62" s="4" t="s">
        <v>143</v>
      </c>
      <c r="AO62" s="4">
        <v>1</v>
      </c>
      <c r="AP62" s="8">
        <v>1</v>
      </c>
      <c r="AQ62" s="4">
        <v>1</v>
      </c>
      <c r="AR62" s="4">
        <v>7</v>
      </c>
      <c r="AS62" s="4">
        <v>7</v>
      </c>
      <c r="AT62" s="7"/>
      <c r="AU62" s="4"/>
      <c r="AV62" s="4"/>
      <c r="AW62" s="4"/>
      <c r="AX62" s="4" t="s">
        <v>138</v>
      </c>
      <c r="AY62" s="4" t="s">
        <v>100</v>
      </c>
      <c r="AZ62" s="4"/>
      <c r="BA62" s="4">
        <v>0</v>
      </c>
      <c r="BB62" s="4">
        <v>0</v>
      </c>
      <c r="BC62" s="4">
        <v>1</v>
      </c>
      <c r="BD62" s="5">
        <v>2026</v>
      </c>
      <c r="BE62" s="4"/>
      <c r="BF62" s="4">
        <f t="shared" si="11"/>
        <v>29</v>
      </c>
      <c r="BG62" s="4">
        <v>1</v>
      </c>
      <c r="BH62" s="7">
        <v>270000</v>
      </c>
      <c r="BI62" s="4" t="s">
        <v>101</v>
      </c>
      <c r="BJ62" s="5"/>
      <c r="BK62" s="4">
        <v>1</v>
      </c>
      <c r="BL62" s="4">
        <f>COUNTIFS(Investments_Clean!$A$2:$A$150,A62,Investments_Clean!$F$2:$F$150,"Accepted")</f>
        <v>0</v>
      </c>
      <c r="BM62" s="4" t="str">
        <f>IF(BL62=0,"",IF((COUNTIFS(Investments_Clean!$A$2:$A$150,A62,Investments_Clean!$D$2:$D$150,"VC/PE",Investments_Clean!$F$2:$F$150,"Accepted"))&gt;0,1,0))</f>
        <v/>
      </c>
      <c r="BN62" s="4" t="str">
        <f>IF(BL62=0,"",IF((COUNTIFS(Investments_Clean!$A$2:$A$150,A62,Investments_Clean!$D$2:$D$150,"Angel",Investments_Clean!$F$2:$F$150,"Accepted"))&gt;0,1,0))</f>
        <v/>
      </c>
      <c r="BO62" s="4" t="str">
        <f>IF(BL62=0,"",IF((COUNTIFS(Investments_Clean!$A$2:$A$150,A62,Investments_Clean!$D$2:$D$150,"Accelerator",Investments_Clean!$F$2:$F$150,"Accepted"))&gt;0,1,0))</f>
        <v/>
      </c>
      <c r="BP62" s="4" t="str">
        <f>IF(BL62=0,"",IF((COUNTIFS(Investments_Clean!$A$2:$A$150,A62,Investments_Clean!$D$2:$D$150,"Corporate",Investments_Clean!$F$2:$F$150,"Accepted"))&gt;0,1,0))</f>
        <v/>
      </c>
      <c r="BQ62" s="4" t="str">
        <f>IF(BL62=0,"",IF((COUNTIFS(Investments_Clean!$A$2:$A$150,A62,Investments_Clean!$D$2:$D$150,"Government",Investments_Clean!$F$2:$F$150,"Accepted"))&gt;0,1,0))</f>
        <v/>
      </c>
      <c r="BR62" s="4" t="str">
        <f>IF(BL62=0,"",IF((COUNTIFS(Investments_Clean!$A$2:$A$150,A62,Investments_Clean!$D$2:$D$150,"Grant/Philanthropic",Investments_Clean!$F$2:$F$150,"Accepted")+COUNTIFS(Investments_Clean!$A$2:$A$150,A62,Investments_Clean!$D$2:$D$150,"DFI/Impact",Investments_Clean!$F$2:$F$150,"Accepted"))&gt;0,1,0))</f>
        <v/>
      </c>
      <c r="BS62" s="4"/>
      <c r="BT62" s="4">
        <v>59</v>
      </c>
      <c r="BU62" s="4"/>
      <c r="BV62" s="7">
        <v>2500</v>
      </c>
      <c r="BW62" s="4">
        <v>7.5</v>
      </c>
      <c r="BX62" s="4">
        <v>20.8</v>
      </c>
      <c r="BY62" s="7">
        <v>100</v>
      </c>
      <c r="BZ62" s="4"/>
      <c r="CA62" s="4">
        <v>4</v>
      </c>
      <c r="CB62" s="4">
        <v>26.8</v>
      </c>
      <c r="CC62" s="4">
        <f>IF(I62="","",IFERROR(IF(INDEX(Macro_Lookup!$B$2:$B$31,MATCH(I62,Macro_Lookup!$A$2:$A$31,0))="","",INDEX(Macro_Lookup!$B$2:$B$31,MATCH(I62,Macro_Lookup!$A$2:$A$31,0))),""))</f>
        <v>4.22</v>
      </c>
      <c r="CD62" s="4">
        <f>IF(I62="","",IFERROR(IF(INDEX(Macro_Lookup!$C$2:$C$31,MATCH(I62,Macro_Lookup!$A$2:$A$31,0))="","",INDEX(Macro_Lookup!$C$2:$C$31,MATCH(I62,Macro_Lookup!$A$2:$A$31,0))),""))</f>
        <v>9.6999999999999993</v>
      </c>
      <c r="CE62" s="4" t="str">
        <f>IF(BJ62="","",IFERROR(IF(INDEX(Macro_Lookup!$B$2:$B$31,MATCH(BJ62,Macro_Lookup!$A$2:$A$31,0))="","",INDEX(Macro_Lookup!$B$2:$B$31,MATCH(BJ62,Macro_Lookup!$A$2:$A$31,0))),""))</f>
        <v/>
      </c>
      <c r="CF62" s="4" t="str">
        <f>IF(BJ62="","",IFERROR(IF(INDEX(Macro_Lookup!$C$2:$C$31,MATCH(BJ62,Macro_Lookup!$A$2:$A$31,0))="","",INDEX(Macro_Lookup!$C$2:$C$31,MATCH(BJ62,Macro_Lookup!$A$2:$A$31,0))),""))</f>
        <v/>
      </c>
      <c r="CG62" s="4">
        <v>2</v>
      </c>
    </row>
    <row r="63" spans="1:85" x14ac:dyDescent="0.3">
      <c r="A63" s="4" t="s">
        <v>369</v>
      </c>
      <c r="B63" s="4" t="s">
        <v>370</v>
      </c>
      <c r="C63" s="4" t="s">
        <v>87</v>
      </c>
      <c r="D63" s="4" t="s">
        <v>88</v>
      </c>
      <c r="E63" s="4">
        <v>0</v>
      </c>
      <c r="F63" s="4" t="s">
        <v>89</v>
      </c>
      <c r="G63" s="4"/>
      <c r="H63" s="4"/>
      <c r="I63" s="5">
        <v>2023</v>
      </c>
      <c r="J63" s="4">
        <v>7</v>
      </c>
      <c r="K63" s="4" t="s">
        <v>129</v>
      </c>
      <c r="L63" s="6">
        <v>46295</v>
      </c>
      <c r="M63" s="4">
        <f t="shared" si="6"/>
        <v>38</v>
      </c>
      <c r="N63" s="4">
        <f t="shared" si="7"/>
        <v>3.17</v>
      </c>
      <c r="O63" s="4" t="s">
        <v>371</v>
      </c>
      <c r="P63" s="4" t="s">
        <v>323</v>
      </c>
      <c r="Q63" s="4" t="s">
        <v>372</v>
      </c>
      <c r="R63" s="4">
        <v>0</v>
      </c>
      <c r="S63" s="4">
        <v>1</v>
      </c>
      <c r="T63" s="4">
        <v>0</v>
      </c>
      <c r="U63" s="4">
        <v>0</v>
      </c>
      <c r="V63" s="4">
        <v>0</v>
      </c>
      <c r="W63" s="4">
        <v>0</v>
      </c>
      <c r="X63" s="4" t="s">
        <v>373</v>
      </c>
      <c r="Y63" s="4">
        <v>1</v>
      </c>
      <c r="Z63" s="4">
        <v>1</v>
      </c>
      <c r="AA63" s="4">
        <v>1</v>
      </c>
      <c r="AB63" s="4" t="s">
        <v>374</v>
      </c>
      <c r="AC63" s="4"/>
      <c r="AD63" s="7"/>
      <c r="AE63" s="4"/>
      <c r="AF63" s="4">
        <f>IF(SUMIF(Founders_Clean!$A$2:$A$159,A63,Founders_Clean!$C$2:$C$159)=0,"",SUMIF(Founders_Clean!$A$2:$A$159,A63,Founders_Clean!$C$2:$C$159))</f>
        <v>1</v>
      </c>
      <c r="AG63" s="4">
        <f>IF(AF63="","",SUMIF(Founders_Clean!$A$2:$A$159,A63,Founders_Clean!$D$2:$D$159))</f>
        <v>1</v>
      </c>
      <c r="AH63" s="4">
        <f>IF(AF63="","",SUMIF(Founders_Clean!$A$2:$A$159,A63,Founders_Clean!$E$2:$E$159))</f>
        <v>0</v>
      </c>
      <c r="AI63" s="8">
        <f t="shared" si="8"/>
        <v>0</v>
      </c>
      <c r="AJ63" s="4">
        <f t="shared" si="9"/>
        <v>0</v>
      </c>
      <c r="AK63" s="8">
        <f t="shared" si="10"/>
        <v>0</v>
      </c>
      <c r="AL63" s="4"/>
      <c r="AM63" s="4">
        <v>2</v>
      </c>
      <c r="AN63" s="4" t="s">
        <v>96</v>
      </c>
      <c r="AO63" s="4">
        <v>1</v>
      </c>
      <c r="AP63" s="8">
        <v>1</v>
      </c>
      <c r="AQ63" s="4">
        <v>1</v>
      </c>
      <c r="AR63" s="4">
        <v>5</v>
      </c>
      <c r="AS63" s="4">
        <v>5</v>
      </c>
      <c r="AT63" s="7"/>
      <c r="AU63" s="4"/>
      <c r="AV63" s="4"/>
      <c r="AW63" s="4"/>
      <c r="AX63" s="4" t="s">
        <v>99</v>
      </c>
      <c r="AY63" s="4" t="s">
        <v>100</v>
      </c>
      <c r="AZ63" s="4"/>
      <c r="BA63" s="4">
        <v>0</v>
      </c>
      <c r="BB63" s="4">
        <v>0</v>
      </c>
      <c r="BC63" s="4">
        <v>0</v>
      </c>
      <c r="BD63" s="5"/>
      <c r="BE63" s="4"/>
      <c r="BF63" s="4">
        <f t="shared" si="11"/>
        <v>38</v>
      </c>
      <c r="BG63" s="4">
        <v>0</v>
      </c>
      <c r="BH63" s="7">
        <v>0</v>
      </c>
      <c r="BI63" s="4" t="s">
        <v>112</v>
      </c>
      <c r="BJ63" s="5"/>
      <c r="BK63" s="4">
        <v>0</v>
      </c>
      <c r="BL63" s="4">
        <f>COUNTIFS(Investments_Clean!$A$2:$A$150,A63,Investments_Clean!$F$2:$F$150,"Accepted")</f>
        <v>0</v>
      </c>
      <c r="BM63" s="4" t="str">
        <f>IF(BL63=0,"",IF((COUNTIFS(Investments_Clean!$A$2:$A$150,A63,Investments_Clean!$D$2:$D$150,"VC/PE",Investments_Clean!$F$2:$F$150,"Accepted"))&gt;0,1,0))</f>
        <v/>
      </c>
      <c r="BN63" s="4" t="str">
        <f>IF(BL63=0,"",IF((COUNTIFS(Investments_Clean!$A$2:$A$150,A63,Investments_Clean!$D$2:$D$150,"Angel",Investments_Clean!$F$2:$F$150,"Accepted"))&gt;0,1,0))</f>
        <v/>
      </c>
      <c r="BO63" s="4" t="str">
        <f>IF(BL63=0,"",IF((COUNTIFS(Investments_Clean!$A$2:$A$150,A63,Investments_Clean!$D$2:$D$150,"Accelerator",Investments_Clean!$F$2:$F$150,"Accepted"))&gt;0,1,0))</f>
        <v/>
      </c>
      <c r="BP63" s="4" t="str">
        <f>IF(BL63=0,"",IF((COUNTIFS(Investments_Clean!$A$2:$A$150,A63,Investments_Clean!$D$2:$D$150,"Corporate",Investments_Clean!$F$2:$F$150,"Accepted"))&gt;0,1,0))</f>
        <v/>
      </c>
      <c r="BQ63" s="4" t="str">
        <f>IF(BL63=0,"",IF((COUNTIFS(Investments_Clean!$A$2:$A$150,A63,Investments_Clean!$D$2:$D$150,"Government",Investments_Clean!$F$2:$F$150,"Accepted"))&gt;0,1,0))</f>
        <v/>
      </c>
      <c r="BR63" s="4" t="str">
        <f>IF(BL63=0,"",IF((COUNTIFS(Investments_Clean!$A$2:$A$150,A63,Investments_Clean!$D$2:$D$150,"Grant/Philanthropic",Investments_Clean!$F$2:$F$150,"Accepted")+COUNTIFS(Investments_Clean!$A$2:$A$150,A63,Investments_Clean!$D$2:$D$150,"DFI/Impact",Investments_Clean!$F$2:$F$150,"Accepted"))&gt;0,1,0))</f>
        <v/>
      </c>
      <c r="BS63" s="4"/>
      <c r="BT63" s="4"/>
      <c r="BU63" s="4"/>
      <c r="BV63" s="7"/>
      <c r="BW63" s="4">
        <v>2.5</v>
      </c>
      <c r="BX63" s="4">
        <v>42.8</v>
      </c>
      <c r="BY63" s="7"/>
      <c r="BZ63" s="4"/>
      <c r="CA63" s="4">
        <v>2</v>
      </c>
      <c r="CB63" s="4">
        <v>47.5</v>
      </c>
      <c r="CC63" s="4">
        <f>IF(I63="","",IFERROR(IF(INDEX(Macro_Lookup!$B$2:$B$31,MATCH(I63,Macro_Lookup!$A$2:$A$31,0))="","",INDEX(Macro_Lookup!$B$2:$B$31,MATCH(I63,Macro_Lookup!$A$2:$A$31,0))),""))</f>
        <v>5.78</v>
      </c>
      <c r="CD63" s="4">
        <f>IF(I63="","",IFERROR(IF(INDEX(Macro_Lookup!$C$2:$C$31,MATCH(I63,Macro_Lookup!$A$2:$A$31,0))="","",INDEX(Macro_Lookup!$C$2:$C$31,MATCH(I63,Macro_Lookup!$A$2:$A$31,0))),""))</f>
        <v>9.02</v>
      </c>
      <c r="CE63" s="4" t="str">
        <f>IF(BJ63="","",IFERROR(IF(INDEX(Macro_Lookup!$B$2:$B$31,MATCH(BJ63,Macro_Lookup!$A$2:$A$31,0))="","",INDEX(Macro_Lookup!$B$2:$B$31,MATCH(BJ63,Macro_Lookup!$A$2:$A$31,0))),""))</f>
        <v/>
      </c>
      <c r="CF63" s="4" t="str">
        <f>IF(BJ63="","",IFERROR(IF(INDEX(Macro_Lookup!$C$2:$C$31,MATCH(BJ63,Macro_Lookup!$A$2:$A$31,0))="","",INDEX(Macro_Lookup!$C$2:$C$31,MATCH(BJ63,Macro_Lookup!$A$2:$A$31,0))),""))</f>
        <v/>
      </c>
      <c r="CG63" s="4">
        <v>2</v>
      </c>
    </row>
    <row r="64" spans="1:85" x14ac:dyDescent="0.3">
      <c r="A64" s="4" t="s">
        <v>375</v>
      </c>
      <c r="B64" s="4" t="s">
        <v>376</v>
      </c>
      <c r="C64" s="4" t="s">
        <v>87</v>
      </c>
      <c r="D64" s="4" t="s">
        <v>88</v>
      </c>
      <c r="E64" s="4">
        <v>0</v>
      </c>
      <c r="F64" s="4" t="s">
        <v>89</v>
      </c>
      <c r="G64" s="4"/>
      <c r="H64" s="4"/>
      <c r="I64" s="5">
        <v>2018</v>
      </c>
      <c r="J64" s="4"/>
      <c r="K64" s="4" t="s">
        <v>90</v>
      </c>
      <c r="L64" s="6">
        <v>46295</v>
      </c>
      <c r="M64" s="4">
        <f t="shared" si="6"/>
        <v>104</v>
      </c>
      <c r="N64" s="4">
        <f t="shared" si="7"/>
        <v>8.67</v>
      </c>
      <c r="O64" s="4" t="s">
        <v>328</v>
      </c>
      <c r="P64" s="4" t="s">
        <v>323</v>
      </c>
      <c r="Q64" s="4" t="s">
        <v>377</v>
      </c>
      <c r="R64" s="4">
        <v>1</v>
      </c>
      <c r="S64" s="4">
        <v>1</v>
      </c>
      <c r="T64" s="4">
        <v>0</v>
      </c>
      <c r="U64" s="4">
        <v>1</v>
      </c>
      <c r="V64" s="4">
        <v>0</v>
      </c>
      <c r="W64" s="4">
        <v>0</v>
      </c>
      <c r="X64" s="4" t="s">
        <v>378</v>
      </c>
      <c r="Y64" s="4">
        <v>3</v>
      </c>
      <c r="Z64" s="4">
        <v>1</v>
      </c>
      <c r="AA64" s="4"/>
      <c r="AB64" s="4"/>
      <c r="AC64" s="4"/>
      <c r="AD64" s="7"/>
      <c r="AE64" s="4"/>
      <c r="AF64" s="4">
        <f>IF(SUMIF(Founders_Clean!$A$2:$A$159,A64,Founders_Clean!$C$2:$C$159)=0,"",SUMIF(Founders_Clean!$A$2:$A$159,A64,Founders_Clean!$C$2:$C$159))</f>
        <v>2</v>
      </c>
      <c r="AG64" s="4">
        <f>IF(AF64="","",SUMIF(Founders_Clean!$A$2:$A$159,A64,Founders_Clean!$D$2:$D$159))</f>
        <v>0</v>
      </c>
      <c r="AH64" s="4">
        <f>IF(AF64="","",SUMIF(Founders_Clean!$A$2:$A$159,A64,Founders_Clean!$E$2:$E$159))</f>
        <v>2</v>
      </c>
      <c r="AI64" s="8">
        <f t="shared" si="8"/>
        <v>1</v>
      </c>
      <c r="AJ64" s="4">
        <f t="shared" si="9"/>
        <v>1</v>
      </c>
      <c r="AK64" s="8">
        <f t="shared" si="10"/>
        <v>0</v>
      </c>
      <c r="AL64" s="4"/>
      <c r="AM64" s="4">
        <v>2</v>
      </c>
      <c r="AN64" s="4" t="s">
        <v>96</v>
      </c>
      <c r="AO64" s="4">
        <v>1</v>
      </c>
      <c r="AP64" s="8">
        <v>0.5</v>
      </c>
      <c r="AQ64" s="4">
        <v>1</v>
      </c>
      <c r="AR64" s="4">
        <v>30</v>
      </c>
      <c r="AS64" s="4">
        <v>26.5</v>
      </c>
      <c r="AT64" s="7">
        <v>30.5</v>
      </c>
      <c r="AU64" s="4" t="s">
        <v>157</v>
      </c>
      <c r="AV64" s="4" t="s">
        <v>118</v>
      </c>
      <c r="AW64" s="4"/>
      <c r="AX64" s="4" t="s">
        <v>99</v>
      </c>
      <c r="AY64" s="4" t="s">
        <v>100</v>
      </c>
      <c r="AZ64" s="4"/>
      <c r="BA64" s="4">
        <v>0</v>
      </c>
      <c r="BB64" s="4">
        <v>0</v>
      </c>
      <c r="BC64" s="4">
        <v>0</v>
      </c>
      <c r="BD64" s="5"/>
      <c r="BE64" s="4"/>
      <c r="BF64" s="4">
        <f t="shared" si="11"/>
        <v>104</v>
      </c>
      <c r="BG64" s="4">
        <v>1</v>
      </c>
      <c r="BH64" s="7"/>
      <c r="BI64" s="4"/>
      <c r="BJ64" s="5"/>
      <c r="BK64" s="4">
        <v>1</v>
      </c>
      <c r="BL64" s="4">
        <f>COUNTIFS(Investments_Clean!$A$2:$A$150,A64,Investments_Clean!$F$2:$F$150,"Accepted")</f>
        <v>1</v>
      </c>
      <c r="BM64" s="4">
        <f>IF(BL64=0,"",IF((COUNTIFS(Investments_Clean!$A$2:$A$150,A64,Investments_Clean!$D$2:$D$150,"VC/PE",Investments_Clean!$F$2:$F$150,"Accepted"))&gt;0,1,0))</f>
        <v>1</v>
      </c>
      <c r="BN64" s="4">
        <f>IF(BL64=0,"",IF((COUNTIFS(Investments_Clean!$A$2:$A$150,A64,Investments_Clean!$D$2:$D$150,"Angel",Investments_Clean!$F$2:$F$150,"Accepted"))&gt;0,1,0))</f>
        <v>0</v>
      </c>
      <c r="BO64" s="4">
        <f>IF(BL64=0,"",IF((COUNTIFS(Investments_Clean!$A$2:$A$150,A64,Investments_Clean!$D$2:$D$150,"Accelerator",Investments_Clean!$F$2:$F$150,"Accepted"))&gt;0,1,0))</f>
        <v>0</v>
      </c>
      <c r="BP64" s="4">
        <f>IF(BL64=0,"",IF((COUNTIFS(Investments_Clean!$A$2:$A$150,A64,Investments_Clean!$D$2:$D$150,"Corporate",Investments_Clean!$F$2:$F$150,"Accepted"))&gt;0,1,0))</f>
        <v>0</v>
      </c>
      <c r="BQ64" s="4">
        <f>IF(BL64=0,"",IF((COUNTIFS(Investments_Clean!$A$2:$A$150,A64,Investments_Clean!$D$2:$D$150,"Government",Investments_Clean!$F$2:$F$150,"Accepted"))&gt;0,1,0))</f>
        <v>0</v>
      </c>
      <c r="BR64" s="4">
        <f>IF(BL64=0,"",IF((COUNTIFS(Investments_Clean!$A$2:$A$150,A64,Investments_Clean!$D$2:$D$150,"Grant/Philanthropic",Investments_Clean!$F$2:$F$150,"Accepted")+COUNTIFS(Investments_Clean!$A$2:$A$150,A64,Investments_Clean!$D$2:$D$150,"DFI/Impact",Investments_Clean!$F$2:$F$150,"Accepted"))&gt;0,1,0))</f>
        <v>0</v>
      </c>
      <c r="BS64" s="4"/>
      <c r="BT64" s="4"/>
      <c r="BU64" s="4"/>
      <c r="BV64" s="7">
        <v>5000</v>
      </c>
      <c r="BW64" s="4">
        <v>7.5</v>
      </c>
      <c r="BX64" s="4">
        <v>16.600000000000001</v>
      </c>
      <c r="BY64" s="7"/>
      <c r="BZ64" s="4">
        <v>4</v>
      </c>
      <c r="CA64" s="4">
        <v>3</v>
      </c>
      <c r="CB64" s="4">
        <v>33.299999999999997</v>
      </c>
      <c r="CC64" s="4">
        <f>IF(I64="","",IFERROR(IF(INDEX(Macro_Lookup!$B$2:$B$31,MATCH(I64,Macro_Lookup!$A$2:$A$31,0))="","",INDEX(Macro_Lookup!$B$2:$B$31,MATCH(I64,Macro_Lookup!$A$2:$A$31,0))),""))</f>
        <v>7.32</v>
      </c>
      <c r="CD64" s="4">
        <f>IF(I64="","",IFERROR(IF(INDEX(Macro_Lookup!$C$2:$C$31,MATCH(I64,Macro_Lookup!$A$2:$A$31,0))="","",INDEX(Macro_Lookup!$C$2:$C$31,MATCH(I64,Macro_Lookup!$A$2:$A$31,0))),""))</f>
        <v>5.54</v>
      </c>
      <c r="CE64" s="4" t="str">
        <f>IF(BJ64="","",IFERROR(IF(INDEX(Macro_Lookup!$B$2:$B$31,MATCH(BJ64,Macro_Lookup!$A$2:$A$31,0))="","",INDEX(Macro_Lookup!$B$2:$B$31,MATCH(BJ64,Macro_Lookup!$A$2:$A$31,0))),""))</f>
        <v/>
      </c>
      <c r="CF64" s="4" t="str">
        <f>IF(BJ64="","",IFERROR(IF(INDEX(Macro_Lookup!$C$2:$C$31,MATCH(BJ64,Macro_Lookup!$A$2:$A$31,0))="","",INDEX(Macro_Lookup!$C$2:$C$31,MATCH(BJ64,Macro_Lookup!$A$2:$A$31,0))),""))</f>
        <v/>
      </c>
      <c r="CG64" s="4">
        <v>2</v>
      </c>
    </row>
    <row r="65" spans="1:85" x14ac:dyDescent="0.3">
      <c r="A65" s="4" t="s">
        <v>379</v>
      </c>
      <c r="B65" s="4" t="s">
        <v>380</v>
      </c>
      <c r="C65" s="4" t="s">
        <v>87</v>
      </c>
      <c r="D65" s="4" t="s">
        <v>88</v>
      </c>
      <c r="E65" s="4">
        <v>0</v>
      </c>
      <c r="F65" s="4" t="s">
        <v>89</v>
      </c>
      <c r="G65" s="4"/>
      <c r="H65" s="4"/>
      <c r="I65" s="5">
        <v>2016</v>
      </c>
      <c r="J65" s="4">
        <v>12</v>
      </c>
      <c r="K65" s="4" t="s">
        <v>129</v>
      </c>
      <c r="L65" s="6">
        <v>46295</v>
      </c>
      <c r="M65" s="4">
        <f t="shared" si="6"/>
        <v>117</v>
      </c>
      <c r="N65" s="4">
        <f t="shared" si="7"/>
        <v>9.75</v>
      </c>
      <c r="O65" s="4" t="s">
        <v>381</v>
      </c>
      <c r="P65" s="4" t="s">
        <v>323</v>
      </c>
      <c r="Q65" s="4" t="s">
        <v>382</v>
      </c>
      <c r="R65" s="4">
        <v>0</v>
      </c>
      <c r="S65" s="4">
        <v>1</v>
      </c>
      <c r="T65" s="4">
        <v>1</v>
      </c>
      <c r="U65" s="4">
        <v>0</v>
      </c>
      <c r="V65" s="4">
        <v>0</v>
      </c>
      <c r="W65" s="4">
        <v>1</v>
      </c>
      <c r="X65" s="4" t="s">
        <v>378</v>
      </c>
      <c r="Y65" s="4">
        <v>3</v>
      </c>
      <c r="Z65" s="4">
        <v>1</v>
      </c>
      <c r="AA65" s="4">
        <v>0</v>
      </c>
      <c r="AB65" s="4" t="s">
        <v>383</v>
      </c>
      <c r="AC65" s="4"/>
      <c r="AD65" s="7"/>
      <c r="AE65" s="4"/>
      <c r="AF65" s="4">
        <f>IF(SUMIF(Founders_Clean!$A$2:$A$159,A65,Founders_Clean!$C$2:$C$159)=0,"",SUMIF(Founders_Clean!$A$2:$A$159,A65,Founders_Clean!$C$2:$C$159))</f>
        <v>1</v>
      </c>
      <c r="AG65" s="4">
        <f>IF(AF65="","",SUMIF(Founders_Clean!$A$2:$A$159,A65,Founders_Clean!$D$2:$D$159))</f>
        <v>1</v>
      </c>
      <c r="AH65" s="4">
        <f>IF(AF65="","",SUMIF(Founders_Clean!$A$2:$A$159,A65,Founders_Clean!$E$2:$E$159))</f>
        <v>0</v>
      </c>
      <c r="AI65" s="8">
        <f t="shared" si="8"/>
        <v>0</v>
      </c>
      <c r="AJ65" s="4">
        <f t="shared" si="9"/>
        <v>0</v>
      </c>
      <c r="AK65" s="8">
        <f t="shared" si="10"/>
        <v>0</v>
      </c>
      <c r="AL65" s="4"/>
      <c r="AM65" s="4">
        <v>2</v>
      </c>
      <c r="AN65" s="4" t="s">
        <v>96</v>
      </c>
      <c r="AO65" s="4">
        <v>0</v>
      </c>
      <c r="AP65" s="8">
        <v>0</v>
      </c>
      <c r="AQ65" s="4">
        <v>1</v>
      </c>
      <c r="AR65" s="4">
        <v>15</v>
      </c>
      <c r="AS65" s="4">
        <v>15</v>
      </c>
      <c r="AT65" s="7"/>
      <c r="AU65" s="4"/>
      <c r="AV65" s="4"/>
      <c r="AW65" s="4"/>
      <c r="AX65" s="4" t="s">
        <v>258</v>
      </c>
      <c r="AY65" s="4" t="s">
        <v>259</v>
      </c>
      <c r="AZ65" s="4" t="s">
        <v>384</v>
      </c>
      <c r="BA65" s="4"/>
      <c r="BB65" s="4">
        <v>0</v>
      </c>
      <c r="BC65" s="4"/>
      <c r="BD65" s="5"/>
      <c r="BE65" s="4"/>
      <c r="BF65" s="4" t="str">
        <f t="shared" si="11"/>
        <v/>
      </c>
      <c r="BG65" s="4"/>
      <c r="BH65" s="7"/>
      <c r="BI65" s="4"/>
      <c r="BJ65" s="5"/>
      <c r="BK65" s="4"/>
      <c r="BL65" s="4">
        <f>COUNTIFS(Investments_Clean!$A$2:$A$150,A65,Investments_Clean!$F$2:$F$150,"Accepted")</f>
        <v>0</v>
      </c>
      <c r="BM65" s="4" t="str">
        <f>IF(BL65=0,"",IF((COUNTIFS(Investments_Clean!$A$2:$A$150,A65,Investments_Clean!$D$2:$D$150,"VC/PE",Investments_Clean!$F$2:$F$150,"Accepted"))&gt;0,1,0))</f>
        <v/>
      </c>
      <c r="BN65" s="4" t="str">
        <f>IF(BL65=0,"",IF((COUNTIFS(Investments_Clean!$A$2:$A$150,A65,Investments_Clean!$D$2:$D$150,"Angel",Investments_Clean!$F$2:$F$150,"Accepted"))&gt;0,1,0))</f>
        <v/>
      </c>
      <c r="BO65" s="4" t="str">
        <f>IF(BL65=0,"",IF((COUNTIFS(Investments_Clean!$A$2:$A$150,A65,Investments_Clean!$D$2:$D$150,"Accelerator",Investments_Clean!$F$2:$F$150,"Accepted"))&gt;0,1,0))</f>
        <v/>
      </c>
      <c r="BP65" s="4" t="str">
        <f>IF(BL65=0,"",IF((COUNTIFS(Investments_Clean!$A$2:$A$150,A65,Investments_Clean!$D$2:$D$150,"Corporate",Investments_Clean!$F$2:$F$150,"Accepted"))&gt;0,1,0))</f>
        <v/>
      </c>
      <c r="BQ65" s="4" t="str">
        <f>IF(BL65=0,"",IF((COUNTIFS(Investments_Clean!$A$2:$A$150,A65,Investments_Clean!$D$2:$D$150,"Government",Investments_Clean!$F$2:$F$150,"Accepted"))&gt;0,1,0))</f>
        <v/>
      </c>
      <c r="BR65" s="4" t="str">
        <f>IF(BL65=0,"",IF((COUNTIFS(Investments_Clean!$A$2:$A$150,A65,Investments_Clean!$D$2:$D$150,"Grant/Philanthropic",Investments_Clean!$F$2:$F$150,"Accepted")+COUNTIFS(Investments_Clean!$A$2:$A$150,A65,Investments_Clean!$D$2:$D$150,"DFI/Impact",Investments_Clean!$F$2:$F$150,"Accepted"))&gt;0,1,0))</f>
        <v/>
      </c>
      <c r="BS65" s="4"/>
      <c r="BT65" s="4"/>
      <c r="BU65" s="4"/>
      <c r="BV65" s="7">
        <v>1000</v>
      </c>
      <c r="BW65" s="4">
        <v>7.5</v>
      </c>
      <c r="BX65" s="4">
        <v>0</v>
      </c>
      <c r="BY65" s="7"/>
      <c r="BZ65" s="4"/>
      <c r="CA65" s="4">
        <v>3</v>
      </c>
      <c r="CB65" s="4">
        <v>10</v>
      </c>
      <c r="CC65" s="4">
        <f>IF(I65="","",IFERROR(IF(INDEX(Macro_Lookup!$B$2:$B$31,MATCH(I65,Macro_Lookup!$A$2:$A$31,0))="","",INDEX(Macro_Lookup!$B$2:$B$31,MATCH(I65,Macro_Lookup!$A$2:$A$31,0))),""))</f>
        <v>7.11</v>
      </c>
      <c r="CD65" s="4">
        <f>IF(I65="","",IFERROR(IF(INDEX(Macro_Lookup!$C$2:$C$31,MATCH(I65,Macro_Lookup!$A$2:$A$31,0))="","",INDEX(Macro_Lookup!$C$2:$C$31,MATCH(I65,Macro_Lookup!$A$2:$A$31,0))),""))</f>
        <v>5.51</v>
      </c>
      <c r="CE65" s="4" t="str">
        <f>IF(BJ65="","",IFERROR(IF(INDEX(Macro_Lookup!$B$2:$B$31,MATCH(BJ65,Macro_Lookup!$A$2:$A$31,0))="","",INDEX(Macro_Lookup!$B$2:$B$31,MATCH(BJ65,Macro_Lookup!$A$2:$A$31,0))),""))</f>
        <v/>
      </c>
      <c r="CF65" s="4" t="str">
        <f>IF(BJ65="","",IFERROR(IF(INDEX(Macro_Lookup!$C$2:$C$31,MATCH(BJ65,Macro_Lookup!$A$2:$A$31,0))="","",INDEX(Macro_Lookup!$C$2:$C$31,MATCH(BJ65,Macro_Lookup!$A$2:$A$31,0))),""))</f>
        <v/>
      </c>
      <c r="CG65" s="4">
        <v>5</v>
      </c>
    </row>
    <row r="66" spans="1:85" x14ac:dyDescent="0.3">
      <c r="A66" s="4" t="s">
        <v>385</v>
      </c>
      <c r="B66" s="4" t="s">
        <v>386</v>
      </c>
      <c r="C66" s="4" t="s">
        <v>87</v>
      </c>
      <c r="D66" s="4" t="s">
        <v>88</v>
      </c>
      <c r="E66" s="4">
        <v>0</v>
      </c>
      <c r="F66" s="4" t="s">
        <v>89</v>
      </c>
      <c r="G66" s="4"/>
      <c r="H66" s="4"/>
      <c r="I66" s="5">
        <v>2017</v>
      </c>
      <c r="J66" s="4">
        <v>1</v>
      </c>
      <c r="K66" s="4" t="s">
        <v>129</v>
      </c>
      <c r="L66" s="6">
        <v>46295</v>
      </c>
      <c r="M66" s="4">
        <f t="shared" ref="M66:M97" si="12">IF(I66="","",(YEAR(L66)-I66)*12+MONTH(L66)-IF(J66="",1,J66))</f>
        <v>116</v>
      </c>
      <c r="N66" s="4">
        <f t="shared" ref="N66:N97" si="13">IF(M66="","",ROUND(M66/12,2))</f>
        <v>9.67</v>
      </c>
      <c r="O66" s="4" t="s">
        <v>328</v>
      </c>
      <c r="P66" s="4" t="s">
        <v>323</v>
      </c>
      <c r="Q66" s="4" t="s">
        <v>387</v>
      </c>
      <c r="R66" s="4">
        <v>1</v>
      </c>
      <c r="S66" s="4">
        <v>1</v>
      </c>
      <c r="T66" s="4">
        <v>0</v>
      </c>
      <c r="U66" s="4">
        <v>0</v>
      </c>
      <c r="V66" s="4">
        <v>0</v>
      </c>
      <c r="W66" s="4">
        <v>0</v>
      </c>
      <c r="X66" s="4" t="s">
        <v>378</v>
      </c>
      <c r="Y66" s="4">
        <v>3</v>
      </c>
      <c r="Z66" s="4">
        <v>1</v>
      </c>
      <c r="AA66" s="4">
        <v>1</v>
      </c>
      <c r="AB66" s="4" t="s">
        <v>388</v>
      </c>
      <c r="AC66" s="4">
        <v>1</v>
      </c>
      <c r="AD66" s="7">
        <v>100000</v>
      </c>
      <c r="AE66" s="4" t="s">
        <v>95</v>
      </c>
      <c r="AF66" s="4">
        <f>IF(SUMIF(Founders_Clean!$A$2:$A$159,A66,Founders_Clean!$C$2:$C$159)=0,"",SUMIF(Founders_Clean!$A$2:$A$159,A66,Founders_Clean!$C$2:$C$159))</f>
        <v>2</v>
      </c>
      <c r="AG66" s="4">
        <f>IF(AF66="","",SUMIF(Founders_Clean!$A$2:$A$159,A66,Founders_Clean!$D$2:$D$159))</f>
        <v>2</v>
      </c>
      <c r="AH66" s="4">
        <f>IF(AF66="","",SUMIF(Founders_Clean!$A$2:$A$159,A66,Founders_Clean!$E$2:$E$159))</f>
        <v>0</v>
      </c>
      <c r="AI66" s="8">
        <f t="shared" ref="AI66:AI97" si="14">IF(AF66="","",IF((AG66+AH66)=0,"",AH66/(AG66+AH66)))</f>
        <v>0</v>
      </c>
      <c r="AJ66" s="4">
        <f t="shared" ref="AJ66:AJ97" si="15">IF(AI66="","",IF(AH66&gt;0,1,0))</f>
        <v>0</v>
      </c>
      <c r="AK66" s="8">
        <f t="shared" ref="AK66:AK101" si="16">IF(AI66="","",ROUND(1-(AI66^2+(1-AI66)^2),3))</f>
        <v>0</v>
      </c>
      <c r="AL66" s="4"/>
      <c r="AM66" s="4">
        <v>2</v>
      </c>
      <c r="AN66" s="4" t="s">
        <v>96</v>
      </c>
      <c r="AO66" s="4">
        <v>1</v>
      </c>
      <c r="AP66" s="8">
        <v>1</v>
      </c>
      <c r="AQ66" s="4">
        <v>1</v>
      </c>
      <c r="AR66" s="4">
        <v>20</v>
      </c>
      <c r="AS66" s="4">
        <v>16</v>
      </c>
      <c r="AT66" s="7">
        <v>30.5</v>
      </c>
      <c r="AU66" s="4" t="s">
        <v>157</v>
      </c>
      <c r="AV66" s="4" t="s">
        <v>118</v>
      </c>
      <c r="AW66" s="4"/>
      <c r="AX66" s="4" t="s">
        <v>99</v>
      </c>
      <c r="AY66" s="4" t="s">
        <v>100</v>
      </c>
      <c r="AZ66" s="4"/>
      <c r="BA66" s="4">
        <v>0</v>
      </c>
      <c r="BB66" s="4">
        <v>0</v>
      </c>
      <c r="BC66" s="4">
        <v>0</v>
      </c>
      <c r="BD66" s="5"/>
      <c r="BE66" s="4"/>
      <c r="BF66" s="4">
        <f t="shared" ref="BF66:BF97" si="17">IF(OR(I66="",BC66=""),"",IF(BC66=1,(BD66-I66)*12+IF(BE66="",7,BE66)-IF(J66="",1,J66),M66))</f>
        <v>116</v>
      </c>
      <c r="BG66" s="4">
        <v>1</v>
      </c>
      <c r="BH66" s="7">
        <v>100000</v>
      </c>
      <c r="BI66" s="4" t="s">
        <v>101</v>
      </c>
      <c r="BJ66" s="5"/>
      <c r="BK66" s="4">
        <v>1</v>
      </c>
      <c r="BL66" s="4">
        <f>COUNTIFS(Investments_Clean!$A$2:$A$150,A66,Investments_Clean!$F$2:$F$150,"Accepted")</f>
        <v>1</v>
      </c>
      <c r="BM66" s="4">
        <f>IF(BL66=0,"",IF((COUNTIFS(Investments_Clean!$A$2:$A$150,A66,Investments_Clean!$D$2:$D$150,"VC/PE",Investments_Clean!$F$2:$F$150,"Accepted"))&gt;0,1,0))</f>
        <v>0</v>
      </c>
      <c r="BN66" s="4">
        <f>IF(BL66=0,"",IF((COUNTIFS(Investments_Clean!$A$2:$A$150,A66,Investments_Clean!$D$2:$D$150,"Angel",Investments_Clean!$F$2:$F$150,"Accepted"))&gt;0,1,0))</f>
        <v>0</v>
      </c>
      <c r="BO66" s="4">
        <f>IF(BL66=0,"",IF((COUNTIFS(Investments_Clean!$A$2:$A$150,A66,Investments_Clean!$D$2:$D$150,"Accelerator",Investments_Clean!$F$2:$F$150,"Accepted"))&gt;0,1,0))</f>
        <v>0</v>
      </c>
      <c r="BP66" s="4">
        <f>IF(BL66=0,"",IF((COUNTIFS(Investments_Clean!$A$2:$A$150,A66,Investments_Clean!$D$2:$D$150,"Corporate",Investments_Clean!$F$2:$F$150,"Accepted"))&gt;0,1,0))</f>
        <v>0</v>
      </c>
      <c r="BQ66" s="4">
        <f>IF(BL66=0,"",IF((COUNTIFS(Investments_Clean!$A$2:$A$150,A66,Investments_Clean!$D$2:$D$150,"Government",Investments_Clean!$F$2:$F$150,"Accepted"))&gt;0,1,0))</f>
        <v>1</v>
      </c>
      <c r="BR66" s="4">
        <f>IF(BL66=0,"",IF((COUNTIFS(Investments_Clean!$A$2:$A$150,A66,Investments_Clean!$D$2:$D$150,"Grant/Philanthropic",Investments_Clean!$F$2:$F$150,"Accepted")+COUNTIFS(Investments_Clean!$A$2:$A$150,A66,Investments_Clean!$D$2:$D$150,"DFI/Impact",Investments_Clean!$F$2:$F$150,"Accepted"))&gt;0,1,0))</f>
        <v>0</v>
      </c>
      <c r="BS66" s="4"/>
      <c r="BT66" s="4">
        <v>140</v>
      </c>
      <c r="BU66" s="4"/>
      <c r="BV66" s="7">
        <v>17500</v>
      </c>
      <c r="BW66" s="4">
        <v>32.5</v>
      </c>
      <c r="BX66" s="4">
        <v>32.4</v>
      </c>
      <c r="BY66" s="7">
        <v>1000</v>
      </c>
      <c r="BZ66" s="4">
        <v>4.5999999999999996</v>
      </c>
      <c r="CA66" s="4">
        <v>4</v>
      </c>
      <c r="CB66" s="4">
        <v>57.4</v>
      </c>
      <c r="CC66" s="4">
        <f>IF(I66="","",IFERROR(IF(INDEX(Macro_Lookup!$B$2:$B$31,MATCH(I66,Macro_Lookup!$A$2:$A$31,0))="","",INDEX(Macro_Lookup!$B$2:$B$31,MATCH(I66,Macro_Lookup!$A$2:$A$31,0))),""))</f>
        <v>6.59</v>
      </c>
      <c r="CD66" s="4">
        <f>IF(I66="","",IFERROR(IF(INDEX(Macro_Lookup!$C$2:$C$31,MATCH(I66,Macro_Lookup!$A$2:$A$31,0))="","",INDEX(Macro_Lookup!$C$2:$C$31,MATCH(I66,Macro_Lookup!$A$2:$A$31,0))),""))</f>
        <v>5.7</v>
      </c>
      <c r="CE66" s="4" t="str">
        <f>IF(BJ66="","",IFERROR(IF(INDEX(Macro_Lookup!$B$2:$B$31,MATCH(BJ66,Macro_Lookup!$A$2:$A$31,0))="","",INDEX(Macro_Lookup!$B$2:$B$31,MATCH(BJ66,Macro_Lookup!$A$2:$A$31,0))),""))</f>
        <v/>
      </c>
      <c r="CF66" s="4" t="str">
        <f>IF(BJ66="","",IFERROR(IF(INDEX(Macro_Lookup!$C$2:$C$31,MATCH(BJ66,Macro_Lookup!$A$2:$A$31,0))="","",INDEX(Macro_Lookup!$C$2:$C$31,MATCH(BJ66,Macro_Lookup!$A$2:$A$31,0))),""))</f>
        <v/>
      </c>
      <c r="CG66" s="4">
        <v>0</v>
      </c>
    </row>
    <row r="67" spans="1:85" x14ac:dyDescent="0.3">
      <c r="A67" s="4" t="s">
        <v>389</v>
      </c>
      <c r="B67" s="4" t="s">
        <v>390</v>
      </c>
      <c r="C67" s="4" t="s">
        <v>87</v>
      </c>
      <c r="D67" s="4" t="s">
        <v>88</v>
      </c>
      <c r="E67" s="4">
        <v>0</v>
      </c>
      <c r="F67" s="4" t="s">
        <v>89</v>
      </c>
      <c r="G67" s="4"/>
      <c r="H67" s="4"/>
      <c r="I67" s="5">
        <v>2016</v>
      </c>
      <c r="J67" s="4">
        <v>9</v>
      </c>
      <c r="K67" s="4" t="s">
        <v>129</v>
      </c>
      <c r="L67" s="6">
        <v>46295</v>
      </c>
      <c r="M67" s="4">
        <f t="shared" si="12"/>
        <v>120</v>
      </c>
      <c r="N67" s="4">
        <f t="shared" si="13"/>
        <v>10</v>
      </c>
      <c r="O67" s="4" t="s">
        <v>323</v>
      </c>
      <c r="P67" s="4" t="s">
        <v>323</v>
      </c>
      <c r="Q67" s="4" t="s">
        <v>391</v>
      </c>
      <c r="R67" s="4">
        <v>1</v>
      </c>
      <c r="S67" s="4">
        <v>0</v>
      </c>
      <c r="T67" s="4">
        <v>0</v>
      </c>
      <c r="U67" s="4">
        <v>1</v>
      </c>
      <c r="V67" s="4">
        <v>1</v>
      </c>
      <c r="W67" s="4">
        <v>0</v>
      </c>
      <c r="X67" s="4" t="s">
        <v>378</v>
      </c>
      <c r="Y67" s="4">
        <v>3</v>
      </c>
      <c r="Z67" s="4">
        <v>1</v>
      </c>
      <c r="AA67" s="4">
        <v>1</v>
      </c>
      <c r="AB67" s="4" t="s">
        <v>392</v>
      </c>
      <c r="AC67" s="4">
        <v>1</v>
      </c>
      <c r="AD67" s="7">
        <v>14600</v>
      </c>
      <c r="AE67" s="4" t="s">
        <v>95</v>
      </c>
      <c r="AF67" s="4">
        <f>IF(SUMIF(Founders_Clean!$A$2:$A$159,A67,Founders_Clean!$C$2:$C$159)=0,"",SUMIF(Founders_Clean!$A$2:$A$159,A67,Founders_Clean!$C$2:$C$159))</f>
        <v>1</v>
      </c>
      <c r="AG67" s="4">
        <f>IF(AF67="","",SUMIF(Founders_Clean!$A$2:$A$159,A67,Founders_Clean!$D$2:$D$159))</f>
        <v>1</v>
      </c>
      <c r="AH67" s="4">
        <f>IF(AF67="","",SUMIF(Founders_Clean!$A$2:$A$159,A67,Founders_Clean!$E$2:$E$159))</f>
        <v>0</v>
      </c>
      <c r="AI67" s="8">
        <f t="shared" si="14"/>
        <v>0</v>
      </c>
      <c r="AJ67" s="4">
        <f t="shared" si="15"/>
        <v>0</v>
      </c>
      <c r="AK67" s="8">
        <f t="shared" si="16"/>
        <v>0</v>
      </c>
      <c r="AL67" s="4"/>
      <c r="AM67" s="4">
        <v>3</v>
      </c>
      <c r="AN67" s="4" t="s">
        <v>116</v>
      </c>
      <c r="AO67" s="4">
        <v>1</v>
      </c>
      <c r="AP67" s="8">
        <v>1</v>
      </c>
      <c r="AQ67" s="4">
        <v>1</v>
      </c>
      <c r="AR67" s="4">
        <v>16</v>
      </c>
      <c r="AS67" s="4">
        <v>16</v>
      </c>
      <c r="AT67" s="7">
        <v>125.5</v>
      </c>
      <c r="AU67" s="4" t="s">
        <v>126</v>
      </c>
      <c r="AV67" s="4" t="s">
        <v>118</v>
      </c>
      <c r="AW67" s="4"/>
      <c r="AX67" s="4" t="s">
        <v>99</v>
      </c>
      <c r="AY67" s="4" t="s">
        <v>100</v>
      </c>
      <c r="AZ67" s="4"/>
      <c r="BA67" s="4">
        <v>0</v>
      </c>
      <c r="BB67" s="4">
        <v>0</v>
      </c>
      <c r="BC67" s="4">
        <v>0</v>
      </c>
      <c r="BD67" s="5"/>
      <c r="BE67" s="4"/>
      <c r="BF67" s="4">
        <f t="shared" si="17"/>
        <v>120</v>
      </c>
      <c r="BG67" s="4">
        <v>1</v>
      </c>
      <c r="BH67" s="7">
        <v>14600</v>
      </c>
      <c r="BI67" s="4" t="s">
        <v>101</v>
      </c>
      <c r="BJ67" s="5">
        <v>2018</v>
      </c>
      <c r="BK67" s="4">
        <v>1</v>
      </c>
      <c r="BL67" s="4">
        <f>COUNTIFS(Investments_Clean!$A$2:$A$150,A67,Investments_Clean!$F$2:$F$150,"Accepted")</f>
        <v>2</v>
      </c>
      <c r="BM67" s="4">
        <f>IF(BL67=0,"",IF((COUNTIFS(Investments_Clean!$A$2:$A$150,A67,Investments_Clean!$D$2:$D$150,"VC/PE",Investments_Clean!$F$2:$F$150,"Accepted"))&gt;0,1,0))</f>
        <v>0</v>
      </c>
      <c r="BN67" s="4">
        <f>IF(BL67=0,"",IF((COUNTIFS(Investments_Clean!$A$2:$A$150,A67,Investments_Clean!$D$2:$D$150,"Angel",Investments_Clean!$F$2:$F$150,"Accepted"))&gt;0,1,0))</f>
        <v>0</v>
      </c>
      <c r="BO67" s="4">
        <f>IF(BL67=0,"",IF((COUNTIFS(Investments_Clean!$A$2:$A$150,A67,Investments_Clean!$D$2:$D$150,"Accelerator",Investments_Clean!$F$2:$F$150,"Accepted"))&gt;0,1,0))</f>
        <v>0</v>
      </c>
      <c r="BP67" s="4">
        <f>IF(BL67=0,"",IF((COUNTIFS(Investments_Clean!$A$2:$A$150,A67,Investments_Clean!$D$2:$D$150,"Corporate",Investments_Clean!$F$2:$F$150,"Accepted"))&gt;0,1,0))</f>
        <v>0</v>
      </c>
      <c r="BQ67" s="4">
        <f>IF(BL67=0,"",IF((COUNTIFS(Investments_Clean!$A$2:$A$150,A67,Investments_Clean!$D$2:$D$150,"Government",Investments_Clean!$F$2:$F$150,"Accepted"))&gt;0,1,0))</f>
        <v>0</v>
      </c>
      <c r="BR67" s="4">
        <f>IF(BL67=0,"",IF((COUNTIFS(Investments_Clean!$A$2:$A$150,A67,Investments_Clean!$D$2:$D$150,"Grant/Philanthropic",Investments_Clean!$F$2:$F$150,"Accepted")+COUNTIFS(Investments_Clean!$A$2:$A$150,A67,Investments_Clean!$D$2:$D$150,"DFI/Impact",Investments_Clean!$F$2:$F$150,"Accepted"))&gt;0,1,0))</f>
        <v>1</v>
      </c>
      <c r="BS67" s="4"/>
      <c r="BT67" s="4"/>
      <c r="BU67" s="4"/>
      <c r="BV67" s="7">
        <v>22500</v>
      </c>
      <c r="BW67" s="4">
        <v>50</v>
      </c>
      <c r="BX67" s="4">
        <v>26.1</v>
      </c>
      <c r="BY67" s="7">
        <v>10000</v>
      </c>
      <c r="BZ67" s="4">
        <v>5</v>
      </c>
      <c r="CA67" s="4">
        <v>4</v>
      </c>
      <c r="CB67" s="4">
        <v>69.099999999999994</v>
      </c>
      <c r="CC67" s="4">
        <f>IF(I67="","",IFERROR(IF(INDEX(Macro_Lookup!$B$2:$B$31,MATCH(I67,Macro_Lookup!$A$2:$A$31,0))="","",INDEX(Macro_Lookup!$B$2:$B$31,MATCH(I67,Macro_Lookup!$A$2:$A$31,0))),""))</f>
        <v>7.11</v>
      </c>
      <c r="CD67" s="4">
        <f>IF(I67="","",IFERROR(IF(INDEX(Macro_Lookup!$C$2:$C$31,MATCH(I67,Macro_Lookup!$A$2:$A$31,0))="","",INDEX(Macro_Lookup!$C$2:$C$31,MATCH(I67,Macro_Lookup!$A$2:$A$31,0))),""))</f>
        <v>5.51</v>
      </c>
      <c r="CE67" s="4">
        <f>IF(BJ67="","",IFERROR(IF(INDEX(Macro_Lookup!$B$2:$B$31,MATCH(BJ67,Macro_Lookup!$A$2:$A$31,0))="","",INDEX(Macro_Lookup!$B$2:$B$31,MATCH(BJ67,Macro_Lookup!$A$2:$A$31,0))),""))</f>
        <v>7.32</v>
      </c>
      <c r="CF67" s="4">
        <f>IF(BJ67="","",IFERROR(IF(INDEX(Macro_Lookup!$C$2:$C$31,MATCH(BJ67,Macro_Lookup!$A$2:$A$31,0))="","",INDEX(Macro_Lookup!$C$2:$C$31,MATCH(BJ67,Macro_Lookup!$A$2:$A$31,0))),""))</f>
        <v>5.54</v>
      </c>
      <c r="CG67" s="4">
        <v>0</v>
      </c>
    </row>
    <row r="68" spans="1:85" x14ac:dyDescent="0.3">
      <c r="A68" s="4" t="s">
        <v>393</v>
      </c>
      <c r="B68" s="4" t="s">
        <v>394</v>
      </c>
      <c r="C68" s="4" t="s">
        <v>87</v>
      </c>
      <c r="D68" s="4" t="s">
        <v>88</v>
      </c>
      <c r="E68" s="4">
        <v>0</v>
      </c>
      <c r="F68" s="4" t="s">
        <v>89</v>
      </c>
      <c r="G68" s="4"/>
      <c r="H68" s="4"/>
      <c r="I68" s="5">
        <v>2020</v>
      </c>
      <c r="J68" s="4"/>
      <c r="K68" s="4" t="s">
        <v>90</v>
      </c>
      <c r="L68" s="6">
        <v>46295</v>
      </c>
      <c r="M68" s="4">
        <f t="shared" si="12"/>
        <v>80</v>
      </c>
      <c r="N68" s="4">
        <f t="shared" si="13"/>
        <v>6.67</v>
      </c>
      <c r="O68" s="4" t="s">
        <v>395</v>
      </c>
      <c r="P68" s="4" t="s">
        <v>323</v>
      </c>
      <c r="Q68" s="4" t="s">
        <v>396</v>
      </c>
      <c r="R68" s="4">
        <v>1</v>
      </c>
      <c r="S68" s="4">
        <v>1</v>
      </c>
      <c r="T68" s="4">
        <v>0</v>
      </c>
      <c r="U68" s="4">
        <v>1</v>
      </c>
      <c r="V68" s="4">
        <v>0</v>
      </c>
      <c r="W68" s="4">
        <v>0</v>
      </c>
      <c r="X68" s="4" t="s">
        <v>378</v>
      </c>
      <c r="Y68" s="4">
        <v>3</v>
      </c>
      <c r="Z68" s="4">
        <v>1</v>
      </c>
      <c r="AA68" s="4">
        <v>0</v>
      </c>
      <c r="AB68" s="4" t="s">
        <v>397</v>
      </c>
      <c r="AC68" s="4"/>
      <c r="AD68" s="7"/>
      <c r="AE68" s="4"/>
      <c r="AF68" s="4">
        <f>IF(SUMIF(Founders_Clean!$A$2:$A$159,A68,Founders_Clean!$C$2:$C$159)=0,"",SUMIF(Founders_Clean!$A$2:$A$159,A68,Founders_Clean!$C$2:$C$159))</f>
        <v>2</v>
      </c>
      <c r="AG68" s="4">
        <f>IF(AF68="","",SUMIF(Founders_Clean!$A$2:$A$159,A68,Founders_Clean!$D$2:$D$159))</f>
        <v>2</v>
      </c>
      <c r="AH68" s="4">
        <f>IF(AF68="","",SUMIF(Founders_Clean!$A$2:$A$159,A68,Founders_Clean!$E$2:$E$159))</f>
        <v>0</v>
      </c>
      <c r="AI68" s="8">
        <f t="shared" si="14"/>
        <v>0</v>
      </c>
      <c r="AJ68" s="4">
        <f t="shared" si="15"/>
        <v>0</v>
      </c>
      <c r="AK68" s="8">
        <f t="shared" si="16"/>
        <v>0</v>
      </c>
      <c r="AL68" s="4"/>
      <c r="AM68" s="4">
        <v>2</v>
      </c>
      <c r="AN68" s="4" t="s">
        <v>96</v>
      </c>
      <c r="AO68" s="4">
        <v>1</v>
      </c>
      <c r="AP68" s="8">
        <v>0.5</v>
      </c>
      <c r="AQ68" s="4">
        <v>1</v>
      </c>
      <c r="AR68" s="4">
        <v>30</v>
      </c>
      <c r="AS68" s="4">
        <v>24</v>
      </c>
      <c r="AT68" s="7">
        <v>30.5</v>
      </c>
      <c r="AU68" s="4" t="s">
        <v>157</v>
      </c>
      <c r="AV68" s="4" t="s">
        <v>118</v>
      </c>
      <c r="AW68" s="4"/>
      <c r="AX68" s="4" t="s">
        <v>99</v>
      </c>
      <c r="AY68" s="4" t="s">
        <v>100</v>
      </c>
      <c r="AZ68" s="4"/>
      <c r="BA68" s="4">
        <v>0</v>
      </c>
      <c r="BB68" s="4">
        <v>0</v>
      </c>
      <c r="BC68" s="4">
        <v>0</v>
      </c>
      <c r="BD68" s="5"/>
      <c r="BE68" s="4"/>
      <c r="BF68" s="4">
        <f t="shared" si="17"/>
        <v>80</v>
      </c>
      <c r="BG68" s="4">
        <v>0</v>
      </c>
      <c r="BH68" s="7">
        <v>0</v>
      </c>
      <c r="BI68" s="4" t="s">
        <v>112</v>
      </c>
      <c r="BJ68" s="5"/>
      <c r="BK68" s="4">
        <v>0</v>
      </c>
      <c r="BL68" s="4">
        <f>COUNTIFS(Investments_Clean!$A$2:$A$150,A68,Investments_Clean!$F$2:$F$150,"Accepted")</f>
        <v>0</v>
      </c>
      <c r="BM68" s="4" t="str">
        <f>IF(BL68=0,"",IF((COUNTIFS(Investments_Clean!$A$2:$A$150,A68,Investments_Clean!$D$2:$D$150,"VC/PE",Investments_Clean!$F$2:$F$150,"Accepted"))&gt;0,1,0))</f>
        <v/>
      </c>
      <c r="BN68" s="4" t="str">
        <f>IF(BL68=0,"",IF((COUNTIFS(Investments_Clean!$A$2:$A$150,A68,Investments_Clean!$D$2:$D$150,"Angel",Investments_Clean!$F$2:$F$150,"Accepted"))&gt;0,1,0))</f>
        <v/>
      </c>
      <c r="BO68" s="4" t="str">
        <f>IF(BL68=0,"",IF((COUNTIFS(Investments_Clean!$A$2:$A$150,A68,Investments_Clean!$D$2:$D$150,"Accelerator",Investments_Clean!$F$2:$F$150,"Accepted"))&gt;0,1,0))</f>
        <v/>
      </c>
      <c r="BP68" s="4" t="str">
        <f>IF(BL68=0,"",IF((COUNTIFS(Investments_Clean!$A$2:$A$150,A68,Investments_Clean!$D$2:$D$150,"Corporate",Investments_Clean!$F$2:$F$150,"Accepted"))&gt;0,1,0))</f>
        <v/>
      </c>
      <c r="BQ68" s="4" t="str">
        <f>IF(BL68=0,"",IF((COUNTIFS(Investments_Clean!$A$2:$A$150,A68,Investments_Clean!$D$2:$D$150,"Government",Investments_Clean!$F$2:$F$150,"Accepted"))&gt;0,1,0))</f>
        <v/>
      </c>
      <c r="BR68" s="4" t="str">
        <f>IF(BL68=0,"",IF((COUNTIFS(Investments_Clean!$A$2:$A$150,A68,Investments_Clean!$D$2:$D$150,"Grant/Philanthropic",Investments_Clean!$F$2:$F$150,"Accepted")+COUNTIFS(Investments_Clean!$A$2:$A$150,A68,Investments_Clean!$D$2:$D$150,"DFI/Impact",Investments_Clean!$F$2:$F$150,"Accepted"))&gt;0,1,0))</f>
        <v/>
      </c>
      <c r="BS68" s="4"/>
      <c r="BT68" s="4"/>
      <c r="BU68" s="4"/>
      <c r="BV68" s="7">
        <v>27500</v>
      </c>
      <c r="BW68" s="4">
        <v>25</v>
      </c>
      <c r="BX68" s="4">
        <v>25.4</v>
      </c>
      <c r="BY68" s="7">
        <v>50000</v>
      </c>
      <c r="BZ68" s="4"/>
      <c r="CA68" s="4">
        <v>4</v>
      </c>
      <c r="CB68" s="4">
        <v>65.2</v>
      </c>
      <c r="CC68" s="4">
        <f>IF(I68="","",IFERROR(IF(INDEX(Macro_Lookup!$B$2:$B$31,MATCH(I68,Macro_Lookup!$A$2:$A$31,0))="","",INDEX(Macro_Lookup!$B$2:$B$31,MATCH(I68,Macro_Lookup!$A$2:$A$31,0))),""))</f>
        <v>3.45</v>
      </c>
      <c r="CD68" s="4">
        <f>IF(I68="","",IFERROR(IF(INDEX(Macro_Lookup!$C$2:$C$31,MATCH(I68,Macro_Lookup!$A$2:$A$31,0))="","",INDEX(Macro_Lookup!$C$2:$C$31,MATCH(I68,Macro_Lookup!$A$2:$A$31,0))),""))</f>
        <v>5.69</v>
      </c>
      <c r="CE68" s="4" t="str">
        <f>IF(BJ68="","",IFERROR(IF(INDEX(Macro_Lookup!$B$2:$B$31,MATCH(BJ68,Macro_Lookup!$A$2:$A$31,0))="","",INDEX(Macro_Lookup!$B$2:$B$31,MATCH(BJ68,Macro_Lookup!$A$2:$A$31,0))),""))</f>
        <v/>
      </c>
      <c r="CF68" s="4" t="str">
        <f>IF(BJ68="","",IFERROR(IF(INDEX(Macro_Lookup!$C$2:$C$31,MATCH(BJ68,Macro_Lookup!$A$2:$A$31,0))="","",INDEX(Macro_Lookup!$C$2:$C$31,MATCH(BJ68,Macro_Lookup!$A$2:$A$31,0))),""))</f>
        <v/>
      </c>
      <c r="CG68" s="4">
        <v>1</v>
      </c>
    </row>
    <row r="69" spans="1:85" x14ac:dyDescent="0.3">
      <c r="A69" s="4" t="s">
        <v>398</v>
      </c>
      <c r="B69" s="4" t="s">
        <v>399</v>
      </c>
      <c r="C69" s="4" t="s">
        <v>87</v>
      </c>
      <c r="D69" s="4" t="s">
        <v>88</v>
      </c>
      <c r="E69" s="4">
        <v>0</v>
      </c>
      <c r="F69" s="4" t="s">
        <v>89</v>
      </c>
      <c r="G69" s="4"/>
      <c r="H69" s="4"/>
      <c r="I69" s="5">
        <v>2019</v>
      </c>
      <c r="J69" s="4"/>
      <c r="K69" s="4" t="s">
        <v>90</v>
      </c>
      <c r="L69" s="6">
        <v>46295</v>
      </c>
      <c r="M69" s="4">
        <f t="shared" si="12"/>
        <v>92</v>
      </c>
      <c r="N69" s="4">
        <f t="shared" si="13"/>
        <v>7.67</v>
      </c>
      <c r="O69" s="4" t="s">
        <v>400</v>
      </c>
      <c r="P69" s="4" t="s">
        <v>92</v>
      </c>
      <c r="Q69" s="4" t="s">
        <v>401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1</v>
      </c>
      <c r="X69" s="4" t="s">
        <v>378</v>
      </c>
      <c r="Y69" s="4">
        <v>3</v>
      </c>
      <c r="Z69" s="4">
        <v>1</v>
      </c>
      <c r="AA69" s="4">
        <v>1</v>
      </c>
      <c r="AB69" s="4" t="s">
        <v>228</v>
      </c>
      <c r="AC69" s="4">
        <v>1</v>
      </c>
      <c r="AD69" s="7">
        <v>50000</v>
      </c>
      <c r="AE69" s="4" t="s">
        <v>95</v>
      </c>
      <c r="AF69" s="4">
        <f>IF(SUMIF(Founders_Clean!$A$2:$A$159,A69,Founders_Clean!$C$2:$C$159)=0,"",SUMIF(Founders_Clean!$A$2:$A$159,A69,Founders_Clean!$C$2:$C$159))</f>
        <v>2</v>
      </c>
      <c r="AG69" s="4">
        <f>IF(AF69="","",SUMIF(Founders_Clean!$A$2:$A$159,A69,Founders_Clean!$D$2:$D$159))</f>
        <v>2</v>
      </c>
      <c r="AH69" s="4">
        <f>IF(AF69="","",SUMIF(Founders_Clean!$A$2:$A$159,A69,Founders_Clean!$E$2:$E$159))</f>
        <v>0</v>
      </c>
      <c r="AI69" s="8">
        <f t="shared" si="14"/>
        <v>0</v>
      </c>
      <c r="AJ69" s="4">
        <f t="shared" si="15"/>
        <v>0</v>
      </c>
      <c r="AK69" s="8">
        <f t="shared" si="16"/>
        <v>0</v>
      </c>
      <c r="AL69" s="4"/>
      <c r="AM69" s="4">
        <v>2</v>
      </c>
      <c r="AN69" s="4" t="s">
        <v>96</v>
      </c>
      <c r="AO69" s="4">
        <v>1</v>
      </c>
      <c r="AP69" s="8">
        <v>0.5</v>
      </c>
      <c r="AQ69" s="4">
        <v>1</v>
      </c>
      <c r="AR69" s="4">
        <v>15</v>
      </c>
      <c r="AS69" s="4">
        <v>14.5</v>
      </c>
      <c r="AT69" s="7">
        <v>350.5</v>
      </c>
      <c r="AU69" s="4" t="s">
        <v>117</v>
      </c>
      <c r="AV69" s="4" t="s">
        <v>118</v>
      </c>
      <c r="AW69" s="4"/>
      <c r="AX69" s="4" t="s">
        <v>99</v>
      </c>
      <c r="AY69" s="4" t="s">
        <v>100</v>
      </c>
      <c r="AZ69" s="4"/>
      <c r="BA69" s="4">
        <v>0</v>
      </c>
      <c r="BB69" s="4">
        <v>0</v>
      </c>
      <c r="BC69" s="4">
        <v>0</v>
      </c>
      <c r="BD69" s="5"/>
      <c r="BE69" s="4"/>
      <c r="BF69" s="4">
        <f t="shared" si="17"/>
        <v>92</v>
      </c>
      <c r="BG69" s="4">
        <v>1</v>
      </c>
      <c r="BH69" s="7">
        <v>4420000</v>
      </c>
      <c r="BI69" s="4" t="s">
        <v>101</v>
      </c>
      <c r="BJ69" s="5"/>
      <c r="BK69" s="4">
        <v>1</v>
      </c>
      <c r="BL69" s="4">
        <f>COUNTIFS(Investments_Clean!$A$2:$A$150,A69,Investments_Clean!$F$2:$F$150,"Accepted")</f>
        <v>6</v>
      </c>
      <c r="BM69" s="4">
        <f>IF(BL69=0,"",IF((COUNTIFS(Investments_Clean!$A$2:$A$150,A69,Investments_Clean!$D$2:$D$150,"VC/PE",Investments_Clean!$F$2:$F$150,"Accepted"))&gt;0,1,0))</f>
        <v>1</v>
      </c>
      <c r="BN69" s="4">
        <f>IF(BL69=0,"",IF((COUNTIFS(Investments_Clean!$A$2:$A$150,A69,Investments_Clean!$D$2:$D$150,"Angel",Investments_Clean!$F$2:$F$150,"Accepted"))&gt;0,1,0))</f>
        <v>0</v>
      </c>
      <c r="BO69" s="4">
        <f>IF(BL69=0,"",IF((COUNTIFS(Investments_Clean!$A$2:$A$150,A69,Investments_Clean!$D$2:$D$150,"Accelerator",Investments_Clean!$F$2:$F$150,"Accepted"))&gt;0,1,0))</f>
        <v>0</v>
      </c>
      <c r="BP69" s="4">
        <f>IF(BL69=0,"",IF((COUNTIFS(Investments_Clean!$A$2:$A$150,A69,Investments_Clean!$D$2:$D$150,"Corporate",Investments_Clean!$F$2:$F$150,"Accepted"))&gt;0,1,0))</f>
        <v>0</v>
      </c>
      <c r="BQ69" s="4">
        <f>IF(BL69=0,"",IF((COUNTIFS(Investments_Clean!$A$2:$A$150,A69,Investments_Clean!$D$2:$D$150,"Government",Investments_Clean!$F$2:$F$150,"Accepted"))&gt;0,1,0))</f>
        <v>0</v>
      </c>
      <c r="BR69" s="4">
        <f>IF(BL69=0,"",IF((COUNTIFS(Investments_Clean!$A$2:$A$150,A69,Investments_Clean!$D$2:$D$150,"Grant/Philanthropic",Investments_Clean!$F$2:$F$150,"Accepted")+COUNTIFS(Investments_Clean!$A$2:$A$150,A69,Investments_Clean!$D$2:$D$150,"DFI/Impact",Investments_Clean!$F$2:$F$150,"Accepted"))&gt;0,1,0))</f>
        <v>1</v>
      </c>
      <c r="BS69" s="4"/>
      <c r="BT69" s="4">
        <v>770</v>
      </c>
      <c r="BU69" s="4"/>
      <c r="BV69" s="7">
        <v>60000</v>
      </c>
      <c r="BW69" s="4">
        <v>80</v>
      </c>
      <c r="BX69" s="4">
        <v>25.7</v>
      </c>
      <c r="BY69" s="7">
        <v>100000</v>
      </c>
      <c r="BZ69" s="4"/>
      <c r="CA69" s="4">
        <v>4</v>
      </c>
      <c r="CB69" s="4">
        <v>80.2</v>
      </c>
      <c r="CC69" s="4">
        <f>IF(I69="","",IFERROR(IF(INDEX(Macro_Lookup!$B$2:$B$31,MATCH(I69,Macro_Lookup!$A$2:$A$31,0))="","",INDEX(Macro_Lookup!$B$2:$B$31,MATCH(I69,Macro_Lookup!$A$2:$A$31,0))),""))</f>
        <v>7.88</v>
      </c>
      <c r="CD69" s="4">
        <f>IF(I69="","",IFERROR(IF(INDEX(Macro_Lookup!$C$2:$C$31,MATCH(I69,Macro_Lookup!$A$2:$A$31,0))="","",INDEX(Macro_Lookup!$C$2:$C$31,MATCH(I69,Macro_Lookup!$A$2:$A$31,0))),""))</f>
        <v>5.5</v>
      </c>
      <c r="CE69" s="4" t="str">
        <f>IF(BJ69="","",IFERROR(IF(INDEX(Macro_Lookup!$B$2:$B$31,MATCH(BJ69,Macro_Lookup!$A$2:$A$31,0))="","",INDEX(Macro_Lookup!$B$2:$B$31,MATCH(BJ69,Macro_Lookup!$A$2:$A$31,0))),""))</f>
        <v/>
      </c>
      <c r="CF69" s="4" t="str">
        <f>IF(BJ69="","",IFERROR(IF(INDEX(Macro_Lookup!$C$2:$C$31,MATCH(BJ69,Macro_Lookup!$A$2:$A$31,0))="","",INDEX(Macro_Lookup!$C$2:$C$31,MATCH(BJ69,Macro_Lookup!$A$2:$A$31,0))),""))</f>
        <v/>
      </c>
      <c r="CG69" s="4">
        <v>0</v>
      </c>
    </row>
    <row r="70" spans="1:85" x14ac:dyDescent="0.3">
      <c r="A70" s="4" t="s">
        <v>402</v>
      </c>
      <c r="B70" s="4" t="s">
        <v>403</v>
      </c>
      <c r="C70" s="4" t="s">
        <v>87</v>
      </c>
      <c r="D70" s="4" t="s">
        <v>88</v>
      </c>
      <c r="E70" s="4">
        <v>0</v>
      </c>
      <c r="F70" s="4" t="s">
        <v>89</v>
      </c>
      <c r="G70" s="4"/>
      <c r="H70" s="4"/>
      <c r="I70" s="5">
        <v>2019</v>
      </c>
      <c r="J70" s="4"/>
      <c r="K70" s="4" t="s">
        <v>90</v>
      </c>
      <c r="L70" s="6">
        <v>46295</v>
      </c>
      <c r="M70" s="4">
        <f t="shared" si="12"/>
        <v>92</v>
      </c>
      <c r="N70" s="4">
        <f t="shared" si="13"/>
        <v>7.67</v>
      </c>
      <c r="O70" s="4" t="s">
        <v>404</v>
      </c>
      <c r="P70" s="4" t="s">
        <v>405</v>
      </c>
      <c r="Q70" s="4" t="s">
        <v>406</v>
      </c>
      <c r="R70" s="4">
        <v>1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 t="s">
        <v>378</v>
      </c>
      <c r="Y70" s="4">
        <v>3</v>
      </c>
      <c r="Z70" s="4">
        <v>1</v>
      </c>
      <c r="AA70" s="4">
        <v>1</v>
      </c>
      <c r="AB70" s="4" t="s">
        <v>407</v>
      </c>
      <c r="AC70" s="4"/>
      <c r="AD70" s="7"/>
      <c r="AE70" s="4"/>
      <c r="AF70" s="4">
        <f>IF(SUMIF(Founders_Clean!$A$2:$A$159,A70,Founders_Clean!$C$2:$C$159)=0,"",SUMIF(Founders_Clean!$A$2:$A$159,A70,Founders_Clean!$C$2:$C$159))</f>
        <v>3</v>
      </c>
      <c r="AG70" s="4">
        <f>IF(AF70="","",SUMIF(Founders_Clean!$A$2:$A$159,A70,Founders_Clean!$D$2:$D$159))</f>
        <v>3</v>
      </c>
      <c r="AH70" s="4">
        <f>IF(AF70="","",SUMIF(Founders_Clean!$A$2:$A$159,A70,Founders_Clean!$E$2:$E$159))</f>
        <v>0</v>
      </c>
      <c r="AI70" s="8">
        <f t="shared" si="14"/>
        <v>0</v>
      </c>
      <c r="AJ70" s="4">
        <f t="shared" si="15"/>
        <v>0</v>
      </c>
      <c r="AK70" s="8">
        <f t="shared" si="16"/>
        <v>0</v>
      </c>
      <c r="AL70" s="4"/>
      <c r="AM70" s="4">
        <v>2</v>
      </c>
      <c r="AN70" s="4" t="s">
        <v>96</v>
      </c>
      <c r="AO70" s="4">
        <v>0</v>
      </c>
      <c r="AP70" s="8">
        <v>0</v>
      </c>
      <c r="AQ70" s="4">
        <v>0</v>
      </c>
      <c r="AR70" s="4">
        <v>18</v>
      </c>
      <c r="AS70" s="4">
        <v>11.3333333333333</v>
      </c>
      <c r="AT70" s="7">
        <v>125.5</v>
      </c>
      <c r="AU70" s="4" t="s">
        <v>126</v>
      </c>
      <c r="AV70" s="4" t="s">
        <v>118</v>
      </c>
      <c r="AW70" s="4"/>
      <c r="AX70" s="4" t="s">
        <v>99</v>
      </c>
      <c r="AY70" s="4" t="s">
        <v>100</v>
      </c>
      <c r="AZ70" s="4"/>
      <c r="BA70" s="4">
        <v>0</v>
      </c>
      <c r="BB70" s="4">
        <v>0</v>
      </c>
      <c r="BC70" s="4">
        <v>0</v>
      </c>
      <c r="BD70" s="5"/>
      <c r="BE70" s="4"/>
      <c r="BF70" s="4">
        <f t="shared" si="17"/>
        <v>92</v>
      </c>
      <c r="BG70" s="4">
        <v>1</v>
      </c>
      <c r="BH70" s="7">
        <v>2200000</v>
      </c>
      <c r="BI70" s="4" t="s">
        <v>101</v>
      </c>
      <c r="BJ70" s="5"/>
      <c r="BK70" s="4">
        <v>1</v>
      </c>
      <c r="BL70" s="4">
        <f>COUNTIFS(Investments_Clean!$A$2:$A$150,A70,Investments_Clean!$F$2:$F$150,"Accepted")</f>
        <v>2</v>
      </c>
      <c r="BM70" s="4">
        <f>IF(BL70=0,"",IF((COUNTIFS(Investments_Clean!$A$2:$A$150,A70,Investments_Clean!$D$2:$D$150,"VC/PE",Investments_Clean!$F$2:$F$150,"Accepted"))&gt;0,1,0))</f>
        <v>0</v>
      </c>
      <c r="BN70" s="4">
        <f>IF(BL70=0,"",IF((COUNTIFS(Investments_Clean!$A$2:$A$150,A70,Investments_Clean!$D$2:$D$150,"Angel",Investments_Clean!$F$2:$F$150,"Accepted"))&gt;0,1,0))</f>
        <v>0</v>
      </c>
      <c r="BO70" s="4">
        <f>IF(BL70=0,"",IF((COUNTIFS(Investments_Clean!$A$2:$A$150,A70,Investments_Clean!$D$2:$D$150,"Accelerator",Investments_Clean!$F$2:$F$150,"Accepted"))&gt;0,1,0))</f>
        <v>1</v>
      </c>
      <c r="BP70" s="4">
        <f>IF(BL70=0,"",IF((COUNTIFS(Investments_Clean!$A$2:$A$150,A70,Investments_Clean!$D$2:$D$150,"Corporate",Investments_Clean!$F$2:$F$150,"Accepted"))&gt;0,1,0))</f>
        <v>1</v>
      </c>
      <c r="BQ70" s="4">
        <f>IF(BL70=0,"",IF((COUNTIFS(Investments_Clean!$A$2:$A$150,A70,Investments_Clean!$D$2:$D$150,"Government",Investments_Clean!$F$2:$F$150,"Accepted"))&gt;0,1,0))</f>
        <v>0</v>
      </c>
      <c r="BR70" s="4">
        <f>IF(BL70=0,"",IF((COUNTIFS(Investments_Clean!$A$2:$A$150,A70,Investments_Clean!$D$2:$D$150,"Grant/Philanthropic",Investments_Clean!$F$2:$F$150,"Accepted")+COUNTIFS(Investments_Clean!$A$2:$A$150,A70,Investments_Clean!$D$2:$D$150,"DFI/Impact",Investments_Clean!$F$2:$F$150,"Accepted"))&gt;0,1,0))</f>
        <v>0</v>
      </c>
      <c r="BS70" s="4"/>
      <c r="BT70" s="4"/>
      <c r="BU70" s="4"/>
      <c r="BV70" s="7">
        <v>15000</v>
      </c>
      <c r="BW70" s="4">
        <v>35</v>
      </c>
      <c r="BX70" s="4">
        <v>30.8</v>
      </c>
      <c r="BY70" s="7">
        <v>10000</v>
      </c>
      <c r="BZ70" s="4"/>
      <c r="CA70" s="4">
        <v>4</v>
      </c>
      <c r="CB70" s="4">
        <v>62.2</v>
      </c>
      <c r="CC70" s="4">
        <f>IF(I70="","",IFERROR(IF(INDEX(Macro_Lookup!$B$2:$B$31,MATCH(I70,Macro_Lookup!$A$2:$A$31,0))="","",INDEX(Macro_Lookup!$B$2:$B$31,MATCH(I70,Macro_Lookup!$A$2:$A$31,0))),""))</f>
        <v>7.88</v>
      </c>
      <c r="CD70" s="4">
        <f>IF(I70="","",IFERROR(IF(INDEX(Macro_Lookup!$C$2:$C$31,MATCH(I70,Macro_Lookup!$A$2:$A$31,0))="","",INDEX(Macro_Lookup!$C$2:$C$31,MATCH(I70,Macro_Lookup!$A$2:$A$31,0))),""))</f>
        <v>5.5</v>
      </c>
      <c r="CE70" s="4" t="str">
        <f>IF(BJ70="","",IFERROR(IF(INDEX(Macro_Lookup!$B$2:$B$31,MATCH(BJ70,Macro_Lookup!$A$2:$A$31,0))="","",INDEX(Macro_Lookup!$B$2:$B$31,MATCH(BJ70,Macro_Lookup!$A$2:$A$31,0))),""))</f>
        <v/>
      </c>
      <c r="CF70" s="4" t="str">
        <f>IF(BJ70="","",IFERROR(IF(INDEX(Macro_Lookup!$C$2:$C$31,MATCH(BJ70,Macro_Lookup!$A$2:$A$31,0))="","",INDEX(Macro_Lookup!$C$2:$C$31,MATCH(BJ70,Macro_Lookup!$A$2:$A$31,0))),""))</f>
        <v/>
      </c>
      <c r="CG70" s="4">
        <v>1</v>
      </c>
    </row>
    <row r="71" spans="1:85" x14ac:dyDescent="0.3">
      <c r="A71" s="4" t="s">
        <v>408</v>
      </c>
      <c r="B71" s="4" t="s">
        <v>409</v>
      </c>
      <c r="C71" s="4" t="s">
        <v>87</v>
      </c>
      <c r="D71" s="4" t="s">
        <v>88</v>
      </c>
      <c r="E71" s="4">
        <v>0</v>
      </c>
      <c r="F71" s="4" t="s">
        <v>89</v>
      </c>
      <c r="G71" s="4"/>
      <c r="H71" s="4"/>
      <c r="I71" s="5">
        <v>2020</v>
      </c>
      <c r="J71" s="4"/>
      <c r="K71" s="4" t="s">
        <v>90</v>
      </c>
      <c r="L71" s="6">
        <v>46295</v>
      </c>
      <c r="M71" s="4">
        <f t="shared" si="12"/>
        <v>80</v>
      </c>
      <c r="N71" s="4">
        <f t="shared" si="13"/>
        <v>6.67</v>
      </c>
      <c r="O71" s="4" t="s">
        <v>405</v>
      </c>
      <c r="P71" s="4" t="s">
        <v>405</v>
      </c>
      <c r="Q71" s="4" t="s">
        <v>410</v>
      </c>
      <c r="R71" s="4">
        <v>1</v>
      </c>
      <c r="S71" s="4">
        <v>0</v>
      </c>
      <c r="T71" s="4">
        <v>1</v>
      </c>
      <c r="U71" s="4">
        <v>0</v>
      </c>
      <c r="V71" s="4">
        <v>0</v>
      </c>
      <c r="W71" s="4">
        <v>0</v>
      </c>
      <c r="X71" s="4" t="s">
        <v>378</v>
      </c>
      <c r="Y71" s="4">
        <v>3</v>
      </c>
      <c r="Z71" s="4">
        <v>1</v>
      </c>
      <c r="AA71" s="4">
        <v>0</v>
      </c>
      <c r="AB71" s="4" t="s">
        <v>411</v>
      </c>
      <c r="AC71" s="4"/>
      <c r="AD71" s="7"/>
      <c r="AE71" s="4"/>
      <c r="AF71" s="4">
        <f>IF(SUMIF(Founders_Clean!$A$2:$A$159,A71,Founders_Clean!$C$2:$C$159)=0,"",SUMIF(Founders_Clean!$A$2:$A$159,A71,Founders_Clean!$C$2:$C$159))</f>
        <v>1</v>
      </c>
      <c r="AG71" s="4">
        <f>IF(AF71="","",SUMIF(Founders_Clean!$A$2:$A$159,A71,Founders_Clean!$D$2:$D$159))</f>
        <v>0</v>
      </c>
      <c r="AH71" s="4">
        <f>IF(AF71="","",SUMIF(Founders_Clean!$A$2:$A$159,A71,Founders_Clean!$E$2:$E$159))</f>
        <v>1</v>
      </c>
      <c r="AI71" s="8">
        <f t="shared" si="14"/>
        <v>1</v>
      </c>
      <c r="AJ71" s="4">
        <f t="shared" si="15"/>
        <v>1</v>
      </c>
      <c r="AK71" s="8">
        <f t="shared" si="16"/>
        <v>0</v>
      </c>
      <c r="AL71" s="4"/>
      <c r="AM71" s="4">
        <v>1</v>
      </c>
      <c r="AN71" s="4" t="s">
        <v>143</v>
      </c>
      <c r="AO71" s="4">
        <v>1</v>
      </c>
      <c r="AP71" s="8">
        <v>1</v>
      </c>
      <c r="AQ71" s="4">
        <v>1</v>
      </c>
      <c r="AR71" s="4">
        <v>7</v>
      </c>
      <c r="AS71" s="4">
        <v>7</v>
      </c>
      <c r="AT71" s="7">
        <v>6</v>
      </c>
      <c r="AU71" s="4" t="s">
        <v>151</v>
      </c>
      <c r="AV71" s="4" t="s">
        <v>118</v>
      </c>
      <c r="AW71" s="4"/>
      <c r="AX71" s="4" t="s">
        <v>99</v>
      </c>
      <c r="AY71" s="4" t="s">
        <v>100</v>
      </c>
      <c r="AZ71" s="4"/>
      <c r="BA71" s="4">
        <v>0</v>
      </c>
      <c r="BB71" s="4">
        <v>0</v>
      </c>
      <c r="BC71" s="4">
        <v>0</v>
      </c>
      <c r="BD71" s="5"/>
      <c r="BE71" s="4"/>
      <c r="BF71" s="4">
        <f t="shared" si="17"/>
        <v>80</v>
      </c>
      <c r="BG71" s="4">
        <v>0</v>
      </c>
      <c r="BH71" s="7">
        <v>0</v>
      </c>
      <c r="BI71" s="4" t="s">
        <v>112</v>
      </c>
      <c r="BJ71" s="5"/>
      <c r="BK71" s="4">
        <v>0</v>
      </c>
      <c r="BL71" s="4">
        <f>COUNTIFS(Investments_Clean!$A$2:$A$150,A71,Investments_Clean!$F$2:$F$150,"Accepted")</f>
        <v>0</v>
      </c>
      <c r="BM71" s="4" t="str">
        <f>IF(BL71=0,"",IF((COUNTIFS(Investments_Clean!$A$2:$A$150,A71,Investments_Clean!$D$2:$D$150,"VC/PE",Investments_Clean!$F$2:$F$150,"Accepted"))&gt;0,1,0))</f>
        <v/>
      </c>
      <c r="BN71" s="4" t="str">
        <f>IF(BL71=0,"",IF((COUNTIFS(Investments_Clean!$A$2:$A$150,A71,Investments_Clean!$D$2:$D$150,"Angel",Investments_Clean!$F$2:$F$150,"Accepted"))&gt;0,1,0))</f>
        <v/>
      </c>
      <c r="BO71" s="4" t="str">
        <f>IF(BL71=0,"",IF((COUNTIFS(Investments_Clean!$A$2:$A$150,A71,Investments_Clean!$D$2:$D$150,"Accelerator",Investments_Clean!$F$2:$F$150,"Accepted"))&gt;0,1,0))</f>
        <v/>
      </c>
      <c r="BP71" s="4" t="str">
        <f>IF(BL71=0,"",IF((COUNTIFS(Investments_Clean!$A$2:$A$150,A71,Investments_Clean!$D$2:$D$150,"Corporate",Investments_Clean!$F$2:$F$150,"Accepted"))&gt;0,1,0))</f>
        <v/>
      </c>
      <c r="BQ71" s="4" t="str">
        <f>IF(BL71=0,"",IF((COUNTIFS(Investments_Clean!$A$2:$A$150,A71,Investments_Clean!$D$2:$D$150,"Government",Investments_Clean!$F$2:$F$150,"Accepted"))&gt;0,1,0))</f>
        <v/>
      </c>
      <c r="BR71" s="4" t="str">
        <f>IF(BL71=0,"",IF((COUNTIFS(Investments_Clean!$A$2:$A$150,A71,Investments_Clean!$D$2:$D$150,"Grant/Philanthropic",Investments_Clean!$F$2:$F$150,"Accepted")+COUNTIFS(Investments_Clean!$A$2:$A$150,A71,Investments_Clean!$D$2:$D$150,"DFI/Impact",Investments_Clean!$F$2:$F$150,"Accepted"))&gt;0,1,0))</f>
        <v/>
      </c>
      <c r="BS71" s="4"/>
      <c r="BT71" s="4"/>
      <c r="BU71" s="4"/>
      <c r="BV71" s="7">
        <v>8500</v>
      </c>
      <c r="BW71" s="4">
        <v>15</v>
      </c>
      <c r="BX71" s="4">
        <v>43.7</v>
      </c>
      <c r="BY71" s="7">
        <v>50000</v>
      </c>
      <c r="BZ71" s="4">
        <v>4.2</v>
      </c>
      <c r="CA71" s="4">
        <v>4</v>
      </c>
      <c r="CB71" s="4">
        <v>57.1</v>
      </c>
      <c r="CC71" s="4">
        <f>IF(I71="","",IFERROR(IF(INDEX(Macro_Lookup!$B$2:$B$31,MATCH(I71,Macro_Lookup!$A$2:$A$31,0))="","",INDEX(Macro_Lookup!$B$2:$B$31,MATCH(I71,Macro_Lookup!$A$2:$A$31,0))),""))</f>
        <v>3.45</v>
      </c>
      <c r="CD71" s="4">
        <f>IF(I71="","",IFERROR(IF(INDEX(Macro_Lookup!$C$2:$C$31,MATCH(I71,Macro_Lookup!$A$2:$A$31,0))="","",INDEX(Macro_Lookup!$C$2:$C$31,MATCH(I71,Macro_Lookup!$A$2:$A$31,0))),""))</f>
        <v>5.69</v>
      </c>
      <c r="CE71" s="4" t="str">
        <f>IF(BJ71="","",IFERROR(IF(INDEX(Macro_Lookup!$B$2:$B$31,MATCH(BJ71,Macro_Lookup!$A$2:$A$31,0))="","",INDEX(Macro_Lookup!$B$2:$B$31,MATCH(BJ71,Macro_Lookup!$A$2:$A$31,0))),""))</f>
        <v/>
      </c>
      <c r="CF71" s="4" t="str">
        <f>IF(BJ71="","",IFERROR(IF(INDEX(Macro_Lookup!$C$2:$C$31,MATCH(BJ71,Macro_Lookup!$A$2:$A$31,0))="","",INDEX(Macro_Lookup!$C$2:$C$31,MATCH(BJ71,Macro_Lookup!$A$2:$A$31,0))),""))</f>
        <v/>
      </c>
      <c r="CG71" s="4">
        <v>1</v>
      </c>
    </row>
    <row r="72" spans="1:85" x14ac:dyDescent="0.3">
      <c r="A72" s="4" t="s">
        <v>412</v>
      </c>
      <c r="B72" s="4" t="s">
        <v>413</v>
      </c>
      <c r="C72" s="4" t="s">
        <v>87</v>
      </c>
      <c r="D72" s="4" t="s">
        <v>88</v>
      </c>
      <c r="E72" s="4">
        <v>0</v>
      </c>
      <c r="F72" s="4" t="s">
        <v>89</v>
      </c>
      <c r="G72" s="4"/>
      <c r="H72" s="4"/>
      <c r="I72" s="5">
        <v>2022</v>
      </c>
      <c r="J72" s="4">
        <v>3</v>
      </c>
      <c r="K72" s="4" t="s">
        <v>129</v>
      </c>
      <c r="L72" s="6">
        <v>46295</v>
      </c>
      <c r="M72" s="4">
        <f t="shared" si="12"/>
        <v>54</v>
      </c>
      <c r="N72" s="4">
        <f t="shared" si="13"/>
        <v>4.5</v>
      </c>
      <c r="O72" s="4" t="s">
        <v>414</v>
      </c>
      <c r="P72" s="4" t="s">
        <v>405</v>
      </c>
      <c r="Q72" s="4" t="s">
        <v>415</v>
      </c>
      <c r="R72" s="4">
        <v>1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 t="s">
        <v>378</v>
      </c>
      <c r="Y72" s="4">
        <v>3</v>
      </c>
      <c r="Z72" s="4">
        <v>1</v>
      </c>
      <c r="AA72" s="4">
        <v>1</v>
      </c>
      <c r="AB72" s="4" t="s">
        <v>416</v>
      </c>
      <c r="AC72" s="4"/>
      <c r="AD72" s="7"/>
      <c r="AE72" s="4"/>
      <c r="AF72" s="4">
        <f>IF(SUMIF(Founders_Clean!$A$2:$A$159,A72,Founders_Clean!$C$2:$C$159)=0,"",SUMIF(Founders_Clean!$A$2:$A$159,A72,Founders_Clean!$C$2:$C$159))</f>
        <v>3</v>
      </c>
      <c r="AG72" s="4">
        <f>IF(AF72="","",SUMIF(Founders_Clean!$A$2:$A$159,A72,Founders_Clean!$D$2:$D$159))</f>
        <v>3</v>
      </c>
      <c r="AH72" s="4">
        <f>IF(AF72="","",SUMIF(Founders_Clean!$A$2:$A$159,A72,Founders_Clean!$E$2:$E$159))</f>
        <v>0</v>
      </c>
      <c r="AI72" s="8">
        <f t="shared" si="14"/>
        <v>0</v>
      </c>
      <c r="AJ72" s="4">
        <f t="shared" si="15"/>
        <v>0</v>
      </c>
      <c r="AK72" s="8">
        <f t="shared" si="16"/>
        <v>0</v>
      </c>
      <c r="AL72" s="4"/>
      <c r="AM72" s="4">
        <v>3</v>
      </c>
      <c r="AN72" s="4" t="s">
        <v>116</v>
      </c>
      <c r="AO72" s="4">
        <v>1</v>
      </c>
      <c r="AP72" s="8">
        <v>0.66666666666666696</v>
      </c>
      <c r="AQ72" s="4">
        <v>1</v>
      </c>
      <c r="AR72" s="4">
        <v>7</v>
      </c>
      <c r="AS72" s="4">
        <v>6.5</v>
      </c>
      <c r="AT72" s="7">
        <v>30.5</v>
      </c>
      <c r="AU72" s="4" t="s">
        <v>157</v>
      </c>
      <c r="AV72" s="4" t="s">
        <v>118</v>
      </c>
      <c r="AW72" s="4"/>
      <c r="AX72" s="4" t="s">
        <v>99</v>
      </c>
      <c r="AY72" s="4" t="s">
        <v>100</v>
      </c>
      <c r="AZ72" s="4"/>
      <c r="BA72" s="4">
        <v>0</v>
      </c>
      <c r="BB72" s="4">
        <v>0</v>
      </c>
      <c r="BC72" s="4">
        <v>0</v>
      </c>
      <c r="BD72" s="5"/>
      <c r="BE72" s="4"/>
      <c r="BF72" s="4">
        <f t="shared" si="17"/>
        <v>54</v>
      </c>
      <c r="BG72" s="4">
        <v>1</v>
      </c>
      <c r="BH72" s="7">
        <v>1800000</v>
      </c>
      <c r="BI72" s="4" t="s">
        <v>101</v>
      </c>
      <c r="BJ72" s="5">
        <v>2022</v>
      </c>
      <c r="BK72" s="4">
        <v>1</v>
      </c>
      <c r="BL72" s="4">
        <f>COUNTIFS(Investments_Clean!$A$2:$A$150,A72,Investments_Clean!$F$2:$F$150,"Accepted")</f>
        <v>2</v>
      </c>
      <c r="BM72" s="4">
        <f>IF(BL72=0,"",IF((COUNTIFS(Investments_Clean!$A$2:$A$150,A72,Investments_Clean!$D$2:$D$150,"VC/PE",Investments_Clean!$F$2:$F$150,"Accepted"))&gt;0,1,0))</f>
        <v>1</v>
      </c>
      <c r="BN72" s="4">
        <f>IF(BL72=0,"",IF((COUNTIFS(Investments_Clean!$A$2:$A$150,A72,Investments_Clean!$D$2:$D$150,"Angel",Investments_Clean!$F$2:$F$150,"Accepted"))&gt;0,1,0))</f>
        <v>0</v>
      </c>
      <c r="BO72" s="4">
        <f>IF(BL72=0,"",IF((COUNTIFS(Investments_Clean!$A$2:$A$150,A72,Investments_Clean!$D$2:$D$150,"Accelerator",Investments_Clean!$F$2:$F$150,"Accepted"))&gt;0,1,0))</f>
        <v>0</v>
      </c>
      <c r="BP72" s="4">
        <f>IF(BL72=0,"",IF((COUNTIFS(Investments_Clean!$A$2:$A$150,A72,Investments_Clean!$D$2:$D$150,"Corporate",Investments_Clean!$F$2:$F$150,"Accepted"))&gt;0,1,0))</f>
        <v>0</v>
      </c>
      <c r="BQ72" s="4">
        <f>IF(BL72=0,"",IF((COUNTIFS(Investments_Clean!$A$2:$A$150,A72,Investments_Clean!$D$2:$D$150,"Government",Investments_Clean!$F$2:$F$150,"Accepted"))&gt;0,1,0))</f>
        <v>0</v>
      </c>
      <c r="BR72" s="4">
        <f>IF(BL72=0,"",IF((COUNTIFS(Investments_Clean!$A$2:$A$150,A72,Investments_Clean!$D$2:$D$150,"Grant/Philanthropic",Investments_Clean!$F$2:$F$150,"Accepted")+COUNTIFS(Investments_Clean!$A$2:$A$150,A72,Investments_Clean!$D$2:$D$150,"DFI/Impact",Investments_Clean!$F$2:$F$150,"Accepted"))&gt;0,1,0))</f>
        <v>0</v>
      </c>
      <c r="BS72" s="4"/>
      <c r="BT72" s="4"/>
      <c r="BU72" s="4"/>
      <c r="BV72" s="7">
        <v>7500</v>
      </c>
      <c r="BW72" s="4">
        <v>40</v>
      </c>
      <c r="BX72" s="4">
        <v>1.7</v>
      </c>
      <c r="BY72" s="7"/>
      <c r="BZ72" s="4"/>
      <c r="CA72" s="4">
        <v>3</v>
      </c>
      <c r="CB72" s="4">
        <v>38.799999999999997</v>
      </c>
      <c r="CC72" s="4">
        <f>IF(I72="","",IFERROR(IF(INDEX(Macro_Lookup!$B$2:$B$31,MATCH(I72,Macro_Lookup!$A$2:$A$31,0))="","",INDEX(Macro_Lookup!$B$2:$B$31,MATCH(I72,Macro_Lookup!$A$2:$A$31,0))),""))</f>
        <v>7.1</v>
      </c>
      <c r="CD72" s="4">
        <f>IF(I72="","",IFERROR(IF(INDEX(Macro_Lookup!$C$2:$C$31,MATCH(I72,Macro_Lookup!$A$2:$A$31,0))="","",INDEX(Macro_Lookup!$C$2:$C$31,MATCH(I72,Macro_Lookup!$A$2:$A$31,0))),""))</f>
        <v>7.7</v>
      </c>
      <c r="CE72" s="4">
        <f>IF(BJ72="","",IFERROR(IF(INDEX(Macro_Lookup!$B$2:$B$31,MATCH(BJ72,Macro_Lookup!$A$2:$A$31,0))="","",INDEX(Macro_Lookup!$B$2:$B$31,MATCH(BJ72,Macro_Lookup!$A$2:$A$31,0))),""))</f>
        <v>7.1</v>
      </c>
      <c r="CF72" s="4">
        <f>IF(BJ72="","",IFERROR(IF(INDEX(Macro_Lookup!$C$2:$C$31,MATCH(BJ72,Macro_Lookup!$A$2:$A$31,0))="","",INDEX(Macro_Lookup!$C$2:$C$31,MATCH(BJ72,Macro_Lookup!$A$2:$A$31,0))),""))</f>
        <v>7.7</v>
      </c>
      <c r="CG72" s="4">
        <v>1</v>
      </c>
    </row>
    <row r="73" spans="1:85" x14ac:dyDescent="0.3">
      <c r="A73" s="4" t="s">
        <v>417</v>
      </c>
      <c r="B73" s="4" t="s">
        <v>418</v>
      </c>
      <c r="C73" s="4" t="s">
        <v>87</v>
      </c>
      <c r="D73" s="4" t="s">
        <v>88</v>
      </c>
      <c r="E73" s="4">
        <v>0</v>
      </c>
      <c r="F73" s="4" t="s">
        <v>89</v>
      </c>
      <c r="G73" s="4"/>
      <c r="H73" s="4"/>
      <c r="I73" s="5">
        <v>2019</v>
      </c>
      <c r="J73" s="4"/>
      <c r="K73" s="4" t="s">
        <v>90</v>
      </c>
      <c r="L73" s="6">
        <v>46295</v>
      </c>
      <c r="M73" s="4">
        <f t="shared" si="12"/>
        <v>92</v>
      </c>
      <c r="N73" s="4">
        <f t="shared" si="13"/>
        <v>7.67</v>
      </c>
      <c r="O73" s="4" t="s">
        <v>405</v>
      </c>
      <c r="P73" s="4" t="s">
        <v>405</v>
      </c>
      <c r="Q73" s="4" t="s">
        <v>419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 t="s">
        <v>378</v>
      </c>
      <c r="Y73" s="4">
        <v>3</v>
      </c>
      <c r="Z73" s="4">
        <v>1</v>
      </c>
      <c r="AA73" s="4">
        <v>1</v>
      </c>
      <c r="AB73" s="4" t="s">
        <v>420</v>
      </c>
      <c r="AC73" s="4">
        <v>1</v>
      </c>
      <c r="AD73" s="7">
        <v>10000</v>
      </c>
      <c r="AE73" s="4" t="s">
        <v>95</v>
      </c>
      <c r="AF73" s="4">
        <f>IF(SUMIF(Founders_Clean!$A$2:$A$159,A73,Founders_Clean!$C$2:$C$159)=0,"",SUMIF(Founders_Clean!$A$2:$A$159,A73,Founders_Clean!$C$2:$C$159))</f>
        <v>2</v>
      </c>
      <c r="AG73" s="4">
        <f>IF(AF73="","",SUMIF(Founders_Clean!$A$2:$A$159,A73,Founders_Clean!$D$2:$D$159))</f>
        <v>2</v>
      </c>
      <c r="AH73" s="4">
        <f>IF(AF73="","",SUMIF(Founders_Clean!$A$2:$A$159,A73,Founders_Clean!$E$2:$E$159))</f>
        <v>0</v>
      </c>
      <c r="AI73" s="8">
        <f t="shared" si="14"/>
        <v>0</v>
      </c>
      <c r="AJ73" s="4">
        <f t="shared" si="15"/>
        <v>0</v>
      </c>
      <c r="AK73" s="8">
        <f t="shared" si="16"/>
        <v>0</v>
      </c>
      <c r="AL73" s="4"/>
      <c r="AM73" s="4">
        <v>2</v>
      </c>
      <c r="AN73" s="4" t="s">
        <v>96</v>
      </c>
      <c r="AO73" s="4">
        <v>1</v>
      </c>
      <c r="AP73" s="8">
        <v>0.5</v>
      </c>
      <c r="AQ73" s="4">
        <v>0</v>
      </c>
      <c r="AR73" s="4">
        <v>7</v>
      </c>
      <c r="AS73" s="4">
        <v>7</v>
      </c>
      <c r="AT73" s="7">
        <v>30.5</v>
      </c>
      <c r="AU73" s="4" t="s">
        <v>157</v>
      </c>
      <c r="AV73" s="4" t="s">
        <v>118</v>
      </c>
      <c r="AW73" s="4"/>
      <c r="AX73" s="4" t="s">
        <v>99</v>
      </c>
      <c r="AY73" s="4" t="s">
        <v>100</v>
      </c>
      <c r="AZ73" s="4"/>
      <c r="BA73" s="4">
        <v>0</v>
      </c>
      <c r="BB73" s="4">
        <v>0</v>
      </c>
      <c r="BC73" s="4">
        <v>0</v>
      </c>
      <c r="BD73" s="5"/>
      <c r="BE73" s="4"/>
      <c r="BF73" s="4">
        <f t="shared" si="17"/>
        <v>92</v>
      </c>
      <c r="BG73" s="4">
        <v>1</v>
      </c>
      <c r="BH73" s="7">
        <v>10000</v>
      </c>
      <c r="BI73" s="4" t="s">
        <v>101</v>
      </c>
      <c r="BJ73" s="5"/>
      <c r="BK73" s="4">
        <v>1</v>
      </c>
      <c r="BL73" s="4">
        <f>COUNTIFS(Investments_Clean!$A$2:$A$150,A73,Investments_Clean!$F$2:$F$150,"Accepted")</f>
        <v>0</v>
      </c>
      <c r="BM73" s="4" t="str">
        <f>IF(BL73=0,"",IF((COUNTIFS(Investments_Clean!$A$2:$A$150,A73,Investments_Clean!$D$2:$D$150,"VC/PE",Investments_Clean!$F$2:$F$150,"Accepted"))&gt;0,1,0))</f>
        <v/>
      </c>
      <c r="BN73" s="4" t="str">
        <f>IF(BL73=0,"",IF((COUNTIFS(Investments_Clean!$A$2:$A$150,A73,Investments_Clean!$D$2:$D$150,"Angel",Investments_Clean!$F$2:$F$150,"Accepted"))&gt;0,1,0))</f>
        <v/>
      </c>
      <c r="BO73" s="4" t="str">
        <f>IF(BL73=0,"",IF((COUNTIFS(Investments_Clean!$A$2:$A$150,A73,Investments_Clean!$D$2:$D$150,"Accelerator",Investments_Clean!$F$2:$F$150,"Accepted"))&gt;0,1,0))</f>
        <v/>
      </c>
      <c r="BP73" s="4" t="str">
        <f>IF(BL73=0,"",IF((COUNTIFS(Investments_Clean!$A$2:$A$150,A73,Investments_Clean!$D$2:$D$150,"Corporate",Investments_Clean!$F$2:$F$150,"Accepted"))&gt;0,1,0))</f>
        <v/>
      </c>
      <c r="BQ73" s="4" t="str">
        <f>IF(BL73=0,"",IF((COUNTIFS(Investments_Clean!$A$2:$A$150,A73,Investments_Clean!$D$2:$D$150,"Government",Investments_Clean!$F$2:$F$150,"Accepted"))&gt;0,1,0))</f>
        <v/>
      </c>
      <c r="BR73" s="4" t="str">
        <f>IF(BL73=0,"",IF((COUNTIFS(Investments_Clean!$A$2:$A$150,A73,Investments_Clean!$D$2:$D$150,"Grant/Philanthropic",Investments_Clean!$F$2:$F$150,"Accepted")+COUNTIFS(Investments_Clean!$A$2:$A$150,A73,Investments_Clean!$D$2:$D$150,"DFI/Impact",Investments_Clean!$F$2:$F$150,"Accepted"))&gt;0,1,0))</f>
        <v/>
      </c>
      <c r="BS73" s="4"/>
      <c r="BT73" s="4"/>
      <c r="BU73" s="4"/>
      <c r="BV73" s="7">
        <v>5500</v>
      </c>
      <c r="BW73" s="4">
        <v>20</v>
      </c>
      <c r="BX73" s="4">
        <v>50</v>
      </c>
      <c r="BY73" s="7"/>
      <c r="BZ73" s="4"/>
      <c r="CA73" s="4">
        <v>3</v>
      </c>
      <c r="CB73" s="4">
        <v>52.5</v>
      </c>
      <c r="CC73" s="4">
        <f>IF(I73="","",IFERROR(IF(INDEX(Macro_Lookup!$B$2:$B$31,MATCH(I73,Macro_Lookup!$A$2:$A$31,0))="","",INDEX(Macro_Lookup!$B$2:$B$31,MATCH(I73,Macro_Lookup!$A$2:$A$31,0))),""))</f>
        <v>7.88</v>
      </c>
      <c r="CD73" s="4">
        <f>IF(I73="","",IFERROR(IF(INDEX(Macro_Lookup!$C$2:$C$31,MATCH(I73,Macro_Lookup!$A$2:$A$31,0))="","",INDEX(Macro_Lookup!$C$2:$C$31,MATCH(I73,Macro_Lookup!$A$2:$A$31,0))),""))</f>
        <v>5.5</v>
      </c>
      <c r="CE73" s="4" t="str">
        <f>IF(BJ73="","",IFERROR(IF(INDEX(Macro_Lookup!$B$2:$B$31,MATCH(BJ73,Macro_Lookup!$A$2:$A$31,0))="","",INDEX(Macro_Lookup!$B$2:$B$31,MATCH(BJ73,Macro_Lookup!$A$2:$A$31,0))),""))</f>
        <v/>
      </c>
      <c r="CF73" s="4" t="str">
        <f>IF(BJ73="","",IFERROR(IF(INDEX(Macro_Lookup!$C$2:$C$31,MATCH(BJ73,Macro_Lookup!$A$2:$A$31,0))="","",INDEX(Macro_Lookup!$C$2:$C$31,MATCH(BJ73,Macro_Lookup!$A$2:$A$31,0))),""))</f>
        <v/>
      </c>
      <c r="CG73" s="4">
        <v>0</v>
      </c>
    </row>
    <row r="74" spans="1:85" x14ac:dyDescent="0.3">
      <c r="A74" s="4" t="s">
        <v>421</v>
      </c>
      <c r="B74" s="4" t="s">
        <v>422</v>
      </c>
      <c r="C74" s="4" t="s">
        <v>87</v>
      </c>
      <c r="D74" s="4" t="s">
        <v>88</v>
      </c>
      <c r="E74" s="4">
        <v>0</v>
      </c>
      <c r="F74" s="4" t="s">
        <v>89</v>
      </c>
      <c r="G74" s="4"/>
      <c r="H74" s="4"/>
      <c r="I74" s="5">
        <v>2018</v>
      </c>
      <c r="J74" s="4"/>
      <c r="K74" s="4" t="s">
        <v>90</v>
      </c>
      <c r="L74" s="6">
        <v>46295</v>
      </c>
      <c r="M74" s="4">
        <f t="shared" si="12"/>
        <v>104</v>
      </c>
      <c r="N74" s="4">
        <f t="shared" si="13"/>
        <v>8.67</v>
      </c>
      <c r="O74" s="4" t="s">
        <v>423</v>
      </c>
      <c r="P74" s="4" t="s">
        <v>405</v>
      </c>
      <c r="Q74" s="4" t="s">
        <v>424</v>
      </c>
      <c r="R74" s="4">
        <v>1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 t="s">
        <v>378</v>
      </c>
      <c r="Y74" s="4">
        <v>3</v>
      </c>
      <c r="Z74" s="4">
        <v>1</v>
      </c>
      <c r="AA74" s="4">
        <v>0</v>
      </c>
      <c r="AB74" s="4" t="s">
        <v>425</v>
      </c>
      <c r="AC74" s="4"/>
      <c r="AD74" s="7"/>
      <c r="AE74" s="4"/>
      <c r="AF74" s="4" t="str">
        <f>IF(SUMIF(Founders_Clean!$A$2:$A$159,A74,Founders_Clean!$C$2:$C$159)=0,"",SUMIF(Founders_Clean!$A$2:$A$159,A74,Founders_Clean!$C$2:$C$159))</f>
        <v/>
      </c>
      <c r="AG74" s="4" t="str">
        <f>IF(AF74="","",SUMIF(Founders_Clean!$A$2:$A$159,A74,Founders_Clean!$D$2:$D$159))</f>
        <v/>
      </c>
      <c r="AH74" s="4" t="str">
        <f>IF(AF74="","",SUMIF(Founders_Clean!$A$2:$A$159,A74,Founders_Clean!$E$2:$E$159))</f>
        <v/>
      </c>
      <c r="AI74" s="8" t="str">
        <f t="shared" si="14"/>
        <v/>
      </c>
      <c r="AJ74" s="4" t="str">
        <f t="shared" si="15"/>
        <v/>
      </c>
      <c r="AK74" s="8" t="str">
        <f t="shared" si="16"/>
        <v/>
      </c>
      <c r="AL74" s="4"/>
      <c r="AM74" s="4"/>
      <c r="AN74" s="4"/>
      <c r="AO74" s="4"/>
      <c r="AP74" s="8"/>
      <c r="AQ74" s="4"/>
      <c r="AR74" s="4"/>
      <c r="AS74" s="4"/>
      <c r="AT74" s="7"/>
      <c r="AU74" s="4"/>
      <c r="AV74" s="4"/>
      <c r="AW74" s="4"/>
      <c r="AX74" s="4" t="s">
        <v>258</v>
      </c>
      <c r="AY74" s="4" t="s">
        <v>259</v>
      </c>
      <c r="AZ74" s="4" t="s">
        <v>426</v>
      </c>
      <c r="BA74" s="4"/>
      <c r="BB74" s="4">
        <v>0</v>
      </c>
      <c r="BC74" s="4"/>
      <c r="BD74" s="5"/>
      <c r="BE74" s="4"/>
      <c r="BF74" s="4" t="str">
        <f t="shared" si="17"/>
        <v/>
      </c>
      <c r="BG74" s="4"/>
      <c r="BH74" s="7"/>
      <c r="BI74" s="4"/>
      <c r="BJ74" s="5"/>
      <c r="BK74" s="4"/>
      <c r="BL74" s="4">
        <f>COUNTIFS(Investments_Clean!$A$2:$A$150,A74,Investments_Clean!$F$2:$F$150,"Accepted")</f>
        <v>0</v>
      </c>
      <c r="BM74" s="4" t="str">
        <f>IF(BL74=0,"",IF((COUNTIFS(Investments_Clean!$A$2:$A$150,A74,Investments_Clean!$D$2:$D$150,"VC/PE",Investments_Clean!$F$2:$F$150,"Accepted"))&gt;0,1,0))</f>
        <v/>
      </c>
      <c r="BN74" s="4" t="str">
        <f>IF(BL74=0,"",IF((COUNTIFS(Investments_Clean!$A$2:$A$150,A74,Investments_Clean!$D$2:$D$150,"Angel",Investments_Clean!$F$2:$F$150,"Accepted"))&gt;0,1,0))</f>
        <v/>
      </c>
      <c r="BO74" s="4" t="str">
        <f>IF(BL74=0,"",IF((COUNTIFS(Investments_Clean!$A$2:$A$150,A74,Investments_Clean!$D$2:$D$150,"Accelerator",Investments_Clean!$F$2:$F$150,"Accepted"))&gt;0,1,0))</f>
        <v/>
      </c>
      <c r="BP74" s="4" t="str">
        <f>IF(BL74=0,"",IF((COUNTIFS(Investments_Clean!$A$2:$A$150,A74,Investments_Clean!$D$2:$D$150,"Corporate",Investments_Clean!$F$2:$F$150,"Accepted"))&gt;0,1,0))</f>
        <v/>
      </c>
      <c r="BQ74" s="4" t="str">
        <f>IF(BL74=0,"",IF((COUNTIFS(Investments_Clean!$A$2:$A$150,A74,Investments_Clean!$D$2:$D$150,"Government",Investments_Clean!$F$2:$F$150,"Accepted"))&gt;0,1,0))</f>
        <v/>
      </c>
      <c r="BR74" s="4" t="str">
        <f>IF(BL74=0,"",IF((COUNTIFS(Investments_Clean!$A$2:$A$150,A74,Investments_Clean!$D$2:$D$150,"Grant/Philanthropic",Investments_Clean!$F$2:$F$150,"Accepted")+COUNTIFS(Investments_Clean!$A$2:$A$150,A74,Investments_Clean!$D$2:$D$150,"DFI/Impact",Investments_Clean!$F$2:$F$150,"Accepted"))&gt;0,1,0))</f>
        <v/>
      </c>
      <c r="BS74" s="4"/>
      <c r="BT74" s="4"/>
      <c r="BU74" s="4"/>
      <c r="BV74" s="7">
        <v>1000</v>
      </c>
      <c r="BW74" s="4">
        <v>2.5</v>
      </c>
      <c r="BX74" s="4">
        <v>31.2</v>
      </c>
      <c r="BY74" s="7"/>
      <c r="BZ74" s="4"/>
      <c r="CA74" s="4">
        <v>3</v>
      </c>
      <c r="CB74" s="4">
        <v>30.4</v>
      </c>
      <c r="CC74" s="4">
        <f>IF(I74="","",IFERROR(IF(INDEX(Macro_Lookup!$B$2:$B$31,MATCH(I74,Macro_Lookup!$A$2:$A$31,0))="","",INDEX(Macro_Lookup!$B$2:$B$31,MATCH(I74,Macro_Lookup!$A$2:$A$31,0))),""))</f>
        <v>7.32</v>
      </c>
      <c r="CD74" s="4">
        <f>IF(I74="","",IFERROR(IF(INDEX(Macro_Lookup!$C$2:$C$31,MATCH(I74,Macro_Lookup!$A$2:$A$31,0))="","",INDEX(Macro_Lookup!$C$2:$C$31,MATCH(I74,Macro_Lookup!$A$2:$A$31,0))),""))</f>
        <v>5.54</v>
      </c>
      <c r="CE74" s="4" t="str">
        <f>IF(BJ74="","",IFERROR(IF(INDEX(Macro_Lookup!$B$2:$B$31,MATCH(BJ74,Macro_Lookup!$A$2:$A$31,0))="","",INDEX(Macro_Lookup!$B$2:$B$31,MATCH(BJ74,Macro_Lookup!$A$2:$A$31,0))),""))</f>
        <v/>
      </c>
      <c r="CF74" s="4" t="str">
        <f>IF(BJ74="","",IFERROR(IF(INDEX(Macro_Lookup!$C$2:$C$31,MATCH(BJ74,Macro_Lookup!$A$2:$A$31,0))="","",INDEX(Macro_Lookup!$C$2:$C$31,MATCH(BJ74,Macro_Lookup!$A$2:$A$31,0))),""))</f>
        <v/>
      </c>
      <c r="CG74" s="4">
        <v>7</v>
      </c>
    </row>
    <row r="75" spans="1:85" x14ac:dyDescent="0.3">
      <c r="A75" s="4" t="s">
        <v>427</v>
      </c>
      <c r="B75" s="4" t="s">
        <v>428</v>
      </c>
      <c r="C75" s="4" t="s">
        <v>87</v>
      </c>
      <c r="D75" s="4" t="s">
        <v>88</v>
      </c>
      <c r="E75" s="4">
        <v>0</v>
      </c>
      <c r="F75" s="4" t="s">
        <v>89</v>
      </c>
      <c r="G75" s="4"/>
      <c r="H75" s="4"/>
      <c r="I75" s="5">
        <v>2020</v>
      </c>
      <c r="J75" s="4"/>
      <c r="K75" s="4" t="s">
        <v>90</v>
      </c>
      <c r="L75" s="6">
        <v>46295</v>
      </c>
      <c r="M75" s="4">
        <f t="shared" si="12"/>
        <v>80</v>
      </c>
      <c r="N75" s="4">
        <f t="shared" si="13"/>
        <v>6.67</v>
      </c>
      <c r="O75" s="4" t="s">
        <v>429</v>
      </c>
      <c r="P75" s="4" t="s">
        <v>405</v>
      </c>
      <c r="Q75" s="4" t="s">
        <v>430</v>
      </c>
      <c r="R75" s="4">
        <v>1</v>
      </c>
      <c r="S75" s="4">
        <v>0</v>
      </c>
      <c r="T75" s="4">
        <v>0</v>
      </c>
      <c r="U75" s="4">
        <v>0</v>
      </c>
      <c r="V75" s="4">
        <v>1</v>
      </c>
      <c r="W75" s="4">
        <v>0</v>
      </c>
      <c r="X75" s="4" t="s">
        <v>378</v>
      </c>
      <c r="Y75" s="4">
        <v>3</v>
      </c>
      <c r="Z75" s="4">
        <v>1</v>
      </c>
      <c r="AA75" s="4">
        <v>0</v>
      </c>
      <c r="AB75" s="4" t="s">
        <v>431</v>
      </c>
      <c r="AC75" s="4"/>
      <c r="AD75" s="7"/>
      <c r="AE75" s="4"/>
      <c r="AF75" s="4">
        <f>IF(SUMIF(Founders_Clean!$A$2:$A$159,A75,Founders_Clean!$C$2:$C$159)=0,"",SUMIF(Founders_Clean!$A$2:$A$159,A75,Founders_Clean!$C$2:$C$159))</f>
        <v>1</v>
      </c>
      <c r="AG75" s="4">
        <f>IF(AF75="","",SUMIF(Founders_Clean!$A$2:$A$159,A75,Founders_Clean!$D$2:$D$159))</f>
        <v>1</v>
      </c>
      <c r="AH75" s="4">
        <f>IF(AF75="","",SUMIF(Founders_Clean!$A$2:$A$159,A75,Founders_Clean!$E$2:$E$159))</f>
        <v>0</v>
      </c>
      <c r="AI75" s="8">
        <f t="shared" si="14"/>
        <v>0</v>
      </c>
      <c r="AJ75" s="4">
        <f t="shared" si="15"/>
        <v>0</v>
      </c>
      <c r="AK75" s="8">
        <f t="shared" si="16"/>
        <v>0</v>
      </c>
      <c r="AL75" s="4"/>
      <c r="AM75" s="4">
        <v>2</v>
      </c>
      <c r="AN75" s="4" t="s">
        <v>96</v>
      </c>
      <c r="AO75" s="4">
        <v>1</v>
      </c>
      <c r="AP75" s="8">
        <v>1</v>
      </c>
      <c r="AQ75" s="4">
        <v>1</v>
      </c>
      <c r="AR75" s="4">
        <v>20</v>
      </c>
      <c r="AS75" s="4">
        <v>20</v>
      </c>
      <c r="AT75" s="7">
        <v>30.5</v>
      </c>
      <c r="AU75" s="4" t="s">
        <v>157</v>
      </c>
      <c r="AV75" s="4" t="s">
        <v>118</v>
      </c>
      <c r="AW75" s="4"/>
      <c r="AX75" s="4" t="s">
        <v>99</v>
      </c>
      <c r="AY75" s="4" t="s">
        <v>100</v>
      </c>
      <c r="AZ75" s="4"/>
      <c r="BA75" s="4">
        <v>0</v>
      </c>
      <c r="BB75" s="4">
        <v>0</v>
      </c>
      <c r="BC75" s="4">
        <v>0</v>
      </c>
      <c r="BD75" s="5"/>
      <c r="BE75" s="4"/>
      <c r="BF75" s="4">
        <f t="shared" si="17"/>
        <v>80</v>
      </c>
      <c r="BG75" s="4">
        <v>0</v>
      </c>
      <c r="BH75" s="7">
        <v>0</v>
      </c>
      <c r="BI75" s="4" t="s">
        <v>112</v>
      </c>
      <c r="BJ75" s="5"/>
      <c r="BK75" s="4">
        <v>0</v>
      </c>
      <c r="BL75" s="4">
        <f>COUNTIFS(Investments_Clean!$A$2:$A$150,A75,Investments_Clean!$F$2:$F$150,"Accepted")</f>
        <v>0</v>
      </c>
      <c r="BM75" s="4" t="str">
        <f>IF(BL75=0,"",IF((COUNTIFS(Investments_Clean!$A$2:$A$150,A75,Investments_Clean!$D$2:$D$150,"VC/PE",Investments_Clean!$F$2:$F$150,"Accepted"))&gt;0,1,0))</f>
        <v/>
      </c>
      <c r="BN75" s="4" t="str">
        <f>IF(BL75=0,"",IF((COUNTIFS(Investments_Clean!$A$2:$A$150,A75,Investments_Clean!$D$2:$D$150,"Angel",Investments_Clean!$F$2:$F$150,"Accepted"))&gt;0,1,0))</f>
        <v/>
      </c>
      <c r="BO75" s="4" t="str">
        <f>IF(BL75=0,"",IF((COUNTIFS(Investments_Clean!$A$2:$A$150,A75,Investments_Clean!$D$2:$D$150,"Accelerator",Investments_Clean!$F$2:$F$150,"Accepted"))&gt;0,1,0))</f>
        <v/>
      </c>
      <c r="BP75" s="4" t="str">
        <f>IF(BL75=0,"",IF((COUNTIFS(Investments_Clean!$A$2:$A$150,A75,Investments_Clean!$D$2:$D$150,"Corporate",Investments_Clean!$F$2:$F$150,"Accepted"))&gt;0,1,0))</f>
        <v/>
      </c>
      <c r="BQ75" s="4" t="str">
        <f>IF(BL75=0,"",IF((COUNTIFS(Investments_Clean!$A$2:$A$150,A75,Investments_Clean!$D$2:$D$150,"Government",Investments_Clean!$F$2:$F$150,"Accepted"))&gt;0,1,0))</f>
        <v/>
      </c>
      <c r="BR75" s="4" t="str">
        <f>IF(BL75=0,"",IF((COUNTIFS(Investments_Clean!$A$2:$A$150,A75,Investments_Clean!$D$2:$D$150,"Grant/Philanthropic",Investments_Clean!$F$2:$F$150,"Accepted")+COUNTIFS(Investments_Clean!$A$2:$A$150,A75,Investments_Clean!$D$2:$D$150,"DFI/Impact",Investments_Clean!$F$2:$F$150,"Accepted"))&gt;0,1,0))</f>
        <v/>
      </c>
      <c r="BS75" s="4"/>
      <c r="BT75" s="4"/>
      <c r="BU75" s="4"/>
      <c r="BV75" s="7">
        <v>11500</v>
      </c>
      <c r="BW75" s="4">
        <v>40</v>
      </c>
      <c r="BX75" s="4">
        <v>3.5</v>
      </c>
      <c r="BY75" s="7">
        <v>10000</v>
      </c>
      <c r="BZ75" s="4"/>
      <c r="CA75" s="4">
        <v>4</v>
      </c>
      <c r="CB75" s="4">
        <v>47.5</v>
      </c>
      <c r="CC75" s="4">
        <f>IF(I75="","",IFERROR(IF(INDEX(Macro_Lookup!$B$2:$B$31,MATCH(I75,Macro_Lookup!$A$2:$A$31,0))="","",INDEX(Macro_Lookup!$B$2:$B$31,MATCH(I75,Macro_Lookup!$A$2:$A$31,0))),""))</f>
        <v>3.45</v>
      </c>
      <c r="CD75" s="4">
        <f>IF(I75="","",IFERROR(IF(INDEX(Macro_Lookup!$C$2:$C$31,MATCH(I75,Macro_Lookup!$A$2:$A$31,0))="","",INDEX(Macro_Lookup!$C$2:$C$31,MATCH(I75,Macro_Lookup!$A$2:$A$31,0))),""))</f>
        <v>5.69</v>
      </c>
      <c r="CE75" s="4" t="str">
        <f>IF(BJ75="","",IFERROR(IF(INDEX(Macro_Lookup!$B$2:$B$31,MATCH(BJ75,Macro_Lookup!$A$2:$A$31,0))="","",INDEX(Macro_Lookup!$B$2:$B$31,MATCH(BJ75,Macro_Lookup!$A$2:$A$31,0))),""))</f>
        <v/>
      </c>
      <c r="CF75" s="4" t="str">
        <f>IF(BJ75="","",IFERROR(IF(INDEX(Macro_Lookup!$C$2:$C$31,MATCH(BJ75,Macro_Lookup!$A$2:$A$31,0))="","",INDEX(Macro_Lookup!$C$2:$C$31,MATCH(BJ75,Macro_Lookup!$A$2:$A$31,0))),""))</f>
        <v/>
      </c>
      <c r="CG75" s="4">
        <v>1</v>
      </c>
    </row>
    <row r="76" spans="1:85" x14ac:dyDescent="0.3">
      <c r="A76" s="4" t="s">
        <v>432</v>
      </c>
      <c r="B76" s="4" t="s">
        <v>433</v>
      </c>
      <c r="C76" s="4" t="s">
        <v>87</v>
      </c>
      <c r="D76" s="4" t="s">
        <v>88</v>
      </c>
      <c r="E76" s="4">
        <v>0</v>
      </c>
      <c r="F76" s="4" t="s">
        <v>89</v>
      </c>
      <c r="G76" s="4"/>
      <c r="H76" s="4"/>
      <c r="I76" s="5">
        <v>2022</v>
      </c>
      <c r="J76" s="4"/>
      <c r="K76" s="4" t="s">
        <v>90</v>
      </c>
      <c r="L76" s="6">
        <v>46295</v>
      </c>
      <c r="M76" s="4">
        <f t="shared" si="12"/>
        <v>56</v>
      </c>
      <c r="N76" s="4">
        <f t="shared" si="13"/>
        <v>4.67</v>
      </c>
      <c r="O76" s="4" t="s">
        <v>400</v>
      </c>
      <c r="P76" s="4" t="s">
        <v>92</v>
      </c>
      <c r="Q76" s="4" t="s">
        <v>434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1</v>
      </c>
      <c r="X76" s="4" t="s">
        <v>378</v>
      </c>
      <c r="Y76" s="4">
        <v>3</v>
      </c>
      <c r="Z76" s="4">
        <v>1</v>
      </c>
      <c r="AA76" s="4">
        <v>1</v>
      </c>
      <c r="AB76" s="4" t="s">
        <v>228</v>
      </c>
      <c r="AC76" s="4"/>
      <c r="AD76" s="7"/>
      <c r="AE76" s="4"/>
      <c r="AF76" s="4">
        <f>IF(SUMIF(Founders_Clean!$A$2:$A$159,A76,Founders_Clean!$C$2:$C$159)=0,"",SUMIF(Founders_Clean!$A$2:$A$159,A76,Founders_Clean!$C$2:$C$159))</f>
        <v>2</v>
      </c>
      <c r="AG76" s="4">
        <f>IF(AF76="","",SUMIF(Founders_Clean!$A$2:$A$159,A76,Founders_Clean!$D$2:$D$159))</f>
        <v>2</v>
      </c>
      <c r="AH76" s="4">
        <f>IF(AF76="","",SUMIF(Founders_Clean!$A$2:$A$159,A76,Founders_Clean!$E$2:$E$159))</f>
        <v>0</v>
      </c>
      <c r="AI76" s="8">
        <f t="shared" si="14"/>
        <v>0</v>
      </c>
      <c r="AJ76" s="4">
        <f t="shared" si="15"/>
        <v>0</v>
      </c>
      <c r="AK76" s="8">
        <f t="shared" si="16"/>
        <v>0</v>
      </c>
      <c r="AL76" s="4"/>
      <c r="AM76" s="4">
        <v>2</v>
      </c>
      <c r="AN76" s="4" t="s">
        <v>96</v>
      </c>
      <c r="AO76" s="4">
        <v>0</v>
      </c>
      <c r="AP76" s="8">
        <v>0</v>
      </c>
      <c r="AQ76" s="4">
        <v>0</v>
      </c>
      <c r="AR76" s="4">
        <v>8</v>
      </c>
      <c r="AS76" s="4">
        <v>8</v>
      </c>
      <c r="AT76" s="7">
        <v>30.5</v>
      </c>
      <c r="AU76" s="4" t="s">
        <v>157</v>
      </c>
      <c r="AV76" s="4" t="s">
        <v>118</v>
      </c>
      <c r="AW76" s="4"/>
      <c r="AX76" s="4" t="s">
        <v>99</v>
      </c>
      <c r="AY76" s="4" t="s">
        <v>100</v>
      </c>
      <c r="AZ76" s="4"/>
      <c r="BA76" s="4">
        <v>0</v>
      </c>
      <c r="BB76" s="4">
        <v>0</v>
      </c>
      <c r="BC76" s="4">
        <v>0</v>
      </c>
      <c r="BD76" s="5"/>
      <c r="BE76" s="4"/>
      <c r="BF76" s="4">
        <f t="shared" si="17"/>
        <v>56</v>
      </c>
      <c r="BG76" s="4">
        <v>1</v>
      </c>
      <c r="BH76" s="7"/>
      <c r="BI76" s="4"/>
      <c r="BJ76" s="5"/>
      <c r="BK76" s="4">
        <v>1</v>
      </c>
      <c r="BL76" s="4">
        <f>COUNTIFS(Investments_Clean!$A$2:$A$150,A76,Investments_Clean!$F$2:$F$150,"Accepted")</f>
        <v>0</v>
      </c>
      <c r="BM76" s="4" t="str">
        <f>IF(BL76=0,"",IF((COUNTIFS(Investments_Clean!$A$2:$A$150,A76,Investments_Clean!$D$2:$D$150,"VC/PE",Investments_Clean!$F$2:$F$150,"Accepted"))&gt;0,1,0))</f>
        <v/>
      </c>
      <c r="BN76" s="4" t="str">
        <f>IF(BL76=0,"",IF((COUNTIFS(Investments_Clean!$A$2:$A$150,A76,Investments_Clean!$D$2:$D$150,"Angel",Investments_Clean!$F$2:$F$150,"Accepted"))&gt;0,1,0))</f>
        <v/>
      </c>
      <c r="BO76" s="4" t="str">
        <f>IF(BL76=0,"",IF((COUNTIFS(Investments_Clean!$A$2:$A$150,A76,Investments_Clean!$D$2:$D$150,"Accelerator",Investments_Clean!$F$2:$F$150,"Accepted"))&gt;0,1,0))</f>
        <v/>
      </c>
      <c r="BP76" s="4" t="str">
        <f>IF(BL76=0,"",IF((COUNTIFS(Investments_Clean!$A$2:$A$150,A76,Investments_Clean!$D$2:$D$150,"Corporate",Investments_Clean!$F$2:$F$150,"Accepted"))&gt;0,1,0))</f>
        <v/>
      </c>
      <c r="BQ76" s="4" t="str">
        <f>IF(BL76=0,"",IF((COUNTIFS(Investments_Clean!$A$2:$A$150,A76,Investments_Clean!$D$2:$D$150,"Government",Investments_Clean!$F$2:$F$150,"Accepted"))&gt;0,1,0))</f>
        <v/>
      </c>
      <c r="BR76" s="4" t="str">
        <f>IF(BL76=0,"",IF((COUNTIFS(Investments_Clean!$A$2:$A$150,A76,Investments_Clean!$D$2:$D$150,"Grant/Philanthropic",Investments_Clean!$F$2:$F$150,"Accepted")+COUNTIFS(Investments_Clean!$A$2:$A$150,A76,Investments_Clean!$D$2:$D$150,"DFI/Impact",Investments_Clean!$F$2:$F$150,"Accepted"))&gt;0,1,0))</f>
        <v/>
      </c>
      <c r="BS76" s="4"/>
      <c r="BT76" s="4"/>
      <c r="BU76" s="4"/>
      <c r="BV76" s="7">
        <v>17500</v>
      </c>
      <c r="BW76" s="4">
        <v>27.5</v>
      </c>
      <c r="BX76" s="4">
        <v>51.1</v>
      </c>
      <c r="BY76" s="7">
        <v>1000</v>
      </c>
      <c r="BZ76" s="4"/>
      <c r="CA76" s="4">
        <v>4</v>
      </c>
      <c r="CB76" s="4">
        <v>59</v>
      </c>
      <c r="CC76" s="4">
        <f>IF(I76="","",IFERROR(IF(INDEX(Macro_Lookup!$B$2:$B$31,MATCH(I76,Macro_Lookup!$A$2:$A$31,0))="","",INDEX(Macro_Lookup!$B$2:$B$31,MATCH(I76,Macro_Lookup!$A$2:$A$31,0))),""))</f>
        <v>7.1</v>
      </c>
      <c r="CD76" s="4">
        <f>IF(I76="","",IFERROR(IF(INDEX(Macro_Lookup!$C$2:$C$31,MATCH(I76,Macro_Lookup!$A$2:$A$31,0))="","",INDEX(Macro_Lookup!$C$2:$C$31,MATCH(I76,Macro_Lookup!$A$2:$A$31,0))),""))</f>
        <v>7.7</v>
      </c>
      <c r="CE76" s="4" t="str">
        <f>IF(BJ76="","",IFERROR(IF(INDEX(Macro_Lookup!$B$2:$B$31,MATCH(BJ76,Macro_Lookup!$A$2:$A$31,0))="","",INDEX(Macro_Lookup!$B$2:$B$31,MATCH(BJ76,Macro_Lookup!$A$2:$A$31,0))),""))</f>
        <v/>
      </c>
      <c r="CF76" s="4" t="str">
        <f>IF(BJ76="","",IFERROR(IF(INDEX(Macro_Lookup!$C$2:$C$31,MATCH(BJ76,Macro_Lookup!$A$2:$A$31,0))="","",INDEX(Macro_Lookup!$C$2:$C$31,MATCH(BJ76,Macro_Lookup!$A$2:$A$31,0))),""))</f>
        <v/>
      </c>
      <c r="CG76" s="4">
        <v>1</v>
      </c>
    </row>
    <row r="77" spans="1:85" x14ac:dyDescent="0.3">
      <c r="A77" s="4" t="s">
        <v>435</v>
      </c>
      <c r="B77" s="4" t="s">
        <v>436</v>
      </c>
      <c r="C77" s="4" t="s">
        <v>87</v>
      </c>
      <c r="D77" s="4" t="s">
        <v>88</v>
      </c>
      <c r="E77" s="4">
        <v>0</v>
      </c>
      <c r="F77" s="4" t="s">
        <v>89</v>
      </c>
      <c r="G77" s="4"/>
      <c r="H77" s="4"/>
      <c r="I77" s="5">
        <v>2017</v>
      </c>
      <c r="J77" s="4"/>
      <c r="K77" s="4" t="s">
        <v>90</v>
      </c>
      <c r="L77" s="6">
        <v>46295</v>
      </c>
      <c r="M77" s="4">
        <f t="shared" si="12"/>
        <v>116</v>
      </c>
      <c r="N77" s="4">
        <f t="shared" si="13"/>
        <v>9.67</v>
      </c>
      <c r="O77" s="4" t="s">
        <v>405</v>
      </c>
      <c r="P77" s="4" t="s">
        <v>405</v>
      </c>
      <c r="Q77" s="4" t="s">
        <v>437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 t="s">
        <v>438</v>
      </c>
      <c r="Y77" s="4"/>
      <c r="Z77" s="4"/>
      <c r="AA77" s="4"/>
      <c r="AB77" s="4"/>
      <c r="AC77" s="4"/>
      <c r="AD77" s="7"/>
      <c r="AE77" s="4"/>
      <c r="AF77" s="4" t="str">
        <f>IF(SUMIF(Founders_Clean!$A$2:$A$159,A77,Founders_Clean!$C$2:$C$159)=0,"",SUMIF(Founders_Clean!$A$2:$A$159,A77,Founders_Clean!$C$2:$C$159))</f>
        <v/>
      </c>
      <c r="AG77" s="4" t="str">
        <f>IF(AF77="","",SUMIF(Founders_Clean!$A$2:$A$159,A77,Founders_Clean!$D$2:$D$159))</f>
        <v/>
      </c>
      <c r="AH77" s="4" t="str">
        <f>IF(AF77="","",SUMIF(Founders_Clean!$A$2:$A$159,A77,Founders_Clean!$E$2:$E$159))</f>
        <v/>
      </c>
      <c r="AI77" s="8" t="str">
        <f t="shared" si="14"/>
        <v/>
      </c>
      <c r="AJ77" s="4" t="str">
        <f t="shared" si="15"/>
        <v/>
      </c>
      <c r="AK77" s="8" t="str">
        <f t="shared" si="16"/>
        <v/>
      </c>
      <c r="AL77" s="4"/>
      <c r="AM77" s="4"/>
      <c r="AN77" s="4"/>
      <c r="AO77" s="4"/>
      <c r="AP77" s="8"/>
      <c r="AQ77" s="4"/>
      <c r="AR77" s="4"/>
      <c r="AS77" s="4"/>
      <c r="AT77" s="7"/>
      <c r="AU77" s="4"/>
      <c r="AV77" s="4"/>
      <c r="AW77" s="4"/>
      <c r="AX77" s="4" t="s">
        <v>258</v>
      </c>
      <c r="AY77" s="4" t="s">
        <v>259</v>
      </c>
      <c r="AZ77" s="4" t="s">
        <v>426</v>
      </c>
      <c r="BA77" s="4"/>
      <c r="BB77" s="4">
        <v>0</v>
      </c>
      <c r="BC77" s="4"/>
      <c r="BD77" s="5"/>
      <c r="BE77" s="4"/>
      <c r="BF77" s="4" t="str">
        <f t="shared" si="17"/>
        <v/>
      </c>
      <c r="BG77" s="4"/>
      <c r="BH77" s="7"/>
      <c r="BI77" s="4"/>
      <c r="BJ77" s="5"/>
      <c r="BK77" s="4"/>
      <c r="BL77" s="4">
        <f>COUNTIFS(Investments_Clean!$A$2:$A$150,A77,Investments_Clean!$F$2:$F$150,"Accepted")</f>
        <v>0</v>
      </c>
      <c r="BM77" s="4" t="str">
        <f>IF(BL77=0,"",IF((COUNTIFS(Investments_Clean!$A$2:$A$150,A77,Investments_Clean!$D$2:$D$150,"VC/PE",Investments_Clean!$F$2:$F$150,"Accepted"))&gt;0,1,0))</f>
        <v/>
      </c>
      <c r="BN77" s="4" t="str">
        <f>IF(BL77=0,"",IF((COUNTIFS(Investments_Clean!$A$2:$A$150,A77,Investments_Clean!$D$2:$D$150,"Angel",Investments_Clean!$F$2:$F$150,"Accepted"))&gt;0,1,0))</f>
        <v/>
      </c>
      <c r="BO77" s="4" t="str">
        <f>IF(BL77=0,"",IF((COUNTIFS(Investments_Clean!$A$2:$A$150,A77,Investments_Clean!$D$2:$D$150,"Accelerator",Investments_Clean!$F$2:$F$150,"Accepted"))&gt;0,1,0))</f>
        <v/>
      </c>
      <c r="BP77" s="4" t="str">
        <f>IF(BL77=0,"",IF((COUNTIFS(Investments_Clean!$A$2:$A$150,A77,Investments_Clean!$D$2:$D$150,"Corporate",Investments_Clean!$F$2:$F$150,"Accepted"))&gt;0,1,0))</f>
        <v/>
      </c>
      <c r="BQ77" s="4" t="str">
        <f>IF(BL77=0,"",IF((COUNTIFS(Investments_Clean!$A$2:$A$150,A77,Investments_Clean!$D$2:$D$150,"Government",Investments_Clean!$F$2:$F$150,"Accepted"))&gt;0,1,0))</f>
        <v/>
      </c>
      <c r="BR77" s="4" t="str">
        <f>IF(BL77=0,"",IF((COUNTIFS(Investments_Clean!$A$2:$A$150,A77,Investments_Clean!$D$2:$D$150,"Grant/Philanthropic",Investments_Clean!$F$2:$F$150,"Accepted")+COUNTIFS(Investments_Clean!$A$2:$A$150,A77,Investments_Clean!$D$2:$D$150,"DFI/Impact",Investments_Clean!$F$2:$F$150,"Accepted"))&gt;0,1,0))</f>
        <v/>
      </c>
      <c r="BS77" s="4"/>
      <c r="BT77" s="4"/>
      <c r="BU77" s="4"/>
      <c r="BV77" s="7">
        <v>1000</v>
      </c>
      <c r="BW77" s="4">
        <v>2.5</v>
      </c>
      <c r="BX77" s="4">
        <v>37.1</v>
      </c>
      <c r="BY77" s="7"/>
      <c r="BZ77" s="4"/>
      <c r="CA77" s="4">
        <v>3</v>
      </c>
      <c r="CB77" s="4">
        <v>33.799999999999997</v>
      </c>
      <c r="CC77" s="4">
        <f>IF(I77="","",IFERROR(IF(INDEX(Macro_Lookup!$B$2:$B$31,MATCH(I77,Macro_Lookup!$A$2:$A$31,0))="","",INDEX(Macro_Lookup!$B$2:$B$31,MATCH(I77,Macro_Lookup!$A$2:$A$31,0))),""))</f>
        <v>6.59</v>
      </c>
      <c r="CD77" s="4">
        <f>IF(I77="","",IFERROR(IF(INDEX(Macro_Lookup!$C$2:$C$31,MATCH(I77,Macro_Lookup!$A$2:$A$31,0))="","",INDEX(Macro_Lookup!$C$2:$C$31,MATCH(I77,Macro_Lookup!$A$2:$A$31,0))),""))</f>
        <v>5.7</v>
      </c>
      <c r="CE77" s="4" t="str">
        <f>IF(BJ77="","",IFERROR(IF(INDEX(Macro_Lookup!$B$2:$B$31,MATCH(BJ77,Macro_Lookup!$A$2:$A$31,0))="","",INDEX(Macro_Lookup!$B$2:$B$31,MATCH(BJ77,Macro_Lookup!$A$2:$A$31,0))),""))</f>
        <v/>
      </c>
      <c r="CF77" s="4" t="str">
        <f>IF(BJ77="","",IFERROR(IF(INDEX(Macro_Lookup!$C$2:$C$31,MATCH(BJ77,Macro_Lookup!$A$2:$A$31,0))="","",INDEX(Macro_Lookup!$C$2:$C$31,MATCH(BJ77,Macro_Lookup!$A$2:$A$31,0))),""))</f>
        <v/>
      </c>
      <c r="CG77" s="4">
        <v>9</v>
      </c>
    </row>
    <row r="78" spans="1:85" x14ac:dyDescent="0.3">
      <c r="A78" s="4" t="s">
        <v>439</v>
      </c>
      <c r="B78" s="4" t="s">
        <v>440</v>
      </c>
      <c r="C78" s="4" t="s">
        <v>87</v>
      </c>
      <c r="D78" s="4" t="s">
        <v>88</v>
      </c>
      <c r="E78" s="4">
        <v>0</v>
      </c>
      <c r="F78" s="4" t="s">
        <v>89</v>
      </c>
      <c r="G78" s="4"/>
      <c r="H78" s="4"/>
      <c r="I78" s="5">
        <v>2020</v>
      </c>
      <c r="J78" s="4"/>
      <c r="K78" s="4" t="s">
        <v>90</v>
      </c>
      <c r="L78" s="6">
        <v>46295</v>
      </c>
      <c r="M78" s="4">
        <f t="shared" si="12"/>
        <v>80</v>
      </c>
      <c r="N78" s="4">
        <f t="shared" si="13"/>
        <v>6.67</v>
      </c>
      <c r="O78" s="4" t="s">
        <v>441</v>
      </c>
      <c r="P78" s="4" t="s">
        <v>442</v>
      </c>
      <c r="Q78" s="4" t="s">
        <v>443</v>
      </c>
      <c r="R78" s="4">
        <v>0</v>
      </c>
      <c r="S78" s="4">
        <v>0</v>
      </c>
      <c r="T78" s="4">
        <v>0</v>
      </c>
      <c r="U78" s="4">
        <v>1</v>
      </c>
      <c r="V78" s="4">
        <v>0</v>
      </c>
      <c r="W78" s="4">
        <v>0</v>
      </c>
      <c r="X78" s="4" t="s">
        <v>378</v>
      </c>
      <c r="Y78" s="4">
        <v>3</v>
      </c>
      <c r="Z78" s="4">
        <v>1</v>
      </c>
      <c r="AA78" s="4">
        <v>1</v>
      </c>
      <c r="AB78" s="4" t="s">
        <v>444</v>
      </c>
      <c r="AC78" s="4">
        <v>1</v>
      </c>
      <c r="AD78" s="7">
        <v>96000</v>
      </c>
      <c r="AE78" s="4" t="s">
        <v>95</v>
      </c>
      <c r="AF78" s="4">
        <f>IF(SUMIF(Founders_Clean!$A$2:$A$159,A78,Founders_Clean!$C$2:$C$159)=0,"",SUMIF(Founders_Clean!$A$2:$A$159,A78,Founders_Clean!$C$2:$C$159))</f>
        <v>3</v>
      </c>
      <c r="AG78" s="4">
        <f>IF(AF78="","",SUMIF(Founders_Clean!$A$2:$A$159,A78,Founders_Clean!$D$2:$D$159))</f>
        <v>2</v>
      </c>
      <c r="AH78" s="4">
        <f>IF(AF78="","",SUMIF(Founders_Clean!$A$2:$A$159,A78,Founders_Clean!$E$2:$E$159))</f>
        <v>1</v>
      </c>
      <c r="AI78" s="8">
        <f t="shared" si="14"/>
        <v>0.33333333333333331</v>
      </c>
      <c r="AJ78" s="4">
        <f t="shared" si="15"/>
        <v>1</v>
      </c>
      <c r="AK78" s="8">
        <f t="shared" si="16"/>
        <v>0.44400000000000001</v>
      </c>
      <c r="AL78" s="4"/>
      <c r="AM78" s="4">
        <v>2</v>
      </c>
      <c r="AN78" s="4" t="s">
        <v>96</v>
      </c>
      <c r="AO78" s="4">
        <v>1</v>
      </c>
      <c r="AP78" s="8">
        <v>1</v>
      </c>
      <c r="AQ78" s="4">
        <v>1</v>
      </c>
      <c r="AR78" s="4">
        <v>6</v>
      </c>
      <c r="AS78" s="4">
        <v>6</v>
      </c>
      <c r="AT78" s="7">
        <v>125.5</v>
      </c>
      <c r="AU78" s="4" t="s">
        <v>126</v>
      </c>
      <c r="AV78" s="4" t="s">
        <v>118</v>
      </c>
      <c r="AW78" s="4"/>
      <c r="AX78" s="4" t="s">
        <v>99</v>
      </c>
      <c r="AY78" s="4" t="s">
        <v>100</v>
      </c>
      <c r="AZ78" s="4"/>
      <c r="BA78" s="4">
        <v>0</v>
      </c>
      <c r="BB78" s="4">
        <v>0</v>
      </c>
      <c r="BC78" s="4">
        <v>0</v>
      </c>
      <c r="BD78" s="5"/>
      <c r="BE78" s="4"/>
      <c r="BF78" s="4">
        <f t="shared" si="17"/>
        <v>80</v>
      </c>
      <c r="BG78" s="4">
        <v>1</v>
      </c>
      <c r="BH78" s="7">
        <v>2000000</v>
      </c>
      <c r="BI78" s="4" t="s">
        <v>101</v>
      </c>
      <c r="BJ78" s="5">
        <v>2025</v>
      </c>
      <c r="BK78" s="4">
        <v>1</v>
      </c>
      <c r="BL78" s="4">
        <f>COUNTIFS(Investments_Clean!$A$2:$A$150,A78,Investments_Clean!$F$2:$F$150,"Accepted")</f>
        <v>1</v>
      </c>
      <c r="BM78" s="4">
        <f>IF(BL78=0,"",IF((COUNTIFS(Investments_Clean!$A$2:$A$150,A78,Investments_Clean!$D$2:$D$150,"VC/PE",Investments_Clean!$F$2:$F$150,"Accepted"))&gt;0,1,0))</f>
        <v>0</v>
      </c>
      <c r="BN78" s="4">
        <f>IF(BL78=0,"",IF((COUNTIFS(Investments_Clean!$A$2:$A$150,A78,Investments_Clean!$D$2:$D$150,"Angel",Investments_Clean!$F$2:$F$150,"Accepted"))&gt;0,1,0))</f>
        <v>0</v>
      </c>
      <c r="BO78" s="4">
        <f>IF(BL78=0,"",IF((COUNTIFS(Investments_Clean!$A$2:$A$150,A78,Investments_Clean!$D$2:$D$150,"Accelerator",Investments_Clean!$F$2:$F$150,"Accepted"))&gt;0,1,0))</f>
        <v>1</v>
      </c>
      <c r="BP78" s="4">
        <f>IF(BL78=0,"",IF((COUNTIFS(Investments_Clean!$A$2:$A$150,A78,Investments_Clean!$D$2:$D$150,"Corporate",Investments_Clean!$F$2:$F$150,"Accepted"))&gt;0,1,0))</f>
        <v>0</v>
      </c>
      <c r="BQ78" s="4">
        <f>IF(BL78=0,"",IF((COUNTIFS(Investments_Clean!$A$2:$A$150,A78,Investments_Clean!$D$2:$D$150,"Government",Investments_Clean!$F$2:$F$150,"Accepted"))&gt;0,1,0))</f>
        <v>0</v>
      </c>
      <c r="BR78" s="4">
        <f>IF(BL78=0,"",IF((COUNTIFS(Investments_Clean!$A$2:$A$150,A78,Investments_Clean!$D$2:$D$150,"Grant/Philanthropic",Investments_Clean!$F$2:$F$150,"Accepted")+COUNTIFS(Investments_Clean!$A$2:$A$150,A78,Investments_Clean!$D$2:$D$150,"DFI/Impact",Investments_Clean!$F$2:$F$150,"Accepted"))&gt;0,1,0))</f>
        <v>0</v>
      </c>
      <c r="BS78" s="4"/>
      <c r="BT78" s="4"/>
      <c r="BU78" s="4"/>
      <c r="BV78" s="7">
        <v>17500</v>
      </c>
      <c r="BW78" s="4">
        <v>40</v>
      </c>
      <c r="BX78" s="4">
        <v>1.6</v>
      </c>
      <c r="BY78" s="7"/>
      <c r="BZ78" s="4"/>
      <c r="CA78" s="4">
        <v>3</v>
      </c>
      <c r="CB78" s="4">
        <v>48.8</v>
      </c>
      <c r="CC78" s="4">
        <f>IF(I78="","",IFERROR(IF(INDEX(Macro_Lookup!$B$2:$B$31,MATCH(I78,Macro_Lookup!$A$2:$A$31,0))="","",INDEX(Macro_Lookup!$B$2:$B$31,MATCH(I78,Macro_Lookup!$A$2:$A$31,0))),""))</f>
        <v>3.45</v>
      </c>
      <c r="CD78" s="4">
        <f>IF(I78="","",IFERROR(IF(INDEX(Macro_Lookup!$C$2:$C$31,MATCH(I78,Macro_Lookup!$A$2:$A$31,0))="","",INDEX(Macro_Lookup!$C$2:$C$31,MATCH(I78,Macro_Lookup!$A$2:$A$31,0))),""))</f>
        <v>5.69</v>
      </c>
      <c r="CE78" s="4">
        <f>IF(BJ78="","",IFERROR(IF(INDEX(Macro_Lookup!$B$2:$B$31,MATCH(BJ78,Macro_Lookup!$A$2:$A$31,0))="","",INDEX(Macro_Lookup!$B$2:$B$31,MATCH(BJ78,Macro_Lookup!$A$2:$A$31,0))),""))</f>
        <v>3.49</v>
      </c>
      <c r="CF78" s="4">
        <f>IF(BJ78="","",IFERROR(IF(INDEX(Macro_Lookup!$C$2:$C$31,MATCH(BJ78,Macro_Lookup!$A$2:$A$31,0))="","",INDEX(Macro_Lookup!$C$2:$C$31,MATCH(BJ78,Macro_Lookup!$A$2:$A$31,0))),""))</f>
        <v>8.77</v>
      </c>
      <c r="CG78" s="4">
        <v>0</v>
      </c>
    </row>
    <row r="79" spans="1:85" x14ac:dyDescent="0.3">
      <c r="A79" s="4" t="s">
        <v>445</v>
      </c>
      <c r="B79" s="4" t="s">
        <v>446</v>
      </c>
      <c r="C79" s="4" t="s">
        <v>87</v>
      </c>
      <c r="D79" s="4" t="s">
        <v>88</v>
      </c>
      <c r="E79" s="4">
        <v>0</v>
      </c>
      <c r="F79" s="4" t="s">
        <v>89</v>
      </c>
      <c r="G79" s="4"/>
      <c r="H79" s="4"/>
      <c r="I79" s="5">
        <v>2018</v>
      </c>
      <c r="J79" s="4">
        <v>4</v>
      </c>
      <c r="K79" s="4" t="s">
        <v>129</v>
      </c>
      <c r="L79" s="6">
        <v>46295</v>
      </c>
      <c r="M79" s="4">
        <f t="shared" si="12"/>
        <v>101</v>
      </c>
      <c r="N79" s="4">
        <f t="shared" si="13"/>
        <v>8.42</v>
      </c>
      <c r="O79" s="4" t="s">
        <v>447</v>
      </c>
      <c r="P79" s="4" t="s">
        <v>442</v>
      </c>
      <c r="Q79" s="4" t="s">
        <v>448</v>
      </c>
      <c r="R79" s="4">
        <v>1</v>
      </c>
      <c r="S79" s="4">
        <v>0</v>
      </c>
      <c r="T79" s="4">
        <v>0</v>
      </c>
      <c r="U79" s="4">
        <v>1</v>
      </c>
      <c r="V79" s="4">
        <v>0</v>
      </c>
      <c r="W79" s="4">
        <v>0</v>
      </c>
      <c r="X79" s="4" t="s">
        <v>378</v>
      </c>
      <c r="Y79" s="4">
        <v>3</v>
      </c>
      <c r="Z79" s="4">
        <v>1</v>
      </c>
      <c r="AA79" s="4">
        <v>0</v>
      </c>
      <c r="AB79" s="4" t="s">
        <v>449</v>
      </c>
      <c r="AC79" s="4"/>
      <c r="AD79" s="7"/>
      <c r="AE79" s="4"/>
      <c r="AF79" s="4">
        <f>IF(SUMIF(Founders_Clean!$A$2:$A$159,A79,Founders_Clean!$C$2:$C$159)=0,"",SUMIF(Founders_Clean!$A$2:$A$159,A79,Founders_Clean!$C$2:$C$159))</f>
        <v>1</v>
      </c>
      <c r="AG79" s="4">
        <f>IF(AF79="","",SUMIF(Founders_Clean!$A$2:$A$159,A79,Founders_Clean!$D$2:$D$159))</f>
        <v>1</v>
      </c>
      <c r="AH79" s="4">
        <f>IF(AF79="","",SUMIF(Founders_Clean!$A$2:$A$159,A79,Founders_Clean!$E$2:$E$159))</f>
        <v>0</v>
      </c>
      <c r="AI79" s="8">
        <f t="shared" si="14"/>
        <v>0</v>
      </c>
      <c r="AJ79" s="4">
        <f t="shared" si="15"/>
        <v>0</v>
      </c>
      <c r="AK79" s="8">
        <f t="shared" si="16"/>
        <v>0</v>
      </c>
      <c r="AL79" s="4"/>
      <c r="AM79" s="4">
        <v>1</v>
      </c>
      <c r="AN79" s="4" t="s">
        <v>143</v>
      </c>
      <c r="AO79" s="4">
        <v>0</v>
      </c>
      <c r="AP79" s="8">
        <v>0</v>
      </c>
      <c r="AQ79" s="4">
        <v>1</v>
      </c>
      <c r="AR79" s="4">
        <v>12</v>
      </c>
      <c r="AS79" s="4">
        <v>12</v>
      </c>
      <c r="AT79" s="7">
        <v>30.5</v>
      </c>
      <c r="AU79" s="4" t="s">
        <v>157</v>
      </c>
      <c r="AV79" s="4" t="s">
        <v>118</v>
      </c>
      <c r="AW79" s="4"/>
      <c r="AX79" s="4" t="s">
        <v>99</v>
      </c>
      <c r="AY79" s="4" t="s">
        <v>100</v>
      </c>
      <c r="AZ79" s="4"/>
      <c r="BA79" s="4">
        <v>0</v>
      </c>
      <c r="BB79" s="4">
        <v>0</v>
      </c>
      <c r="BC79" s="4">
        <v>0</v>
      </c>
      <c r="BD79" s="5"/>
      <c r="BE79" s="4"/>
      <c r="BF79" s="4">
        <f t="shared" si="17"/>
        <v>101</v>
      </c>
      <c r="BG79" s="4"/>
      <c r="BH79" s="7"/>
      <c r="BI79" s="4"/>
      <c r="BJ79" s="5"/>
      <c r="BK79" s="4"/>
      <c r="BL79" s="4">
        <f>COUNTIFS(Investments_Clean!$A$2:$A$150,A79,Investments_Clean!$F$2:$F$150,"Accepted")</f>
        <v>0</v>
      </c>
      <c r="BM79" s="4" t="str">
        <f>IF(BL79=0,"",IF((COUNTIFS(Investments_Clean!$A$2:$A$150,A79,Investments_Clean!$D$2:$D$150,"VC/PE",Investments_Clean!$F$2:$F$150,"Accepted"))&gt;0,1,0))</f>
        <v/>
      </c>
      <c r="BN79" s="4" t="str">
        <f>IF(BL79=0,"",IF((COUNTIFS(Investments_Clean!$A$2:$A$150,A79,Investments_Clean!$D$2:$D$150,"Angel",Investments_Clean!$F$2:$F$150,"Accepted"))&gt;0,1,0))</f>
        <v/>
      </c>
      <c r="BO79" s="4" t="str">
        <f>IF(BL79=0,"",IF((COUNTIFS(Investments_Clean!$A$2:$A$150,A79,Investments_Clean!$D$2:$D$150,"Accelerator",Investments_Clean!$F$2:$F$150,"Accepted"))&gt;0,1,0))</f>
        <v/>
      </c>
      <c r="BP79" s="4" t="str">
        <f>IF(BL79=0,"",IF((COUNTIFS(Investments_Clean!$A$2:$A$150,A79,Investments_Clean!$D$2:$D$150,"Corporate",Investments_Clean!$F$2:$F$150,"Accepted"))&gt;0,1,0))</f>
        <v/>
      </c>
      <c r="BQ79" s="4" t="str">
        <f>IF(BL79=0,"",IF((COUNTIFS(Investments_Clean!$A$2:$A$150,A79,Investments_Clean!$D$2:$D$150,"Government",Investments_Clean!$F$2:$F$150,"Accepted"))&gt;0,1,0))</f>
        <v/>
      </c>
      <c r="BR79" s="4" t="str">
        <f>IF(BL79=0,"",IF((COUNTIFS(Investments_Clean!$A$2:$A$150,A79,Investments_Clean!$D$2:$D$150,"Grant/Philanthropic",Investments_Clean!$F$2:$F$150,"Accepted")+COUNTIFS(Investments_Clean!$A$2:$A$150,A79,Investments_Clean!$D$2:$D$150,"DFI/Impact",Investments_Clean!$F$2:$F$150,"Accepted"))&gt;0,1,0))</f>
        <v/>
      </c>
      <c r="BS79" s="4"/>
      <c r="BT79" s="4">
        <v>185</v>
      </c>
      <c r="BU79" s="4"/>
      <c r="BV79" s="7">
        <v>8500</v>
      </c>
      <c r="BW79" s="4">
        <v>27.5</v>
      </c>
      <c r="BX79" s="4">
        <v>32.1</v>
      </c>
      <c r="BY79" s="7"/>
      <c r="BZ79" s="4"/>
      <c r="CA79" s="4">
        <v>3</v>
      </c>
      <c r="CB79" s="4">
        <v>56.2</v>
      </c>
      <c r="CC79" s="4">
        <f>IF(I79="","",IFERROR(IF(INDEX(Macro_Lookup!$B$2:$B$31,MATCH(I79,Macro_Lookup!$A$2:$A$31,0))="","",INDEX(Macro_Lookup!$B$2:$B$31,MATCH(I79,Macro_Lookup!$A$2:$A$31,0))),""))</f>
        <v>7.32</v>
      </c>
      <c r="CD79" s="4">
        <f>IF(I79="","",IFERROR(IF(INDEX(Macro_Lookup!$C$2:$C$31,MATCH(I79,Macro_Lookup!$A$2:$A$31,0))="","",INDEX(Macro_Lookup!$C$2:$C$31,MATCH(I79,Macro_Lookup!$A$2:$A$31,0))),""))</f>
        <v>5.54</v>
      </c>
      <c r="CE79" s="4" t="str">
        <f>IF(BJ79="","",IFERROR(IF(INDEX(Macro_Lookup!$B$2:$B$31,MATCH(BJ79,Macro_Lookup!$A$2:$A$31,0))="","",INDEX(Macro_Lookup!$B$2:$B$31,MATCH(BJ79,Macro_Lookup!$A$2:$A$31,0))),""))</f>
        <v/>
      </c>
      <c r="CF79" s="4" t="str">
        <f>IF(BJ79="","",IFERROR(IF(INDEX(Macro_Lookup!$C$2:$C$31,MATCH(BJ79,Macro_Lookup!$A$2:$A$31,0))="","",INDEX(Macro_Lookup!$C$2:$C$31,MATCH(BJ79,Macro_Lookup!$A$2:$A$31,0))),""))</f>
        <v/>
      </c>
      <c r="CG79" s="4">
        <v>3</v>
      </c>
    </row>
    <row r="80" spans="1:85" x14ac:dyDescent="0.3">
      <c r="A80" s="4" t="s">
        <v>450</v>
      </c>
      <c r="B80" s="4" t="s">
        <v>451</v>
      </c>
      <c r="C80" s="4" t="s">
        <v>87</v>
      </c>
      <c r="D80" s="4" t="s">
        <v>88</v>
      </c>
      <c r="E80" s="4">
        <v>0</v>
      </c>
      <c r="F80" s="4" t="s">
        <v>89</v>
      </c>
      <c r="G80" s="4"/>
      <c r="H80" s="4"/>
      <c r="I80" s="5">
        <v>2021</v>
      </c>
      <c r="J80" s="4"/>
      <c r="K80" s="4" t="s">
        <v>90</v>
      </c>
      <c r="L80" s="6">
        <v>46295</v>
      </c>
      <c r="M80" s="4">
        <f t="shared" si="12"/>
        <v>68</v>
      </c>
      <c r="N80" s="4">
        <f t="shared" si="13"/>
        <v>5.67</v>
      </c>
      <c r="O80" s="4" t="s">
        <v>452</v>
      </c>
      <c r="P80" s="4" t="s">
        <v>442</v>
      </c>
      <c r="Q80" s="4" t="s">
        <v>453</v>
      </c>
      <c r="R80" s="4">
        <v>1</v>
      </c>
      <c r="S80" s="4">
        <v>0</v>
      </c>
      <c r="T80" s="4">
        <v>0</v>
      </c>
      <c r="U80" s="4">
        <v>1</v>
      </c>
      <c r="V80" s="4">
        <v>0</v>
      </c>
      <c r="W80" s="4">
        <v>0</v>
      </c>
      <c r="X80" s="4" t="s">
        <v>378</v>
      </c>
      <c r="Y80" s="4">
        <v>3</v>
      </c>
      <c r="Z80" s="4">
        <v>1</v>
      </c>
      <c r="AA80" s="4">
        <v>1</v>
      </c>
      <c r="AB80" s="4" t="s">
        <v>454</v>
      </c>
      <c r="AC80" s="4">
        <v>1</v>
      </c>
      <c r="AD80" s="7">
        <v>91000</v>
      </c>
      <c r="AE80" s="4" t="s">
        <v>95</v>
      </c>
      <c r="AF80" s="4">
        <f>IF(SUMIF(Founders_Clean!$A$2:$A$159,A80,Founders_Clean!$C$2:$C$159)=0,"",SUMIF(Founders_Clean!$A$2:$A$159,A80,Founders_Clean!$C$2:$C$159))</f>
        <v>1</v>
      </c>
      <c r="AG80" s="4">
        <f>IF(AF80="","",SUMIF(Founders_Clean!$A$2:$A$159,A80,Founders_Clean!$D$2:$D$159))</f>
        <v>1</v>
      </c>
      <c r="AH80" s="4">
        <f>IF(AF80="","",SUMIF(Founders_Clean!$A$2:$A$159,A80,Founders_Clean!$E$2:$E$159))</f>
        <v>0</v>
      </c>
      <c r="AI80" s="8">
        <f t="shared" si="14"/>
        <v>0</v>
      </c>
      <c r="AJ80" s="4">
        <f t="shared" si="15"/>
        <v>0</v>
      </c>
      <c r="AK80" s="8">
        <f t="shared" si="16"/>
        <v>0</v>
      </c>
      <c r="AL80" s="4"/>
      <c r="AM80" s="4">
        <v>1</v>
      </c>
      <c r="AN80" s="4" t="s">
        <v>143</v>
      </c>
      <c r="AO80" s="4">
        <v>1</v>
      </c>
      <c r="AP80" s="8">
        <v>1</v>
      </c>
      <c r="AQ80" s="4">
        <v>1</v>
      </c>
      <c r="AR80" s="4">
        <v>6</v>
      </c>
      <c r="AS80" s="4">
        <v>6</v>
      </c>
      <c r="AT80" s="7">
        <v>30.5</v>
      </c>
      <c r="AU80" s="4" t="s">
        <v>157</v>
      </c>
      <c r="AV80" s="4" t="s">
        <v>118</v>
      </c>
      <c r="AW80" s="4"/>
      <c r="AX80" s="4" t="s">
        <v>99</v>
      </c>
      <c r="AY80" s="4" t="s">
        <v>100</v>
      </c>
      <c r="AZ80" s="4"/>
      <c r="BA80" s="4">
        <v>0</v>
      </c>
      <c r="BB80" s="4">
        <v>0</v>
      </c>
      <c r="BC80" s="4">
        <v>0</v>
      </c>
      <c r="BD80" s="5"/>
      <c r="BE80" s="4"/>
      <c r="BF80" s="4">
        <f t="shared" si="17"/>
        <v>68</v>
      </c>
      <c r="BG80" s="4">
        <v>1</v>
      </c>
      <c r="BH80" s="7">
        <v>2500000</v>
      </c>
      <c r="BI80" s="4" t="s">
        <v>101</v>
      </c>
      <c r="BJ80" s="5">
        <v>2025</v>
      </c>
      <c r="BK80" s="4">
        <v>1</v>
      </c>
      <c r="BL80" s="4">
        <f>COUNTIFS(Investments_Clean!$A$2:$A$150,A80,Investments_Clean!$F$2:$F$150,"Accepted")</f>
        <v>1</v>
      </c>
      <c r="BM80" s="4">
        <f>IF(BL80=0,"",IF((COUNTIFS(Investments_Clean!$A$2:$A$150,A80,Investments_Clean!$D$2:$D$150,"VC/PE",Investments_Clean!$F$2:$F$150,"Accepted"))&gt;0,1,0))</f>
        <v>1</v>
      </c>
      <c r="BN80" s="4">
        <f>IF(BL80=0,"",IF((COUNTIFS(Investments_Clean!$A$2:$A$150,A80,Investments_Clean!$D$2:$D$150,"Angel",Investments_Clean!$F$2:$F$150,"Accepted"))&gt;0,1,0))</f>
        <v>0</v>
      </c>
      <c r="BO80" s="4">
        <f>IF(BL80=0,"",IF((COUNTIFS(Investments_Clean!$A$2:$A$150,A80,Investments_Clean!$D$2:$D$150,"Accelerator",Investments_Clean!$F$2:$F$150,"Accepted"))&gt;0,1,0))</f>
        <v>0</v>
      </c>
      <c r="BP80" s="4">
        <f>IF(BL80=0,"",IF((COUNTIFS(Investments_Clean!$A$2:$A$150,A80,Investments_Clean!$D$2:$D$150,"Corporate",Investments_Clean!$F$2:$F$150,"Accepted"))&gt;0,1,0))</f>
        <v>0</v>
      </c>
      <c r="BQ80" s="4">
        <f>IF(BL80=0,"",IF((COUNTIFS(Investments_Clean!$A$2:$A$150,A80,Investments_Clean!$D$2:$D$150,"Government",Investments_Clean!$F$2:$F$150,"Accepted"))&gt;0,1,0))</f>
        <v>0</v>
      </c>
      <c r="BR80" s="4">
        <f>IF(BL80=0,"",IF((COUNTIFS(Investments_Clean!$A$2:$A$150,A80,Investments_Clean!$D$2:$D$150,"Grant/Philanthropic",Investments_Clean!$F$2:$F$150,"Accepted")+COUNTIFS(Investments_Clean!$A$2:$A$150,A80,Investments_Clean!$D$2:$D$150,"DFI/Impact",Investments_Clean!$F$2:$F$150,"Accepted"))&gt;0,1,0))</f>
        <v>0</v>
      </c>
      <c r="BS80" s="4"/>
      <c r="BT80" s="4">
        <v>1000</v>
      </c>
      <c r="BU80" s="4"/>
      <c r="BV80" s="7">
        <v>2500</v>
      </c>
      <c r="BW80" s="4">
        <v>27.5</v>
      </c>
      <c r="BX80" s="4">
        <v>45.1</v>
      </c>
      <c r="BY80" s="7">
        <v>5000</v>
      </c>
      <c r="BZ80" s="4">
        <v>3.8</v>
      </c>
      <c r="CA80" s="4">
        <v>4</v>
      </c>
      <c r="CB80" s="4">
        <v>49</v>
      </c>
      <c r="CC80" s="4">
        <f>IF(I80="","",IFERROR(IF(INDEX(Macro_Lookup!$B$2:$B$31,MATCH(I80,Macro_Lookup!$A$2:$A$31,0))="","",INDEX(Macro_Lookup!$B$2:$B$31,MATCH(I80,Macro_Lookup!$A$2:$A$31,0))),""))</f>
        <v>6.94</v>
      </c>
      <c r="CD80" s="4">
        <f>IF(I80="","",IFERROR(IF(INDEX(Macro_Lookup!$C$2:$C$31,MATCH(I80,Macro_Lookup!$A$2:$A$31,0))="","",INDEX(Macro_Lookup!$C$2:$C$31,MATCH(I80,Macro_Lookup!$A$2:$A$31,0))),""))</f>
        <v>5.55</v>
      </c>
      <c r="CE80" s="4">
        <f>IF(BJ80="","",IFERROR(IF(INDEX(Macro_Lookup!$B$2:$B$31,MATCH(BJ80,Macro_Lookup!$A$2:$A$31,0))="","",INDEX(Macro_Lookup!$B$2:$B$31,MATCH(BJ80,Macro_Lookup!$A$2:$A$31,0))),""))</f>
        <v>3.49</v>
      </c>
      <c r="CF80" s="4">
        <f>IF(BJ80="","",IFERROR(IF(INDEX(Macro_Lookup!$C$2:$C$31,MATCH(BJ80,Macro_Lookup!$A$2:$A$31,0))="","",INDEX(Macro_Lookup!$C$2:$C$31,MATCH(BJ80,Macro_Lookup!$A$2:$A$31,0))),""))</f>
        <v>8.77</v>
      </c>
      <c r="CG80" s="4">
        <v>0</v>
      </c>
    </row>
    <row r="81" spans="1:85" x14ac:dyDescent="0.3">
      <c r="A81" s="4" t="s">
        <v>455</v>
      </c>
      <c r="B81" s="4" t="s">
        <v>456</v>
      </c>
      <c r="C81" s="4" t="s">
        <v>457</v>
      </c>
      <c r="D81" s="4" t="s">
        <v>457</v>
      </c>
      <c r="E81" s="4">
        <v>1</v>
      </c>
      <c r="F81" s="4" t="s">
        <v>89</v>
      </c>
      <c r="G81" s="4"/>
      <c r="H81" s="4"/>
      <c r="I81" s="5">
        <v>2015</v>
      </c>
      <c r="J81" s="4"/>
      <c r="K81" s="4" t="s">
        <v>90</v>
      </c>
      <c r="L81" s="6">
        <v>46295</v>
      </c>
      <c r="M81" s="4">
        <f t="shared" si="12"/>
        <v>140</v>
      </c>
      <c r="N81" s="4">
        <f t="shared" si="13"/>
        <v>11.67</v>
      </c>
      <c r="O81" s="4" t="s">
        <v>458</v>
      </c>
      <c r="P81" s="4" t="s">
        <v>442</v>
      </c>
      <c r="Q81" s="4" t="s">
        <v>459</v>
      </c>
      <c r="R81" s="4">
        <v>1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 t="s">
        <v>378</v>
      </c>
      <c r="Y81" s="4">
        <v>3</v>
      </c>
      <c r="Z81" s="4">
        <v>1</v>
      </c>
      <c r="AA81" s="4">
        <v>0</v>
      </c>
      <c r="AB81" s="4" t="s">
        <v>460</v>
      </c>
      <c r="AC81" s="4"/>
      <c r="AD81" s="7"/>
      <c r="AE81" s="4"/>
      <c r="AF81" s="4">
        <f>IF(SUMIF(Founders_Clean!$A$2:$A$159,A81,Founders_Clean!$C$2:$C$159)=0,"",SUMIF(Founders_Clean!$A$2:$A$159,A81,Founders_Clean!$C$2:$C$159))</f>
        <v>4</v>
      </c>
      <c r="AG81" s="4">
        <f>IF(AF81="","",SUMIF(Founders_Clean!$A$2:$A$159,A81,Founders_Clean!$D$2:$D$159))</f>
        <v>3</v>
      </c>
      <c r="AH81" s="4">
        <f>IF(AF81="","",SUMIF(Founders_Clean!$A$2:$A$159,A81,Founders_Clean!$E$2:$E$159))</f>
        <v>1</v>
      </c>
      <c r="AI81" s="8">
        <f t="shared" si="14"/>
        <v>0.25</v>
      </c>
      <c r="AJ81" s="4">
        <f t="shared" si="15"/>
        <v>1</v>
      </c>
      <c r="AK81" s="8">
        <f t="shared" si="16"/>
        <v>0.375</v>
      </c>
      <c r="AL81" s="4"/>
      <c r="AM81" s="4">
        <v>2</v>
      </c>
      <c r="AN81" s="4" t="s">
        <v>96</v>
      </c>
      <c r="AO81" s="4">
        <v>1</v>
      </c>
      <c r="AP81" s="8">
        <v>0.5</v>
      </c>
      <c r="AQ81" s="4">
        <v>1</v>
      </c>
      <c r="AR81" s="4">
        <v>15</v>
      </c>
      <c r="AS81" s="4">
        <v>12</v>
      </c>
      <c r="AT81" s="7">
        <v>125.5</v>
      </c>
      <c r="AU81" s="4" t="s">
        <v>126</v>
      </c>
      <c r="AV81" s="4" t="s">
        <v>118</v>
      </c>
      <c r="AW81" s="4"/>
      <c r="AX81" s="4" t="s">
        <v>99</v>
      </c>
      <c r="AY81" s="4" t="s">
        <v>100</v>
      </c>
      <c r="AZ81" s="4"/>
      <c r="BA81" s="4">
        <v>0</v>
      </c>
      <c r="BB81" s="4">
        <v>0</v>
      </c>
      <c r="BC81" s="4">
        <v>0</v>
      </c>
      <c r="BD81" s="5"/>
      <c r="BE81" s="4"/>
      <c r="BF81" s="4">
        <f t="shared" si="17"/>
        <v>140</v>
      </c>
      <c r="BG81" s="4">
        <v>1</v>
      </c>
      <c r="BH81" s="7">
        <v>1180000</v>
      </c>
      <c r="BI81" s="4" t="s">
        <v>101</v>
      </c>
      <c r="BJ81" s="5"/>
      <c r="BK81" s="4">
        <v>1</v>
      </c>
      <c r="BL81" s="4">
        <f>COUNTIFS(Investments_Clean!$A$2:$A$150,A81,Investments_Clean!$F$2:$F$150,"Accepted")</f>
        <v>2</v>
      </c>
      <c r="BM81" s="4">
        <f>IF(BL81=0,"",IF((COUNTIFS(Investments_Clean!$A$2:$A$150,A81,Investments_Clean!$D$2:$D$150,"VC/PE",Investments_Clean!$F$2:$F$150,"Accepted"))&gt;0,1,0))</f>
        <v>1</v>
      </c>
      <c r="BN81" s="4">
        <f>IF(BL81=0,"",IF((COUNTIFS(Investments_Clean!$A$2:$A$150,A81,Investments_Clean!$D$2:$D$150,"Angel",Investments_Clean!$F$2:$F$150,"Accepted"))&gt;0,1,0))</f>
        <v>0</v>
      </c>
      <c r="BO81" s="4">
        <f>IF(BL81=0,"",IF((COUNTIFS(Investments_Clean!$A$2:$A$150,A81,Investments_Clean!$D$2:$D$150,"Accelerator",Investments_Clean!$F$2:$F$150,"Accepted"))&gt;0,1,0))</f>
        <v>0</v>
      </c>
      <c r="BP81" s="4">
        <f>IF(BL81=0,"",IF((COUNTIFS(Investments_Clean!$A$2:$A$150,A81,Investments_Clean!$D$2:$D$150,"Corporate",Investments_Clean!$F$2:$F$150,"Accepted"))&gt;0,1,0))</f>
        <v>0</v>
      </c>
      <c r="BQ81" s="4">
        <f>IF(BL81=0,"",IF((COUNTIFS(Investments_Clean!$A$2:$A$150,A81,Investments_Clean!$D$2:$D$150,"Government",Investments_Clean!$F$2:$F$150,"Accepted"))&gt;0,1,0))</f>
        <v>1</v>
      </c>
      <c r="BR81" s="4">
        <f>IF(BL81=0,"",IF((COUNTIFS(Investments_Clean!$A$2:$A$150,A81,Investments_Clean!$D$2:$D$150,"Grant/Philanthropic",Investments_Clean!$F$2:$F$150,"Accepted")+COUNTIFS(Investments_Clean!$A$2:$A$150,A81,Investments_Clean!$D$2:$D$150,"DFI/Impact",Investments_Clean!$F$2:$F$150,"Accepted"))&gt;0,1,0))</f>
        <v>0</v>
      </c>
      <c r="BS81" s="4"/>
      <c r="BT81" s="4"/>
      <c r="BU81" s="4"/>
      <c r="BV81" s="7">
        <v>22500</v>
      </c>
      <c r="BW81" s="4">
        <v>32.5</v>
      </c>
      <c r="BX81" s="4">
        <v>24.6</v>
      </c>
      <c r="BY81" s="7"/>
      <c r="BZ81" s="4"/>
      <c r="CA81" s="4">
        <v>3</v>
      </c>
      <c r="CB81" s="4">
        <v>65.400000000000006</v>
      </c>
      <c r="CC81" s="4">
        <f>IF(I81="","",IFERROR(IF(INDEX(Macro_Lookup!$B$2:$B$31,MATCH(I81,Macro_Lookup!$A$2:$A$31,0))="","",INDEX(Macro_Lookup!$B$2:$B$31,MATCH(I81,Macro_Lookup!$A$2:$A$31,0))),""))</f>
        <v>6.55</v>
      </c>
      <c r="CD81" s="4">
        <f>IF(I81="","",IFERROR(IF(INDEX(Macro_Lookup!$C$2:$C$31,MATCH(I81,Macro_Lookup!$A$2:$A$31,0))="","",INDEX(Macro_Lookup!$C$2:$C$31,MATCH(I81,Macro_Lookup!$A$2:$A$31,0))),""))</f>
        <v>6.4</v>
      </c>
      <c r="CE81" s="4" t="str">
        <f>IF(BJ81="","",IFERROR(IF(INDEX(Macro_Lookup!$B$2:$B$31,MATCH(BJ81,Macro_Lookup!$A$2:$A$31,0))="","",INDEX(Macro_Lookup!$B$2:$B$31,MATCH(BJ81,Macro_Lookup!$A$2:$A$31,0))),""))</f>
        <v/>
      </c>
      <c r="CF81" s="4" t="str">
        <f>IF(BJ81="","",IFERROR(IF(INDEX(Macro_Lookup!$C$2:$C$31,MATCH(BJ81,Macro_Lookup!$A$2:$A$31,0))="","",INDEX(Macro_Lookup!$C$2:$C$31,MATCH(BJ81,Macro_Lookup!$A$2:$A$31,0))),""))</f>
        <v/>
      </c>
      <c r="CG81" s="4">
        <v>1</v>
      </c>
    </row>
    <row r="82" spans="1:85" x14ac:dyDescent="0.3">
      <c r="A82" s="4" t="s">
        <v>461</v>
      </c>
      <c r="B82" s="4" t="s">
        <v>462</v>
      </c>
      <c r="C82" s="4" t="s">
        <v>87</v>
      </c>
      <c r="D82" s="4" t="s">
        <v>88</v>
      </c>
      <c r="E82" s="4">
        <v>0</v>
      </c>
      <c r="F82" s="4" t="s">
        <v>89</v>
      </c>
      <c r="G82" s="4"/>
      <c r="H82" s="4"/>
      <c r="I82" s="5">
        <v>2015</v>
      </c>
      <c r="J82" s="4"/>
      <c r="K82" s="4" t="s">
        <v>90</v>
      </c>
      <c r="L82" s="6">
        <v>46295</v>
      </c>
      <c r="M82" s="4">
        <f t="shared" si="12"/>
        <v>140</v>
      </c>
      <c r="N82" s="4">
        <f t="shared" si="13"/>
        <v>11.67</v>
      </c>
      <c r="O82" s="4" t="s">
        <v>463</v>
      </c>
      <c r="P82" s="4" t="s">
        <v>442</v>
      </c>
      <c r="Q82" s="4" t="s">
        <v>464</v>
      </c>
      <c r="R82" s="4">
        <v>1</v>
      </c>
      <c r="S82" s="4">
        <v>0</v>
      </c>
      <c r="T82" s="4">
        <v>0</v>
      </c>
      <c r="U82" s="4">
        <v>1</v>
      </c>
      <c r="V82" s="4">
        <v>1</v>
      </c>
      <c r="W82" s="4">
        <v>0</v>
      </c>
      <c r="X82" s="4" t="s">
        <v>465</v>
      </c>
      <c r="Y82" s="4">
        <v>3</v>
      </c>
      <c r="Z82" s="4">
        <v>1</v>
      </c>
      <c r="AA82" s="4">
        <v>1</v>
      </c>
      <c r="AB82" s="4" t="s">
        <v>466</v>
      </c>
      <c r="AC82" s="4"/>
      <c r="AD82" s="7"/>
      <c r="AE82" s="4"/>
      <c r="AF82" s="4">
        <f>IF(SUMIF(Founders_Clean!$A$2:$A$159,A82,Founders_Clean!$C$2:$C$159)=0,"",SUMIF(Founders_Clean!$A$2:$A$159,A82,Founders_Clean!$C$2:$C$159))</f>
        <v>2</v>
      </c>
      <c r="AG82" s="4">
        <f>IF(AF82="","",SUMIF(Founders_Clean!$A$2:$A$159,A82,Founders_Clean!$D$2:$D$159))</f>
        <v>2</v>
      </c>
      <c r="AH82" s="4">
        <f>IF(AF82="","",SUMIF(Founders_Clean!$A$2:$A$159,A82,Founders_Clean!$E$2:$E$159))</f>
        <v>0</v>
      </c>
      <c r="AI82" s="8">
        <f t="shared" si="14"/>
        <v>0</v>
      </c>
      <c r="AJ82" s="4">
        <f t="shared" si="15"/>
        <v>0</v>
      </c>
      <c r="AK82" s="8">
        <f t="shared" si="16"/>
        <v>0</v>
      </c>
      <c r="AL82" s="4"/>
      <c r="AM82" s="4">
        <v>2</v>
      </c>
      <c r="AN82" s="4" t="s">
        <v>96</v>
      </c>
      <c r="AO82" s="4">
        <v>1</v>
      </c>
      <c r="AP82" s="8">
        <v>1</v>
      </c>
      <c r="AQ82" s="4"/>
      <c r="AR82" s="4">
        <v>11</v>
      </c>
      <c r="AS82" s="4">
        <v>11</v>
      </c>
      <c r="AT82" s="7">
        <v>30.5</v>
      </c>
      <c r="AU82" s="4" t="s">
        <v>157</v>
      </c>
      <c r="AV82" s="4" t="s">
        <v>118</v>
      </c>
      <c r="AW82" s="4"/>
      <c r="AX82" s="4" t="s">
        <v>99</v>
      </c>
      <c r="AY82" s="4" t="s">
        <v>100</v>
      </c>
      <c r="AZ82" s="4"/>
      <c r="BA82" s="4">
        <v>0</v>
      </c>
      <c r="BB82" s="4">
        <v>0</v>
      </c>
      <c r="BC82" s="4">
        <v>0</v>
      </c>
      <c r="BD82" s="5"/>
      <c r="BE82" s="4"/>
      <c r="BF82" s="4">
        <f t="shared" si="17"/>
        <v>140</v>
      </c>
      <c r="BG82" s="4">
        <v>1</v>
      </c>
      <c r="BH82" s="7"/>
      <c r="BI82" s="4" t="s">
        <v>105</v>
      </c>
      <c r="BJ82" s="5"/>
      <c r="BK82" s="4">
        <v>1</v>
      </c>
      <c r="BL82" s="4">
        <f>COUNTIFS(Investments_Clean!$A$2:$A$150,A82,Investments_Clean!$F$2:$F$150,"Accepted")</f>
        <v>0</v>
      </c>
      <c r="BM82" s="4" t="str">
        <f>IF(BL82=0,"",IF((COUNTIFS(Investments_Clean!$A$2:$A$150,A82,Investments_Clean!$D$2:$D$150,"VC/PE",Investments_Clean!$F$2:$F$150,"Accepted"))&gt;0,1,0))</f>
        <v/>
      </c>
      <c r="BN82" s="4" t="str">
        <f>IF(BL82=0,"",IF((COUNTIFS(Investments_Clean!$A$2:$A$150,A82,Investments_Clean!$D$2:$D$150,"Angel",Investments_Clean!$F$2:$F$150,"Accepted"))&gt;0,1,0))</f>
        <v/>
      </c>
      <c r="BO82" s="4" t="str">
        <f>IF(BL82=0,"",IF((COUNTIFS(Investments_Clean!$A$2:$A$150,A82,Investments_Clean!$D$2:$D$150,"Accelerator",Investments_Clean!$F$2:$F$150,"Accepted"))&gt;0,1,0))</f>
        <v/>
      </c>
      <c r="BP82" s="4" t="str">
        <f>IF(BL82=0,"",IF((COUNTIFS(Investments_Clean!$A$2:$A$150,A82,Investments_Clean!$D$2:$D$150,"Corporate",Investments_Clean!$F$2:$F$150,"Accepted"))&gt;0,1,0))</f>
        <v/>
      </c>
      <c r="BQ82" s="4" t="str">
        <f>IF(BL82=0,"",IF((COUNTIFS(Investments_Clean!$A$2:$A$150,A82,Investments_Clean!$D$2:$D$150,"Government",Investments_Clean!$F$2:$F$150,"Accepted"))&gt;0,1,0))</f>
        <v/>
      </c>
      <c r="BR82" s="4" t="str">
        <f>IF(BL82=0,"",IF((COUNTIFS(Investments_Clean!$A$2:$A$150,A82,Investments_Clean!$D$2:$D$150,"Grant/Philanthropic",Investments_Clean!$F$2:$F$150,"Accepted")+COUNTIFS(Investments_Clean!$A$2:$A$150,A82,Investments_Clean!$D$2:$D$150,"DFI/Impact",Investments_Clean!$F$2:$F$150,"Accepted"))&gt;0,1,0))</f>
        <v/>
      </c>
      <c r="BS82" s="4"/>
      <c r="BT82" s="4">
        <v>25</v>
      </c>
      <c r="BU82" s="4">
        <v>8</v>
      </c>
      <c r="BV82" s="7">
        <v>2500</v>
      </c>
      <c r="BW82" s="4">
        <v>22.5</v>
      </c>
      <c r="BX82" s="4">
        <v>5</v>
      </c>
      <c r="BY82" s="7"/>
      <c r="BZ82" s="4"/>
      <c r="CA82" s="4">
        <v>3</v>
      </c>
      <c r="CB82" s="4">
        <v>25.4</v>
      </c>
      <c r="CC82" s="4">
        <f>IF(I82="","",IFERROR(IF(INDEX(Macro_Lookup!$B$2:$B$31,MATCH(I82,Macro_Lookup!$A$2:$A$31,0))="","",INDEX(Macro_Lookup!$B$2:$B$31,MATCH(I82,Macro_Lookup!$A$2:$A$31,0))),""))</f>
        <v>6.55</v>
      </c>
      <c r="CD82" s="4">
        <f>IF(I82="","",IFERROR(IF(INDEX(Macro_Lookup!$C$2:$C$31,MATCH(I82,Macro_Lookup!$A$2:$A$31,0))="","",INDEX(Macro_Lookup!$C$2:$C$31,MATCH(I82,Macro_Lookup!$A$2:$A$31,0))),""))</f>
        <v>6.4</v>
      </c>
      <c r="CE82" s="4" t="str">
        <f>IF(BJ82="","",IFERROR(IF(INDEX(Macro_Lookup!$B$2:$B$31,MATCH(BJ82,Macro_Lookup!$A$2:$A$31,0))="","",INDEX(Macro_Lookup!$B$2:$B$31,MATCH(BJ82,Macro_Lookup!$A$2:$A$31,0))),""))</f>
        <v/>
      </c>
      <c r="CF82" s="4" t="str">
        <f>IF(BJ82="","",IFERROR(IF(INDEX(Macro_Lookup!$C$2:$C$31,MATCH(BJ82,Macro_Lookup!$A$2:$A$31,0))="","",INDEX(Macro_Lookup!$C$2:$C$31,MATCH(BJ82,Macro_Lookup!$A$2:$A$31,0))),""))</f>
        <v/>
      </c>
      <c r="CG82" s="4">
        <v>1</v>
      </c>
    </row>
    <row r="83" spans="1:85" x14ac:dyDescent="0.3">
      <c r="A83" s="4" t="s">
        <v>467</v>
      </c>
      <c r="B83" s="4" t="s">
        <v>468</v>
      </c>
      <c r="C83" s="4" t="s">
        <v>457</v>
      </c>
      <c r="D83" s="4" t="s">
        <v>457</v>
      </c>
      <c r="E83" s="4">
        <v>1</v>
      </c>
      <c r="F83" s="4" t="s">
        <v>89</v>
      </c>
      <c r="G83" s="4"/>
      <c r="H83" s="4"/>
      <c r="I83" s="5">
        <v>2021</v>
      </c>
      <c r="J83" s="4"/>
      <c r="K83" s="4" t="s">
        <v>90</v>
      </c>
      <c r="L83" s="6">
        <v>46295</v>
      </c>
      <c r="M83" s="4">
        <f t="shared" si="12"/>
        <v>68</v>
      </c>
      <c r="N83" s="4">
        <f t="shared" si="13"/>
        <v>5.67</v>
      </c>
      <c r="O83" s="4" t="s">
        <v>469</v>
      </c>
      <c r="P83" s="4" t="s">
        <v>405</v>
      </c>
      <c r="Q83" s="4" t="s">
        <v>470</v>
      </c>
      <c r="R83" s="4">
        <v>1</v>
      </c>
      <c r="S83" s="4">
        <v>0</v>
      </c>
      <c r="T83" s="4">
        <v>1</v>
      </c>
      <c r="U83" s="4">
        <v>1</v>
      </c>
      <c r="V83" s="4">
        <v>0</v>
      </c>
      <c r="W83" s="4">
        <v>0</v>
      </c>
      <c r="X83" s="4" t="s">
        <v>465</v>
      </c>
      <c r="Y83" s="4">
        <v>3</v>
      </c>
      <c r="Z83" s="4">
        <v>1</v>
      </c>
      <c r="AA83" s="4">
        <v>1</v>
      </c>
      <c r="AB83" s="4" t="s">
        <v>471</v>
      </c>
      <c r="AC83" s="4"/>
      <c r="AD83" s="7"/>
      <c r="AE83" s="4"/>
      <c r="AF83" s="4">
        <f>IF(SUMIF(Founders_Clean!$A$2:$A$159,A83,Founders_Clean!$C$2:$C$159)=0,"",SUMIF(Founders_Clean!$A$2:$A$159,A83,Founders_Clean!$C$2:$C$159))</f>
        <v>2</v>
      </c>
      <c r="AG83" s="4">
        <f>IF(AF83="","",SUMIF(Founders_Clean!$A$2:$A$159,A83,Founders_Clean!$D$2:$D$159))</f>
        <v>2</v>
      </c>
      <c r="AH83" s="4">
        <f>IF(AF83="","",SUMIF(Founders_Clean!$A$2:$A$159,A83,Founders_Clean!$E$2:$E$159))</f>
        <v>0</v>
      </c>
      <c r="AI83" s="8">
        <f t="shared" si="14"/>
        <v>0</v>
      </c>
      <c r="AJ83" s="4">
        <f t="shared" si="15"/>
        <v>0</v>
      </c>
      <c r="AK83" s="8">
        <f t="shared" si="16"/>
        <v>0</v>
      </c>
      <c r="AL83" s="4"/>
      <c r="AM83" s="4">
        <v>2</v>
      </c>
      <c r="AN83" s="4" t="s">
        <v>96</v>
      </c>
      <c r="AO83" s="4"/>
      <c r="AP83" s="8"/>
      <c r="AQ83" s="4"/>
      <c r="AR83" s="4">
        <v>23</v>
      </c>
      <c r="AS83" s="4">
        <v>23</v>
      </c>
      <c r="AT83" s="7">
        <v>30.5</v>
      </c>
      <c r="AU83" s="4" t="s">
        <v>157</v>
      </c>
      <c r="AV83" s="4" t="s">
        <v>118</v>
      </c>
      <c r="AW83" s="4"/>
      <c r="AX83" s="4" t="s">
        <v>99</v>
      </c>
      <c r="AY83" s="4" t="s">
        <v>100</v>
      </c>
      <c r="AZ83" s="4"/>
      <c r="BA83" s="4">
        <v>0</v>
      </c>
      <c r="BB83" s="4">
        <v>0</v>
      </c>
      <c r="BC83" s="4">
        <v>0</v>
      </c>
      <c r="BD83" s="5"/>
      <c r="BE83" s="4"/>
      <c r="BF83" s="4">
        <f t="shared" si="17"/>
        <v>68</v>
      </c>
      <c r="BG83" s="4">
        <v>1</v>
      </c>
      <c r="BH83" s="7">
        <v>500000</v>
      </c>
      <c r="BI83" s="4" t="s">
        <v>101</v>
      </c>
      <c r="BJ83" s="5"/>
      <c r="BK83" s="4">
        <v>1</v>
      </c>
      <c r="BL83" s="4">
        <f>COUNTIFS(Investments_Clean!$A$2:$A$150,A83,Investments_Clean!$F$2:$F$150,"Accepted")</f>
        <v>1</v>
      </c>
      <c r="BM83" s="4">
        <f>IF(BL83=0,"",IF((COUNTIFS(Investments_Clean!$A$2:$A$150,A83,Investments_Clean!$D$2:$D$150,"VC/PE",Investments_Clean!$F$2:$F$150,"Accepted"))&gt;0,1,0))</f>
        <v>0</v>
      </c>
      <c r="BN83" s="4">
        <f>IF(BL83=0,"",IF((COUNTIFS(Investments_Clean!$A$2:$A$150,A83,Investments_Clean!$D$2:$D$150,"Angel",Investments_Clean!$F$2:$F$150,"Accepted"))&gt;0,1,0))</f>
        <v>0</v>
      </c>
      <c r="BO83" s="4">
        <f>IF(BL83=0,"",IF((COUNTIFS(Investments_Clean!$A$2:$A$150,A83,Investments_Clean!$D$2:$D$150,"Accelerator",Investments_Clean!$F$2:$F$150,"Accepted"))&gt;0,1,0))</f>
        <v>0</v>
      </c>
      <c r="BP83" s="4">
        <f>IF(BL83=0,"",IF((COUNTIFS(Investments_Clean!$A$2:$A$150,A83,Investments_Clean!$D$2:$D$150,"Corporate",Investments_Clean!$F$2:$F$150,"Accepted"))&gt;0,1,0))</f>
        <v>1</v>
      </c>
      <c r="BQ83" s="4">
        <f>IF(BL83=0,"",IF((COUNTIFS(Investments_Clean!$A$2:$A$150,A83,Investments_Clean!$D$2:$D$150,"Government",Investments_Clean!$F$2:$F$150,"Accepted"))&gt;0,1,0))</f>
        <v>0</v>
      </c>
      <c r="BR83" s="4">
        <f>IF(BL83=0,"",IF((COUNTIFS(Investments_Clean!$A$2:$A$150,A83,Investments_Clean!$D$2:$D$150,"Grant/Philanthropic",Investments_Clean!$F$2:$F$150,"Accepted")+COUNTIFS(Investments_Clean!$A$2:$A$150,A83,Investments_Clean!$D$2:$D$150,"DFI/Impact",Investments_Clean!$F$2:$F$150,"Accepted"))&gt;0,1,0))</f>
        <v>0</v>
      </c>
      <c r="BS83" s="4">
        <v>4</v>
      </c>
      <c r="BT83" s="4">
        <v>40</v>
      </c>
      <c r="BU83" s="4">
        <v>15</v>
      </c>
      <c r="BV83" s="7">
        <v>10000</v>
      </c>
      <c r="BW83" s="4">
        <v>42.5</v>
      </c>
      <c r="BX83" s="4">
        <v>12</v>
      </c>
      <c r="BY83" s="7"/>
      <c r="BZ83" s="4">
        <v>4.2</v>
      </c>
      <c r="CA83" s="4">
        <v>3</v>
      </c>
      <c r="CB83" s="4">
        <v>54.6</v>
      </c>
      <c r="CC83" s="4">
        <f>IF(I83="","",IFERROR(IF(INDEX(Macro_Lookup!$B$2:$B$31,MATCH(I83,Macro_Lookup!$A$2:$A$31,0))="","",INDEX(Macro_Lookup!$B$2:$B$31,MATCH(I83,Macro_Lookup!$A$2:$A$31,0))),""))</f>
        <v>6.94</v>
      </c>
      <c r="CD83" s="4">
        <f>IF(I83="","",IFERROR(IF(INDEX(Macro_Lookup!$C$2:$C$31,MATCH(I83,Macro_Lookup!$A$2:$A$31,0))="","",INDEX(Macro_Lookup!$C$2:$C$31,MATCH(I83,Macro_Lookup!$A$2:$A$31,0))),""))</f>
        <v>5.55</v>
      </c>
      <c r="CE83" s="4" t="str">
        <f>IF(BJ83="","",IFERROR(IF(INDEX(Macro_Lookup!$B$2:$B$31,MATCH(BJ83,Macro_Lookup!$A$2:$A$31,0))="","",INDEX(Macro_Lookup!$B$2:$B$31,MATCH(BJ83,Macro_Lookup!$A$2:$A$31,0))),""))</f>
        <v/>
      </c>
      <c r="CF83" s="4" t="str">
        <f>IF(BJ83="","",IFERROR(IF(INDEX(Macro_Lookup!$C$2:$C$31,MATCH(BJ83,Macro_Lookup!$A$2:$A$31,0))="","",INDEX(Macro_Lookup!$C$2:$C$31,MATCH(BJ83,Macro_Lookup!$A$2:$A$31,0))),""))</f>
        <v/>
      </c>
      <c r="CG83" s="4">
        <v>1</v>
      </c>
    </row>
    <row r="84" spans="1:85" x14ac:dyDescent="0.3">
      <c r="A84" s="4" t="s">
        <v>472</v>
      </c>
      <c r="B84" s="4" t="s">
        <v>473</v>
      </c>
      <c r="C84" s="4" t="s">
        <v>87</v>
      </c>
      <c r="D84" s="4" t="s">
        <v>88</v>
      </c>
      <c r="E84" s="4">
        <v>0</v>
      </c>
      <c r="F84" s="4" t="s">
        <v>89</v>
      </c>
      <c r="G84" s="4"/>
      <c r="H84" s="4"/>
      <c r="I84" s="5">
        <v>2015</v>
      </c>
      <c r="J84" s="4"/>
      <c r="K84" s="4" t="s">
        <v>90</v>
      </c>
      <c r="L84" s="6">
        <v>46295</v>
      </c>
      <c r="M84" s="4">
        <f t="shared" si="12"/>
        <v>140</v>
      </c>
      <c r="N84" s="4">
        <f t="shared" si="13"/>
        <v>11.67</v>
      </c>
      <c r="O84" s="4" t="s">
        <v>474</v>
      </c>
      <c r="P84" s="4" t="s">
        <v>442</v>
      </c>
      <c r="Q84" s="4" t="s">
        <v>475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 t="s">
        <v>465</v>
      </c>
      <c r="Y84" s="4">
        <v>3</v>
      </c>
      <c r="Z84" s="4">
        <v>1</v>
      </c>
      <c r="AA84" s="4">
        <v>0</v>
      </c>
      <c r="AB84" s="4" t="s">
        <v>476</v>
      </c>
      <c r="AC84" s="4"/>
      <c r="AD84" s="7"/>
      <c r="AE84" s="4"/>
      <c r="AF84" s="4">
        <f>IF(SUMIF(Founders_Clean!$A$2:$A$159,A84,Founders_Clean!$C$2:$C$159)=0,"",SUMIF(Founders_Clean!$A$2:$A$159,A84,Founders_Clean!$C$2:$C$159))</f>
        <v>1</v>
      </c>
      <c r="AG84" s="4">
        <f>IF(AF84="","",SUMIF(Founders_Clean!$A$2:$A$159,A84,Founders_Clean!$D$2:$D$159))</f>
        <v>1</v>
      </c>
      <c r="AH84" s="4">
        <f>IF(AF84="","",SUMIF(Founders_Clean!$A$2:$A$159,A84,Founders_Clean!$E$2:$E$159))</f>
        <v>0</v>
      </c>
      <c r="AI84" s="8">
        <f t="shared" si="14"/>
        <v>0</v>
      </c>
      <c r="AJ84" s="4">
        <f t="shared" si="15"/>
        <v>0</v>
      </c>
      <c r="AK84" s="8">
        <f t="shared" si="16"/>
        <v>0</v>
      </c>
      <c r="AL84" s="4"/>
      <c r="AM84" s="4">
        <v>1</v>
      </c>
      <c r="AN84" s="4" t="s">
        <v>143</v>
      </c>
      <c r="AO84" s="4"/>
      <c r="AP84" s="8"/>
      <c r="AQ84" s="4">
        <v>1</v>
      </c>
      <c r="AR84" s="4">
        <v>11</v>
      </c>
      <c r="AS84" s="4">
        <v>11</v>
      </c>
      <c r="AT84" s="7">
        <v>350.5</v>
      </c>
      <c r="AU84" s="4" t="s">
        <v>117</v>
      </c>
      <c r="AV84" s="4" t="s">
        <v>118</v>
      </c>
      <c r="AW84" s="4"/>
      <c r="AX84" s="4" t="s">
        <v>99</v>
      </c>
      <c r="AY84" s="4" t="s">
        <v>100</v>
      </c>
      <c r="AZ84" s="4"/>
      <c r="BA84" s="4">
        <v>0</v>
      </c>
      <c r="BB84" s="4">
        <v>0</v>
      </c>
      <c r="BC84" s="4">
        <v>0</v>
      </c>
      <c r="BD84" s="5"/>
      <c r="BE84" s="4"/>
      <c r="BF84" s="4">
        <f t="shared" si="17"/>
        <v>140</v>
      </c>
      <c r="BG84" s="4">
        <v>1</v>
      </c>
      <c r="BH84" s="7">
        <v>0</v>
      </c>
      <c r="BI84" s="4" t="s">
        <v>112</v>
      </c>
      <c r="BJ84" s="5"/>
      <c r="BK84" s="4">
        <v>0</v>
      </c>
      <c r="BL84" s="4">
        <f>COUNTIFS(Investments_Clean!$A$2:$A$150,A84,Investments_Clean!$F$2:$F$150,"Accepted")</f>
        <v>0</v>
      </c>
      <c r="BM84" s="4" t="str">
        <f>IF(BL84=0,"",IF((COUNTIFS(Investments_Clean!$A$2:$A$150,A84,Investments_Clean!$D$2:$D$150,"VC/PE",Investments_Clean!$F$2:$F$150,"Accepted"))&gt;0,1,0))</f>
        <v/>
      </c>
      <c r="BN84" s="4" t="str">
        <f>IF(BL84=0,"",IF((COUNTIFS(Investments_Clean!$A$2:$A$150,A84,Investments_Clean!$D$2:$D$150,"Angel",Investments_Clean!$F$2:$F$150,"Accepted"))&gt;0,1,0))</f>
        <v/>
      </c>
      <c r="BO84" s="4" t="str">
        <f>IF(BL84=0,"",IF((COUNTIFS(Investments_Clean!$A$2:$A$150,A84,Investments_Clean!$D$2:$D$150,"Accelerator",Investments_Clean!$F$2:$F$150,"Accepted"))&gt;0,1,0))</f>
        <v/>
      </c>
      <c r="BP84" s="4" t="str">
        <f>IF(BL84=0,"",IF((COUNTIFS(Investments_Clean!$A$2:$A$150,A84,Investments_Clean!$D$2:$D$150,"Corporate",Investments_Clean!$F$2:$F$150,"Accepted"))&gt;0,1,0))</f>
        <v/>
      </c>
      <c r="BQ84" s="4" t="str">
        <f>IF(BL84=0,"",IF((COUNTIFS(Investments_Clean!$A$2:$A$150,A84,Investments_Clean!$D$2:$D$150,"Government",Investments_Clean!$F$2:$F$150,"Accepted"))&gt;0,1,0))</f>
        <v/>
      </c>
      <c r="BR84" s="4" t="str">
        <f>IF(BL84=0,"",IF((COUNTIFS(Investments_Clean!$A$2:$A$150,A84,Investments_Clean!$D$2:$D$150,"Grant/Philanthropic",Investments_Clean!$F$2:$F$150,"Accepted")+COUNTIFS(Investments_Clean!$A$2:$A$150,A84,Investments_Clean!$D$2:$D$150,"DFI/Impact",Investments_Clean!$F$2:$F$150,"Accepted"))&gt;0,1,0))</f>
        <v/>
      </c>
      <c r="BS84" s="4">
        <v>4</v>
      </c>
      <c r="BT84" s="4">
        <v>12.8</v>
      </c>
      <c r="BU84" s="4">
        <v>20</v>
      </c>
      <c r="BV84" s="7">
        <v>17500</v>
      </c>
      <c r="BW84" s="4">
        <v>27.5</v>
      </c>
      <c r="BX84" s="4">
        <v>25</v>
      </c>
      <c r="BY84" s="7"/>
      <c r="BZ84" s="4"/>
      <c r="CA84" s="4">
        <v>3</v>
      </c>
      <c r="CB84" s="4">
        <v>60</v>
      </c>
      <c r="CC84" s="4">
        <f>IF(I84="","",IFERROR(IF(INDEX(Macro_Lookup!$B$2:$B$31,MATCH(I84,Macro_Lookup!$A$2:$A$31,0))="","",INDEX(Macro_Lookup!$B$2:$B$31,MATCH(I84,Macro_Lookup!$A$2:$A$31,0))),""))</f>
        <v>6.55</v>
      </c>
      <c r="CD84" s="4">
        <f>IF(I84="","",IFERROR(IF(INDEX(Macro_Lookup!$C$2:$C$31,MATCH(I84,Macro_Lookup!$A$2:$A$31,0))="","",INDEX(Macro_Lookup!$C$2:$C$31,MATCH(I84,Macro_Lookup!$A$2:$A$31,0))),""))</f>
        <v>6.4</v>
      </c>
      <c r="CE84" s="4" t="str">
        <f>IF(BJ84="","",IFERROR(IF(INDEX(Macro_Lookup!$B$2:$B$31,MATCH(BJ84,Macro_Lookup!$A$2:$A$31,0))="","",INDEX(Macro_Lookup!$B$2:$B$31,MATCH(BJ84,Macro_Lookup!$A$2:$A$31,0))),""))</f>
        <v/>
      </c>
      <c r="CF84" s="4" t="str">
        <f>IF(BJ84="","",IFERROR(IF(INDEX(Macro_Lookup!$C$2:$C$31,MATCH(BJ84,Macro_Lookup!$A$2:$A$31,0))="","",INDEX(Macro_Lookup!$C$2:$C$31,MATCH(BJ84,Macro_Lookup!$A$2:$A$31,0))),""))</f>
        <v/>
      </c>
      <c r="CG84" s="4">
        <v>1</v>
      </c>
    </row>
    <row r="85" spans="1:85" x14ac:dyDescent="0.3">
      <c r="A85" s="4" t="s">
        <v>477</v>
      </c>
      <c r="B85" s="4" t="s">
        <v>478</v>
      </c>
      <c r="C85" s="4" t="s">
        <v>87</v>
      </c>
      <c r="D85" s="4" t="s">
        <v>88</v>
      </c>
      <c r="E85" s="4">
        <v>0</v>
      </c>
      <c r="F85" s="4" t="s">
        <v>479</v>
      </c>
      <c r="G85" s="4"/>
      <c r="H85" s="4"/>
      <c r="I85" s="5">
        <v>2018</v>
      </c>
      <c r="J85" s="4"/>
      <c r="K85" s="4" t="s">
        <v>90</v>
      </c>
      <c r="L85" s="6">
        <v>46295</v>
      </c>
      <c r="M85" s="4">
        <f t="shared" si="12"/>
        <v>104</v>
      </c>
      <c r="N85" s="4">
        <f t="shared" si="13"/>
        <v>8.67</v>
      </c>
      <c r="O85" s="4" t="s">
        <v>480</v>
      </c>
      <c r="P85" s="4" t="s">
        <v>255</v>
      </c>
      <c r="Q85" s="4" t="s">
        <v>481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1</v>
      </c>
      <c r="X85" s="4" t="s">
        <v>465</v>
      </c>
      <c r="Y85" s="4">
        <v>3</v>
      </c>
      <c r="Z85" s="4">
        <v>1</v>
      </c>
      <c r="AA85" s="4">
        <v>0</v>
      </c>
      <c r="AB85" s="4" t="s">
        <v>482</v>
      </c>
      <c r="AC85" s="4"/>
      <c r="AD85" s="7"/>
      <c r="AE85" s="4"/>
      <c r="AF85" s="4">
        <f>IF(SUMIF(Founders_Clean!$A$2:$A$159,A85,Founders_Clean!$C$2:$C$159)=0,"",SUMIF(Founders_Clean!$A$2:$A$159,A85,Founders_Clean!$C$2:$C$159))</f>
        <v>2</v>
      </c>
      <c r="AG85" s="4">
        <f>IF(AF85="","",SUMIF(Founders_Clean!$A$2:$A$159,A85,Founders_Clean!$D$2:$D$159))</f>
        <v>0</v>
      </c>
      <c r="AH85" s="4">
        <f>IF(AF85="","",SUMIF(Founders_Clean!$A$2:$A$159,A85,Founders_Clean!$E$2:$E$159))</f>
        <v>2</v>
      </c>
      <c r="AI85" s="8">
        <f t="shared" si="14"/>
        <v>1</v>
      </c>
      <c r="AJ85" s="4">
        <f t="shared" si="15"/>
        <v>1</v>
      </c>
      <c r="AK85" s="8">
        <f t="shared" si="16"/>
        <v>0</v>
      </c>
      <c r="AL85" s="4"/>
      <c r="AM85" s="4">
        <v>2</v>
      </c>
      <c r="AN85" s="4" t="s">
        <v>96</v>
      </c>
      <c r="AO85" s="4">
        <v>1</v>
      </c>
      <c r="AP85" s="8">
        <v>1</v>
      </c>
      <c r="AQ85" s="4"/>
      <c r="AR85" s="4">
        <v>8</v>
      </c>
      <c r="AS85" s="4">
        <v>8</v>
      </c>
      <c r="AT85" s="7">
        <v>30.5</v>
      </c>
      <c r="AU85" s="4" t="s">
        <v>157</v>
      </c>
      <c r="AV85" s="4" t="s">
        <v>118</v>
      </c>
      <c r="AW85" s="4"/>
      <c r="AX85" s="4" t="s">
        <v>99</v>
      </c>
      <c r="AY85" s="4" t="s">
        <v>100</v>
      </c>
      <c r="AZ85" s="4"/>
      <c r="BA85" s="4">
        <v>0</v>
      </c>
      <c r="BB85" s="4">
        <v>0</v>
      </c>
      <c r="BC85" s="4">
        <v>0</v>
      </c>
      <c r="BD85" s="5"/>
      <c r="BE85" s="4"/>
      <c r="BF85" s="4">
        <f t="shared" si="17"/>
        <v>104</v>
      </c>
      <c r="BG85" s="4">
        <v>1</v>
      </c>
      <c r="BH85" s="7"/>
      <c r="BI85" s="4" t="s">
        <v>105</v>
      </c>
      <c r="BJ85" s="5"/>
      <c r="BK85" s="4">
        <v>1</v>
      </c>
      <c r="BL85" s="4">
        <f>COUNTIFS(Investments_Clean!$A$2:$A$150,A85,Investments_Clean!$F$2:$F$150,"Accepted")</f>
        <v>1</v>
      </c>
      <c r="BM85" s="4">
        <f>IF(BL85=0,"",IF((COUNTIFS(Investments_Clean!$A$2:$A$150,A85,Investments_Clean!$D$2:$D$150,"VC/PE",Investments_Clean!$F$2:$F$150,"Accepted"))&gt;0,1,0))</f>
        <v>0</v>
      </c>
      <c r="BN85" s="4">
        <f>IF(BL85=0,"",IF((COUNTIFS(Investments_Clean!$A$2:$A$150,A85,Investments_Clean!$D$2:$D$150,"Angel",Investments_Clean!$F$2:$F$150,"Accepted"))&gt;0,1,0))</f>
        <v>0</v>
      </c>
      <c r="BO85" s="4">
        <f>IF(BL85=0,"",IF((COUNTIFS(Investments_Clean!$A$2:$A$150,A85,Investments_Clean!$D$2:$D$150,"Accelerator",Investments_Clean!$F$2:$F$150,"Accepted"))&gt;0,1,0))</f>
        <v>1</v>
      </c>
      <c r="BP85" s="4">
        <f>IF(BL85=0,"",IF((COUNTIFS(Investments_Clean!$A$2:$A$150,A85,Investments_Clean!$D$2:$D$150,"Corporate",Investments_Clean!$F$2:$F$150,"Accepted"))&gt;0,1,0))</f>
        <v>0</v>
      </c>
      <c r="BQ85" s="4">
        <f>IF(BL85=0,"",IF((COUNTIFS(Investments_Clean!$A$2:$A$150,A85,Investments_Clean!$D$2:$D$150,"Government",Investments_Clean!$F$2:$F$150,"Accepted"))&gt;0,1,0))</f>
        <v>0</v>
      </c>
      <c r="BR85" s="4">
        <f>IF(BL85=0,"",IF((COUNTIFS(Investments_Clean!$A$2:$A$150,A85,Investments_Clean!$D$2:$D$150,"Grant/Philanthropic",Investments_Clean!$F$2:$F$150,"Accepted")+COUNTIFS(Investments_Clean!$A$2:$A$150,A85,Investments_Clean!$D$2:$D$150,"DFI/Impact",Investments_Clean!$F$2:$F$150,"Accepted"))&gt;0,1,0))</f>
        <v>0</v>
      </c>
      <c r="BS85" s="4"/>
      <c r="BT85" s="4">
        <v>20</v>
      </c>
      <c r="BU85" s="4">
        <v>5</v>
      </c>
      <c r="BV85" s="7">
        <v>2500</v>
      </c>
      <c r="BW85" s="4">
        <v>22.5</v>
      </c>
      <c r="BX85" s="4">
        <v>15</v>
      </c>
      <c r="BY85" s="7"/>
      <c r="BZ85" s="4"/>
      <c r="CA85" s="4">
        <v>3</v>
      </c>
      <c r="CB85" s="4">
        <v>34.200000000000003</v>
      </c>
      <c r="CC85" s="4">
        <f>IF(I85="","",IFERROR(IF(INDEX(Macro_Lookup!$B$2:$B$31,MATCH(I85,Macro_Lookup!$A$2:$A$31,0))="","",INDEX(Macro_Lookup!$B$2:$B$31,MATCH(I85,Macro_Lookup!$A$2:$A$31,0))),""))</f>
        <v>7.32</v>
      </c>
      <c r="CD85" s="4">
        <f>IF(I85="","",IFERROR(IF(INDEX(Macro_Lookup!$C$2:$C$31,MATCH(I85,Macro_Lookup!$A$2:$A$31,0))="","",INDEX(Macro_Lookup!$C$2:$C$31,MATCH(I85,Macro_Lookup!$A$2:$A$31,0))),""))</f>
        <v>5.54</v>
      </c>
      <c r="CE85" s="4" t="str">
        <f>IF(BJ85="","",IFERROR(IF(INDEX(Macro_Lookup!$B$2:$B$31,MATCH(BJ85,Macro_Lookup!$A$2:$A$31,0))="","",INDEX(Macro_Lookup!$B$2:$B$31,MATCH(BJ85,Macro_Lookup!$A$2:$A$31,0))),""))</f>
        <v/>
      </c>
      <c r="CF85" s="4" t="str">
        <f>IF(BJ85="","",IFERROR(IF(INDEX(Macro_Lookup!$C$2:$C$31,MATCH(BJ85,Macro_Lookup!$A$2:$A$31,0))="","",INDEX(Macro_Lookup!$C$2:$C$31,MATCH(BJ85,Macro_Lookup!$A$2:$A$31,0))),""))</f>
        <v/>
      </c>
      <c r="CG85" s="4">
        <v>1</v>
      </c>
    </row>
    <row r="86" spans="1:85" x14ac:dyDescent="0.3">
      <c r="A86" s="4" t="s">
        <v>483</v>
      </c>
      <c r="B86" s="4" t="s">
        <v>484</v>
      </c>
      <c r="C86" s="4" t="s">
        <v>87</v>
      </c>
      <c r="D86" s="4" t="s">
        <v>88</v>
      </c>
      <c r="E86" s="4">
        <v>0</v>
      </c>
      <c r="F86" s="4" t="s">
        <v>89</v>
      </c>
      <c r="G86" s="4" t="s">
        <v>461</v>
      </c>
      <c r="H86" s="4"/>
      <c r="I86" s="5">
        <v>2017</v>
      </c>
      <c r="J86" s="4"/>
      <c r="K86" s="4" t="s">
        <v>90</v>
      </c>
      <c r="L86" s="6">
        <v>46295</v>
      </c>
      <c r="M86" s="4">
        <f t="shared" si="12"/>
        <v>116</v>
      </c>
      <c r="N86" s="4">
        <f t="shared" si="13"/>
        <v>9.67</v>
      </c>
      <c r="O86" s="4" t="s">
        <v>485</v>
      </c>
      <c r="P86" s="4" t="s">
        <v>442</v>
      </c>
      <c r="Q86" s="4" t="s">
        <v>464</v>
      </c>
      <c r="R86" s="4">
        <v>1</v>
      </c>
      <c r="S86" s="4">
        <v>0</v>
      </c>
      <c r="T86" s="4">
        <v>0</v>
      </c>
      <c r="U86" s="4">
        <v>1</v>
      </c>
      <c r="V86" s="4">
        <v>1</v>
      </c>
      <c r="W86" s="4">
        <v>0</v>
      </c>
      <c r="X86" s="4" t="s">
        <v>465</v>
      </c>
      <c r="Y86" s="4">
        <v>3</v>
      </c>
      <c r="Z86" s="4">
        <v>1</v>
      </c>
      <c r="AA86" s="4">
        <v>1</v>
      </c>
      <c r="AB86" s="4" t="s">
        <v>486</v>
      </c>
      <c r="AC86" s="4"/>
      <c r="AD86" s="7"/>
      <c r="AE86" s="4"/>
      <c r="AF86" s="4">
        <f>IF(SUMIF(Founders_Clean!$A$2:$A$159,A86,Founders_Clean!$C$2:$C$159)=0,"",SUMIF(Founders_Clean!$A$2:$A$159,A86,Founders_Clean!$C$2:$C$159))</f>
        <v>2</v>
      </c>
      <c r="AG86" s="4">
        <f>IF(AF86="","",SUMIF(Founders_Clean!$A$2:$A$159,A86,Founders_Clean!$D$2:$D$159))</f>
        <v>2</v>
      </c>
      <c r="AH86" s="4">
        <f>IF(AF86="","",SUMIF(Founders_Clean!$A$2:$A$159,A86,Founders_Clean!$E$2:$E$159))</f>
        <v>0</v>
      </c>
      <c r="AI86" s="8">
        <f t="shared" si="14"/>
        <v>0</v>
      </c>
      <c r="AJ86" s="4">
        <f t="shared" si="15"/>
        <v>0</v>
      </c>
      <c r="AK86" s="8">
        <f t="shared" si="16"/>
        <v>0</v>
      </c>
      <c r="AL86" s="4"/>
      <c r="AM86" s="4">
        <v>2</v>
      </c>
      <c r="AN86" s="4" t="s">
        <v>96</v>
      </c>
      <c r="AO86" s="4">
        <v>1</v>
      </c>
      <c r="AP86" s="8">
        <v>1</v>
      </c>
      <c r="AQ86" s="4">
        <v>1</v>
      </c>
      <c r="AR86" s="4">
        <v>11</v>
      </c>
      <c r="AS86" s="4">
        <v>11</v>
      </c>
      <c r="AT86" s="7">
        <v>30.5</v>
      </c>
      <c r="AU86" s="4" t="s">
        <v>157</v>
      </c>
      <c r="AV86" s="4" t="s">
        <v>118</v>
      </c>
      <c r="AW86" s="4"/>
      <c r="AX86" s="4" t="s">
        <v>99</v>
      </c>
      <c r="AY86" s="4" t="s">
        <v>100</v>
      </c>
      <c r="AZ86" s="4"/>
      <c r="BA86" s="4">
        <v>0</v>
      </c>
      <c r="BB86" s="4">
        <v>0</v>
      </c>
      <c r="BC86" s="4">
        <v>0</v>
      </c>
      <c r="BD86" s="5"/>
      <c r="BE86" s="4"/>
      <c r="BF86" s="4">
        <f t="shared" si="17"/>
        <v>116</v>
      </c>
      <c r="BG86" s="4">
        <v>1</v>
      </c>
      <c r="BH86" s="7"/>
      <c r="BI86" s="4" t="s">
        <v>105</v>
      </c>
      <c r="BJ86" s="5"/>
      <c r="BK86" s="4">
        <v>1</v>
      </c>
      <c r="BL86" s="4">
        <f>COUNTIFS(Investments_Clean!$A$2:$A$150,A86,Investments_Clean!$F$2:$F$150,"Accepted")</f>
        <v>1</v>
      </c>
      <c r="BM86" s="4">
        <f>IF(BL86=0,"",IF((COUNTIFS(Investments_Clean!$A$2:$A$150,A86,Investments_Clean!$D$2:$D$150,"VC/PE",Investments_Clean!$F$2:$F$150,"Accepted"))&gt;0,1,0))</f>
        <v>0</v>
      </c>
      <c r="BN86" s="4">
        <f>IF(BL86=0,"",IF((COUNTIFS(Investments_Clean!$A$2:$A$150,A86,Investments_Clean!$D$2:$D$150,"Angel",Investments_Clean!$F$2:$F$150,"Accepted"))&gt;0,1,0))</f>
        <v>0</v>
      </c>
      <c r="BO86" s="4">
        <f>IF(BL86=0,"",IF((COUNTIFS(Investments_Clean!$A$2:$A$150,A86,Investments_Clean!$D$2:$D$150,"Accelerator",Investments_Clean!$F$2:$F$150,"Accepted"))&gt;0,1,0))</f>
        <v>1</v>
      </c>
      <c r="BP86" s="4">
        <f>IF(BL86=0,"",IF((COUNTIFS(Investments_Clean!$A$2:$A$150,A86,Investments_Clean!$D$2:$D$150,"Corporate",Investments_Clean!$F$2:$F$150,"Accepted"))&gt;0,1,0))</f>
        <v>0</v>
      </c>
      <c r="BQ86" s="4">
        <f>IF(BL86=0,"",IF((COUNTIFS(Investments_Clean!$A$2:$A$150,A86,Investments_Clean!$D$2:$D$150,"Government",Investments_Clean!$F$2:$F$150,"Accepted"))&gt;0,1,0))</f>
        <v>0</v>
      </c>
      <c r="BR86" s="4">
        <f>IF(BL86=0,"",IF((COUNTIFS(Investments_Clean!$A$2:$A$150,A86,Investments_Clean!$D$2:$D$150,"Grant/Philanthropic",Investments_Clean!$F$2:$F$150,"Accepted")+COUNTIFS(Investments_Clean!$A$2:$A$150,A86,Investments_Clean!$D$2:$D$150,"DFI/Impact",Investments_Clean!$F$2:$F$150,"Accepted"))&gt;0,1,0))</f>
        <v>0</v>
      </c>
      <c r="BS86" s="4">
        <v>3</v>
      </c>
      <c r="BT86" s="4">
        <v>30</v>
      </c>
      <c r="BU86" s="4">
        <v>12</v>
      </c>
      <c r="BV86" s="7">
        <v>25000</v>
      </c>
      <c r="BW86" s="4">
        <v>30</v>
      </c>
      <c r="BX86" s="4">
        <v>10</v>
      </c>
      <c r="BY86" s="7"/>
      <c r="BZ86" s="4">
        <v>3.8</v>
      </c>
      <c r="CA86" s="4">
        <v>3</v>
      </c>
      <c r="CB86" s="4">
        <v>55</v>
      </c>
      <c r="CC86" s="4">
        <f>IF(I86="","",IFERROR(IF(INDEX(Macro_Lookup!$B$2:$B$31,MATCH(I86,Macro_Lookup!$A$2:$A$31,0))="","",INDEX(Macro_Lookup!$B$2:$B$31,MATCH(I86,Macro_Lookup!$A$2:$A$31,0))),""))</f>
        <v>6.59</v>
      </c>
      <c r="CD86" s="4">
        <f>IF(I86="","",IFERROR(IF(INDEX(Macro_Lookup!$C$2:$C$31,MATCH(I86,Macro_Lookup!$A$2:$A$31,0))="","",INDEX(Macro_Lookup!$C$2:$C$31,MATCH(I86,Macro_Lookup!$A$2:$A$31,0))),""))</f>
        <v>5.7</v>
      </c>
      <c r="CE86" s="4" t="str">
        <f>IF(BJ86="","",IFERROR(IF(INDEX(Macro_Lookup!$B$2:$B$31,MATCH(BJ86,Macro_Lookup!$A$2:$A$31,0))="","",INDEX(Macro_Lookup!$B$2:$B$31,MATCH(BJ86,Macro_Lookup!$A$2:$A$31,0))),""))</f>
        <v/>
      </c>
      <c r="CF86" s="4" t="str">
        <f>IF(BJ86="","",IFERROR(IF(INDEX(Macro_Lookup!$C$2:$C$31,MATCH(BJ86,Macro_Lookup!$A$2:$A$31,0))="","",INDEX(Macro_Lookup!$C$2:$C$31,MATCH(BJ86,Macro_Lookup!$A$2:$A$31,0))),""))</f>
        <v/>
      </c>
      <c r="CG86" s="4">
        <v>1</v>
      </c>
    </row>
    <row r="87" spans="1:85" x14ac:dyDescent="0.3">
      <c r="A87" s="4" t="s">
        <v>487</v>
      </c>
      <c r="B87" s="4" t="s">
        <v>488</v>
      </c>
      <c r="C87" s="4" t="s">
        <v>87</v>
      </c>
      <c r="D87" s="4" t="s">
        <v>88</v>
      </c>
      <c r="E87" s="4">
        <v>0</v>
      </c>
      <c r="F87" s="4" t="s">
        <v>89</v>
      </c>
      <c r="G87" s="4"/>
      <c r="H87" s="4"/>
      <c r="I87" s="5">
        <v>2021</v>
      </c>
      <c r="J87" s="4"/>
      <c r="K87" s="4" t="s">
        <v>90</v>
      </c>
      <c r="L87" s="6">
        <v>46295</v>
      </c>
      <c r="M87" s="4">
        <f t="shared" si="12"/>
        <v>68</v>
      </c>
      <c r="N87" s="4">
        <f t="shared" si="13"/>
        <v>5.67</v>
      </c>
      <c r="O87" s="4" t="s">
        <v>489</v>
      </c>
      <c r="P87" s="4" t="s">
        <v>92</v>
      </c>
      <c r="Q87" s="4" t="s">
        <v>490</v>
      </c>
      <c r="R87" s="4">
        <v>1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 t="s">
        <v>465</v>
      </c>
      <c r="Y87" s="4">
        <v>3</v>
      </c>
      <c r="Z87" s="4">
        <v>1</v>
      </c>
      <c r="AA87" s="4">
        <v>1</v>
      </c>
      <c r="AB87" s="4" t="s">
        <v>491</v>
      </c>
      <c r="AC87" s="4">
        <v>1</v>
      </c>
      <c r="AD87" s="7">
        <v>9000</v>
      </c>
      <c r="AE87" s="4" t="s">
        <v>95</v>
      </c>
      <c r="AF87" s="4">
        <f>IF(SUMIF(Founders_Clean!$A$2:$A$159,A87,Founders_Clean!$C$2:$C$159)=0,"",SUMIF(Founders_Clean!$A$2:$A$159,A87,Founders_Clean!$C$2:$C$159))</f>
        <v>2</v>
      </c>
      <c r="AG87" s="4">
        <f>IF(AF87="","",SUMIF(Founders_Clean!$A$2:$A$159,A87,Founders_Clean!$D$2:$D$159))</f>
        <v>2</v>
      </c>
      <c r="AH87" s="4">
        <f>IF(AF87="","",SUMIF(Founders_Clean!$A$2:$A$159,A87,Founders_Clean!$E$2:$E$159))</f>
        <v>0</v>
      </c>
      <c r="AI87" s="8">
        <f t="shared" si="14"/>
        <v>0</v>
      </c>
      <c r="AJ87" s="4">
        <f t="shared" si="15"/>
        <v>0</v>
      </c>
      <c r="AK87" s="8">
        <f t="shared" si="16"/>
        <v>0</v>
      </c>
      <c r="AL87" s="4"/>
      <c r="AM87" s="4">
        <v>2</v>
      </c>
      <c r="AN87" s="4" t="s">
        <v>96</v>
      </c>
      <c r="AO87" s="4"/>
      <c r="AP87" s="8"/>
      <c r="AQ87" s="4"/>
      <c r="AR87" s="4">
        <v>25</v>
      </c>
      <c r="AS87" s="4">
        <v>25</v>
      </c>
      <c r="AT87" s="7">
        <v>30.5</v>
      </c>
      <c r="AU87" s="4" t="s">
        <v>157</v>
      </c>
      <c r="AV87" s="4" t="s">
        <v>118</v>
      </c>
      <c r="AW87" s="4"/>
      <c r="AX87" s="4" t="s">
        <v>99</v>
      </c>
      <c r="AY87" s="4" t="s">
        <v>100</v>
      </c>
      <c r="AZ87" s="4"/>
      <c r="BA87" s="4">
        <v>0</v>
      </c>
      <c r="BB87" s="4">
        <v>0</v>
      </c>
      <c r="BC87" s="4">
        <v>0</v>
      </c>
      <c r="BD87" s="5"/>
      <c r="BE87" s="4"/>
      <c r="BF87" s="4">
        <f t="shared" si="17"/>
        <v>68</v>
      </c>
      <c r="BG87" s="4">
        <v>1</v>
      </c>
      <c r="BH87" s="7">
        <v>200000</v>
      </c>
      <c r="BI87" s="4" t="s">
        <v>101</v>
      </c>
      <c r="BJ87" s="5"/>
      <c r="BK87" s="4">
        <v>1</v>
      </c>
      <c r="BL87" s="4">
        <f>COUNTIFS(Investments_Clean!$A$2:$A$150,A87,Investments_Clean!$F$2:$F$150,"Accepted")</f>
        <v>1</v>
      </c>
      <c r="BM87" s="4">
        <f>IF(BL87=0,"",IF((COUNTIFS(Investments_Clean!$A$2:$A$150,A87,Investments_Clean!$D$2:$D$150,"VC/PE",Investments_Clean!$F$2:$F$150,"Accepted"))&gt;0,1,0))</f>
        <v>0</v>
      </c>
      <c r="BN87" s="4">
        <f>IF(BL87=0,"",IF((COUNTIFS(Investments_Clean!$A$2:$A$150,A87,Investments_Clean!$D$2:$D$150,"Angel",Investments_Clean!$F$2:$F$150,"Accepted"))&gt;0,1,0))</f>
        <v>1</v>
      </c>
      <c r="BO87" s="4">
        <f>IF(BL87=0,"",IF((COUNTIFS(Investments_Clean!$A$2:$A$150,A87,Investments_Clean!$D$2:$D$150,"Accelerator",Investments_Clean!$F$2:$F$150,"Accepted"))&gt;0,1,0))</f>
        <v>0</v>
      </c>
      <c r="BP87" s="4">
        <f>IF(BL87=0,"",IF((COUNTIFS(Investments_Clean!$A$2:$A$150,A87,Investments_Clean!$D$2:$D$150,"Corporate",Investments_Clean!$F$2:$F$150,"Accepted"))&gt;0,1,0))</f>
        <v>0</v>
      </c>
      <c r="BQ87" s="4">
        <f>IF(BL87=0,"",IF((COUNTIFS(Investments_Clean!$A$2:$A$150,A87,Investments_Clean!$D$2:$D$150,"Government",Investments_Clean!$F$2:$F$150,"Accepted"))&gt;0,1,0))</f>
        <v>0</v>
      </c>
      <c r="BR87" s="4">
        <f>IF(BL87=0,"",IF((COUNTIFS(Investments_Clean!$A$2:$A$150,A87,Investments_Clean!$D$2:$D$150,"Grant/Philanthropic",Investments_Clean!$F$2:$F$150,"Accepted")+COUNTIFS(Investments_Clean!$A$2:$A$150,A87,Investments_Clean!$D$2:$D$150,"DFI/Impact",Investments_Clean!$F$2:$F$150,"Accepted"))&gt;0,1,0))</f>
        <v>0</v>
      </c>
      <c r="BS87" s="4">
        <v>3</v>
      </c>
      <c r="BT87" s="4">
        <v>50</v>
      </c>
      <c r="BU87" s="4">
        <v>25</v>
      </c>
      <c r="BV87" s="7">
        <v>2500</v>
      </c>
      <c r="BW87" s="4">
        <v>37.5</v>
      </c>
      <c r="BX87" s="4">
        <v>8</v>
      </c>
      <c r="BY87" s="7"/>
      <c r="BZ87" s="4"/>
      <c r="CA87" s="4">
        <v>3</v>
      </c>
      <c r="CB87" s="4">
        <v>37.5</v>
      </c>
      <c r="CC87" s="4">
        <f>IF(I87="","",IFERROR(IF(INDEX(Macro_Lookup!$B$2:$B$31,MATCH(I87,Macro_Lookup!$A$2:$A$31,0))="","",INDEX(Macro_Lookup!$B$2:$B$31,MATCH(I87,Macro_Lookup!$A$2:$A$31,0))),""))</f>
        <v>6.94</v>
      </c>
      <c r="CD87" s="4">
        <f>IF(I87="","",IFERROR(IF(INDEX(Macro_Lookup!$C$2:$C$31,MATCH(I87,Macro_Lookup!$A$2:$A$31,0))="","",INDEX(Macro_Lookup!$C$2:$C$31,MATCH(I87,Macro_Lookup!$A$2:$A$31,0))),""))</f>
        <v>5.55</v>
      </c>
      <c r="CE87" s="4" t="str">
        <f>IF(BJ87="","",IFERROR(IF(INDEX(Macro_Lookup!$B$2:$B$31,MATCH(BJ87,Macro_Lookup!$A$2:$A$31,0))="","",INDEX(Macro_Lookup!$B$2:$B$31,MATCH(BJ87,Macro_Lookup!$A$2:$A$31,0))),""))</f>
        <v/>
      </c>
      <c r="CF87" s="4" t="str">
        <f>IF(BJ87="","",IFERROR(IF(INDEX(Macro_Lookup!$C$2:$C$31,MATCH(BJ87,Macro_Lookup!$A$2:$A$31,0))="","",INDEX(Macro_Lookup!$C$2:$C$31,MATCH(BJ87,Macro_Lookup!$A$2:$A$31,0))),""))</f>
        <v/>
      </c>
      <c r="CG87" s="4">
        <v>0</v>
      </c>
    </row>
    <row r="88" spans="1:85" x14ac:dyDescent="0.3">
      <c r="A88" s="4" t="s">
        <v>492</v>
      </c>
      <c r="B88" s="4" t="s">
        <v>493</v>
      </c>
      <c r="C88" s="4" t="s">
        <v>87</v>
      </c>
      <c r="D88" s="4" t="s">
        <v>88</v>
      </c>
      <c r="E88" s="4">
        <v>0</v>
      </c>
      <c r="F88" s="4" t="s">
        <v>89</v>
      </c>
      <c r="G88" s="4"/>
      <c r="H88" s="4"/>
      <c r="I88" s="5">
        <v>2014</v>
      </c>
      <c r="J88" s="4"/>
      <c r="K88" s="4" t="s">
        <v>90</v>
      </c>
      <c r="L88" s="6">
        <v>46295</v>
      </c>
      <c r="M88" s="4">
        <f t="shared" si="12"/>
        <v>152</v>
      </c>
      <c r="N88" s="4">
        <f t="shared" si="13"/>
        <v>12.67</v>
      </c>
      <c r="O88" s="4" t="s">
        <v>494</v>
      </c>
      <c r="P88" s="4" t="s">
        <v>442</v>
      </c>
      <c r="Q88" s="4" t="s">
        <v>495</v>
      </c>
      <c r="R88" s="4">
        <v>1</v>
      </c>
      <c r="S88" s="4">
        <v>1</v>
      </c>
      <c r="T88" s="4">
        <v>0</v>
      </c>
      <c r="U88" s="4">
        <v>1</v>
      </c>
      <c r="V88" s="4">
        <v>1</v>
      </c>
      <c r="W88" s="4">
        <v>0</v>
      </c>
      <c r="X88" s="4" t="s">
        <v>465</v>
      </c>
      <c r="Y88" s="4">
        <v>3</v>
      </c>
      <c r="Z88" s="4">
        <v>1</v>
      </c>
      <c r="AA88" s="4">
        <v>0</v>
      </c>
      <c r="AB88" s="4" t="s">
        <v>496</v>
      </c>
      <c r="AC88" s="4"/>
      <c r="AD88" s="7"/>
      <c r="AE88" s="4"/>
      <c r="AF88" s="4">
        <f>IF(SUMIF(Founders_Clean!$A$2:$A$159,A88,Founders_Clean!$C$2:$C$159)=0,"",SUMIF(Founders_Clean!$A$2:$A$159,A88,Founders_Clean!$C$2:$C$159))</f>
        <v>1</v>
      </c>
      <c r="AG88" s="4">
        <f>IF(AF88="","",SUMIF(Founders_Clean!$A$2:$A$159,A88,Founders_Clean!$D$2:$D$159))</f>
        <v>1</v>
      </c>
      <c r="AH88" s="4">
        <f>IF(AF88="","",SUMIF(Founders_Clean!$A$2:$A$159,A88,Founders_Clean!$E$2:$E$159))</f>
        <v>0</v>
      </c>
      <c r="AI88" s="8">
        <f t="shared" si="14"/>
        <v>0</v>
      </c>
      <c r="AJ88" s="4">
        <f t="shared" si="15"/>
        <v>0</v>
      </c>
      <c r="AK88" s="8">
        <f t="shared" si="16"/>
        <v>0</v>
      </c>
      <c r="AL88" s="4"/>
      <c r="AM88" s="4">
        <v>1</v>
      </c>
      <c r="AN88" s="4" t="s">
        <v>143</v>
      </c>
      <c r="AO88" s="4">
        <v>1</v>
      </c>
      <c r="AP88" s="8">
        <v>1</v>
      </c>
      <c r="AQ88" s="4"/>
      <c r="AR88" s="4">
        <v>12</v>
      </c>
      <c r="AS88" s="4">
        <v>12</v>
      </c>
      <c r="AT88" s="7">
        <v>30.5</v>
      </c>
      <c r="AU88" s="4" t="s">
        <v>157</v>
      </c>
      <c r="AV88" s="4" t="s">
        <v>118</v>
      </c>
      <c r="AW88" s="4"/>
      <c r="AX88" s="4" t="s">
        <v>99</v>
      </c>
      <c r="AY88" s="4" t="s">
        <v>100</v>
      </c>
      <c r="AZ88" s="4"/>
      <c r="BA88" s="4">
        <v>0</v>
      </c>
      <c r="BB88" s="4">
        <v>0</v>
      </c>
      <c r="BC88" s="4">
        <v>0</v>
      </c>
      <c r="BD88" s="5"/>
      <c r="BE88" s="4"/>
      <c r="BF88" s="4">
        <f t="shared" si="17"/>
        <v>152</v>
      </c>
      <c r="BG88" s="4">
        <v>1</v>
      </c>
      <c r="BH88" s="7"/>
      <c r="BI88" s="4" t="s">
        <v>105</v>
      </c>
      <c r="BJ88" s="5"/>
      <c r="BK88" s="4">
        <v>1</v>
      </c>
      <c r="BL88" s="4">
        <f>COUNTIFS(Investments_Clean!$A$2:$A$150,A88,Investments_Clean!$F$2:$F$150,"Accepted")</f>
        <v>0</v>
      </c>
      <c r="BM88" s="4" t="str">
        <f>IF(BL88=0,"",IF((COUNTIFS(Investments_Clean!$A$2:$A$150,A88,Investments_Clean!$D$2:$D$150,"VC/PE",Investments_Clean!$F$2:$F$150,"Accepted"))&gt;0,1,0))</f>
        <v/>
      </c>
      <c r="BN88" s="4" t="str">
        <f>IF(BL88=0,"",IF((COUNTIFS(Investments_Clean!$A$2:$A$150,A88,Investments_Clean!$D$2:$D$150,"Angel",Investments_Clean!$F$2:$F$150,"Accepted"))&gt;0,1,0))</f>
        <v/>
      </c>
      <c r="BO88" s="4" t="str">
        <f>IF(BL88=0,"",IF((COUNTIFS(Investments_Clean!$A$2:$A$150,A88,Investments_Clean!$D$2:$D$150,"Accelerator",Investments_Clean!$F$2:$F$150,"Accepted"))&gt;0,1,0))</f>
        <v/>
      </c>
      <c r="BP88" s="4" t="str">
        <f>IF(BL88=0,"",IF((COUNTIFS(Investments_Clean!$A$2:$A$150,A88,Investments_Clean!$D$2:$D$150,"Corporate",Investments_Clean!$F$2:$F$150,"Accepted"))&gt;0,1,0))</f>
        <v/>
      </c>
      <c r="BQ88" s="4" t="str">
        <f>IF(BL88=0,"",IF((COUNTIFS(Investments_Clean!$A$2:$A$150,A88,Investments_Clean!$D$2:$D$150,"Government",Investments_Clean!$F$2:$F$150,"Accepted"))&gt;0,1,0))</f>
        <v/>
      </c>
      <c r="BR88" s="4" t="str">
        <f>IF(BL88=0,"",IF((COUNTIFS(Investments_Clean!$A$2:$A$150,A88,Investments_Clean!$D$2:$D$150,"Grant/Philanthropic",Investments_Clean!$F$2:$F$150,"Accepted")+COUNTIFS(Investments_Clean!$A$2:$A$150,A88,Investments_Clean!$D$2:$D$150,"DFI/Impact",Investments_Clean!$F$2:$F$150,"Accepted"))&gt;0,1,0))</f>
        <v/>
      </c>
      <c r="BS88" s="4"/>
      <c r="BT88" s="4">
        <v>15</v>
      </c>
      <c r="BU88" s="4">
        <v>4</v>
      </c>
      <c r="BV88" s="7">
        <v>2500</v>
      </c>
      <c r="BW88" s="4">
        <v>5</v>
      </c>
      <c r="BX88" s="4">
        <v>4</v>
      </c>
      <c r="BY88" s="7"/>
      <c r="BZ88" s="4">
        <v>3.5</v>
      </c>
      <c r="CA88" s="4">
        <v>3</v>
      </c>
      <c r="CB88" s="4">
        <v>16.7</v>
      </c>
      <c r="CC88" s="4">
        <f>IF(I88="","",IFERROR(IF(INDEX(Macro_Lookup!$B$2:$B$31,MATCH(I88,Macro_Lookup!$A$2:$A$31,0))="","",INDEX(Macro_Lookup!$B$2:$B$31,MATCH(I88,Macro_Lookup!$A$2:$A$31,0))),""))</f>
        <v>6.06</v>
      </c>
      <c r="CD88" s="4">
        <f>IF(I88="","",IFERROR(IF(INDEX(Macro_Lookup!$C$2:$C$31,MATCH(I88,Macro_Lookup!$A$2:$A$31,0))="","",INDEX(Macro_Lookup!$C$2:$C$31,MATCH(I88,Macro_Lookup!$A$2:$A$31,0))),""))</f>
        <v>6.99</v>
      </c>
      <c r="CE88" s="4" t="str">
        <f>IF(BJ88="","",IFERROR(IF(INDEX(Macro_Lookup!$B$2:$B$31,MATCH(BJ88,Macro_Lookup!$A$2:$A$31,0))="","",INDEX(Macro_Lookup!$B$2:$B$31,MATCH(BJ88,Macro_Lookup!$A$2:$A$31,0))),""))</f>
        <v/>
      </c>
      <c r="CF88" s="4" t="str">
        <f>IF(BJ88="","",IFERROR(IF(INDEX(Macro_Lookup!$C$2:$C$31,MATCH(BJ88,Macro_Lookup!$A$2:$A$31,0))="","",INDEX(Macro_Lookup!$C$2:$C$31,MATCH(BJ88,Macro_Lookup!$A$2:$A$31,0))),""))</f>
        <v/>
      </c>
      <c r="CG88" s="4">
        <v>1</v>
      </c>
    </row>
    <row r="89" spans="1:85" x14ac:dyDescent="0.3">
      <c r="A89" s="4" t="s">
        <v>497</v>
      </c>
      <c r="B89" s="4" t="s">
        <v>498</v>
      </c>
      <c r="C89" s="4" t="s">
        <v>87</v>
      </c>
      <c r="D89" s="4" t="s">
        <v>88</v>
      </c>
      <c r="E89" s="4">
        <v>0</v>
      </c>
      <c r="F89" s="4" t="s">
        <v>89</v>
      </c>
      <c r="G89" s="4"/>
      <c r="H89" s="4"/>
      <c r="I89" s="5">
        <v>2014</v>
      </c>
      <c r="J89" s="4"/>
      <c r="K89" s="4" t="s">
        <v>90</v>
      </c>
      <c r="L89" s="6">
        <v>46295</v>
      </c>
      <c r="M89" s="4">
        <f t="shared" si="12"/>
        <v>152</v>
      </c>
      <c r="N89" s="4">
        <f t="shared" si="13"/>
        <v>12.67</v>
      </c>
      <c r="O89" s="4" t="s">
        <v>499</v>
      </c>
      <c r="P89" s="4" t="s">
        <v>442</v>
      </c>
      <c r="Q89" s="4" t="s">
        <v>500</v>
      </c>
      <c r="R89" s="4">
        <v>1</v>
      </c>
      <c r="S89" s="4">
        <v>1</v>
      </c>
      <c r="T89" s="4">
        <v>0</v>
      </c>
      <c r="U89" s="4">
        <v>1</v>
      </c>
      <c r="V89" s="4">
        <v>0</v>
      </c>
      <c r="W89" s="4">
        <v>0</v>
      </c>
      <c r="X89" s="4" t="s">
        <v>465</v>
      </c>
      <c r="Y89" s="4">
        <v>3</v>
      </c>
      <c r="Z89" s="4">
        <v>1</v>
      </c>
      <c r="AA89" s="4">
        <v>0</v>
      </c>
      <c r="AB89" s="4" t="s">
        <v>496</v>
      </c>
      <c r="AC89" s="4"/>
      <c r="AD89" s="7"/>
      <c r="AE89" s="4"/>
      <c r="AF89" s="4">
        <f>IF(SUMIF(Founders_Clean!$A$2:$A$159,A89,Founders_Clean!$C$2:$C$159)=0,"",SUMIF(Founders_Clean!$A$2:$A$159,A89,Founders_Clean!$C$2:$C$159))</f>
        <v>1</v>
      </c>
      <c r="AG89" s="4">
        <f>IF(AF89="","",SUMIF(Founders_Clean!$A$2:$A$159,A89,Founders_Clean!$D$2:$D$159))</f>
        <v>1</v>
      </c>
      <c r="AH89" s="4">
        <f>IF(AF89="","",SUMIF(Founders_Clean!$A$2:$A$159,A89,Founders_Clean!$E$2:$E$159))</f>
        <v>0</v>
      </c>
      <c r="AI89" s="8">
        <f t="shared" si="14"/>
        <v>0</v>
      </c>
      <c r="AJ89" s="4">
        <f t="shared" si="15"/>
        <v>0</v>
      </c>
      <c r="AK89" s="8">
        <f t="shared" si="16"/>
        <v>0</v>
      </c>
      <c r="AL89" s="4"/>
      <c r="AM89" s="4">
        <v>2</v>
      </c>
      <c r="AN89" s="4" t="s">
        <v>96</v>
      </c>
      <c r="AO89" s="4"/>
      <c r="AP89" s="8"/>
      <c r="AQ89" s="4"/>
      <c r="AR89" s="4">
        <v>12</v>
      </c>
      <c r="AS89" s="4">
        <v>12</v>
      </c>
      <c r="AT89" s="7">
        <v>125.5</v>
      </c>
      <c r="AU89" s="4" t="s">
        <v>126</v>
      </c>
      <c r="AV89" s="4" t="s">
        <v>118</v>
      </c>
      <c r="AW89" s="4"/>
      <c r="AX89" s="4" t="s">
        <v>99</v>
      </c>
      <c r="AY89" s="4" t="s">
        <v>100</v>
      </c>
      <c r="AZ89" s="4"/>
      <c r="BA89" s="4">
        <v>0</v>
      </c>
      <c r="BB89" s="4">
        <v>0</v>
      </c>
      <c r="BC89" s="4">
        <v>0</v>
      </c>
      <c r="BD89" s="5"/>
      <c r="BE89" s="4"/>
      <c r="BF89" s="4">
        <f t="shared" si="17"/>
        <v>152</v>
      </c>
      <c r="BG89" s="4">
        <v>1</v>
      </c>
      <c r="BH89" s="7"/>
      <c r="BI89" s="4" t="s">
        <v>105</v>
      </c>
      <c r="BJ89" s="5"/>
      <c r="BK89" s="4">
        <v>1</v>
      </c>
      <c r="BL89" s="4">
        <f>COUNTIFS(Investments_Clean!$A$2:$A$150,A89,Investments_Clean!$F$2:$F$150,"Accepted")</f>
        <v>0</v>
      </c>
      <c r="BM89" s="4" t="str">
        <f>IF(BL89=0,"",IF((COUNTIFS(Investments_Clean!$A$2:$A$150,A89,Investments_Clean!$D$2:$D$150,"VC/PE",Investments_Clean!$F$2:$F$150,"Accepted"))&gt;0,1,0))</f>
        <v/>
      </c>
      <c r="BN89" s="4" t="str">
        <f>IF(BL89=0,"",IF((COUNTIFS(Investments_Clean!$A$2:$A$150,A89,Investments_Clean!$D$2:$D$150,"Angel",Investments_Clean!$F$2:$F$150,"Accepted"))&gt;0,1,0))</f>
        <v/>
      </c>
      <c r="BO89" s="4" t="str">
        <f>IF(BL89=0,"",IF((COUNTIFS(Investments_Clean!$A$2:$A$150,A89,Investments_Clean!$D$2:$D$150,"Accelerator",Investments_Clean!$F$2:$F$150,"Accepted"))&gt;0,1,0))</f>
        <v/>
      </c>
      <c r="BP89" s="4" t="str">
        <f>IF(BL89=0,"",IF((COUNTIFS(Investments_Clean!$A$2:$A$150,A89,Investments_Clean!$D$2:$D$150,"Corporate",Investments_Clean!$F$2:$F$150,"Accepted"))&gt;0,1,0))</f>
        <v/>
      </c>
      <c r="BQ89" s="4" t="str">
        <f>IF(BL89=0,"",IF((COUNTIFS(Investments_Clean!$A$2:$A$150,A89,Investments_Clean!$D$2:$D$150,"Government",Investments_Clean!$F$2:$F$150,"Accepted"))&gt;0,1,0))</f>
        <v/>
      </c>
      <c r="BR89" s="4" t="str">
        <f>IF(BL89=0,"",IF((COUNTIFS(Investments_Clean!$A$2:$A$150,A89,Investments_Clean!$D$2:$D$150,"Grant/Philanthropic",Investments_Clean!$F$2:$F$150,"Accepted")+COUNTIFS(Investments_Clean!$A$2:$A$150,A89,Investments_Clean!$D$2:$D$150,"DFI/Impact",Investments_Clean!$F$2:$F$150,"Accepted"))&gt;0,1,0))</f>
        <v/>
      </c>
      <c r="BS89" s="4"/>
      <c r="BT89" s="4">
        <v>20</v>
      </c>
      <c r="BU89" s="4">
        <v>10</v>
      </c>
      <c r="BV89" s="7">
        <v>8500</v>
      </c>
      <c r="BW89" s="4">
        <v>20</v>
      </c>
      <c r="BX89" s="4">
        <v>6</v>
      </c>
      <c r="BY89" s="7"/>
      <c r="BZ89" s="4">
        <v>4</v>
      </c>
      <c r="CA89" s="4">
        <v>3</v>
      </c>
      <c r="CB89" s="4">
        <v>30.8</v>
      </c>
      <c r="CC89" s="4">
        <f>IF(I89="","",IFERROR(IF(INDEX(Macro_Lookup!$B$2:$B$31,MATCH(I89,Macro_Lookup!$A$2:$A$31,0))="","",INDEX(Macro_Lookup!$B$2:$B$31,MATCH(I89,Macro_Lookup!$A$2:$A$31,0))),""))</f>
        <v>6.06</v>
      </c>
      <c r="CD89" s="4">
        <f>IF(I89="","",IFERROR(IF(INDEX(Macro_Lookup!$C$2:$C$31,MATCH(I89,Macro_Lookup!$A$2:$A$31,0))="","",INDEX(Macro_Lookup!$C$2:$C$31,MATCH(I89,Macro_Lookup!$A$2:$A$31,0))),""))</f>
        <v>6.99</v>
      </c>
      <c r="CE89" s="4" t="str">
        <f>IF(BJ89="","",IFERROR(IF(INDEX(Macro_Lookup!$B$2:$B$31,MATCH(BJ89,Macro_Lookup!$A$2:$A$31,0))="","",INDEX(Macro_Lookup!$B$2:$B$31,MATCH(BJ89,Macro_Lookup!$A$2:$A$31,0))),""))</f>
        <v/>
      </c>
      <c r="CF89" s="4" t="str">
        <f>IF(BJ89="","",IFERROR(IF(INDEX(Macro_Lookup!$C$2:$C$31,MATCH(BJ89,Macro_Lookup!$A$2:$A$31,0))="","",INDEX(Macro_Lookup!$C$2:$C$31,MATCH(BJ89,Macro_Lookup!$A$2:$A$31,0))),""))</f>
        <v/>
      </c>
      <c r="CG89" s="4">
        <v>1</v>
      </c>
    </row>
    <row r="90" spans="1:85" x14ac:dyDescent="0.3">
      <c r="A90" s="4" t="s">
        <v>501</v>
      </c>
      <c r="B90" s="4" t="s">
        <v>502</v>
      </c>
      <c r="C90" s="4" t="s">
        <v>87</v>
      </c>
      <c r="D90" s="4" t="s">
        <v>88</v>
      </c>
      <c r="E90" s="4">
        <v>0</v>
      </c>
      <c r="F90" s="4" t="s">
        <v>89</v>
      </c>
      <c r="G90" s="4"/>
      <c r="H90" s="4"/>
      <c r="I90" s="5">
        <v>2014</v>
      </c>
      <c r="J90" s="4"/>
      <c r="K90" s="4" t="s">
        <v>90</v>
      </c>
      <c r="L90" s="6">
        <v>46295</v>
      </c>
      <c r="M90" s="4">
        <f t="shared" si="12"/>
        <v>152</v>
      </c>
      <c r="N90" s="4">
        <f t="shared" si="13"/>
        <v>12.67</v>
      </c>
      <c r="O90" s="4" t="s">
        <v>503</v>
      </c>
      <c r="P90" s="4" t="s">
        <v>206</v>
      </c>
      <c r="Q90" s="4" t="s">
        <v>464</v>
      </c>
      <c r="R90" s="4">
        <v>1</v>
      </c>
      <c r="S90" s="4">
        <v>0</v>
      </c>
      <c r="T90" s="4">
        <v>0</v>
      </c>
      <c r="U90" s="4">
        <v>1</v>
      </c>
      <c r="V90" s="4">
        <v>1</v>
      </c>
      <c r="W90" s="4">
        <v>0</v>
      </c>
      <c r="X90" s="4" t="s">
        <v>465</v>
      </c>
      <c r="Y90" s="4">
        <v>3</v>
      </c>
      <c r="Z90" s="4">
        <v>1</v>
      </c>
      <c r="AA90" s="4">
        <v>1</v>
      </c>
      <c r="AB90" s="4" t="s">
        <v>466</v>
      </c>
      <c r="AC90" s="4"/>
      <c r="AD90" s="7"/>
      <c r="AE90" s="4"/>
      <c r="AF90" s="4">
        <f>IF(SUMIF(Founders_Clean!$A$2:$A$159,A90,Founders_Clean!$C$2:$C$159)=0,"",SUMIF(Founders_Clean!$A$2:$A$159,A90,Founders_Clean!$C$2:$C$159))</f>
        <v>2</v>
      </c>
      <c r="AG90" s="4">
        <f>IF(AF90="","",SUMIF(Founders_Clean!$A$2:$A$159,A90,Founders_Clean!$D$2:$D$159))</f>
        <v>2</v>
      </c>
      <c r="AH90" s="4">
        <f>IF(AF90="","",SUMIF(Founders_Clean!$A$2:$A$159,A90,Founders_Clean!$E$2:$E$159))</f>
        <v>0</v>
      </c>
      <c r="AI90" s="8">
        <f t="shared" si="14"/>
        <v>0</v>
      </c>
      <c r="AJ90" s="4">
        <f t="shared" si="15"/>
        <v>0</v>
      </c>
      <c r="AK90" s="8">
        <f t="shared" si="16"/>
        <v>0</v>
      </c>
      <c r="AL90" s="4"/>
      <c r="AM90" s="4">
        <v>2</v>
      </c>
      <c r="AN90" s="4" t="s">
        <v>96</v>
      </c>
      <c r="AO90" s="4">
        <v>1</v>
      </c>
      <c r="AP90" s="8">
        <v>1</v>
      </c>
      <c r="AQ90" s="4"/>
      <c r="AR90" s="4">
        <v>12</v>
      </c>
      <c r="AS90" s="4">
        <v>12</v>
      </c>
      <c r="AT90" s="7">
        <v>125.5</v>
      </c>
      <c r="AU90" s="4" t="s">
        <v>126</v>
      </c>
      <c r="AV90" s="4" t="s">
        <v>118</v>
      </c>
      <c r="AW90" s="4"/>
      <c r="AX90" s="4" t="s">
        <v>99</v>
      </c>
      <c r="AY90" s="4" t="s">
        <v>100</v>
      </c>
      <c r="AZ90" s="4"/>
      <c r="BA90" s="4">
        <v>0</v>
      </c>
      <c r="BB90" s="4">
        <v>0</v>
      </c>
      <c r="BC90" s="4">
        <v>0</v>
      </c>
      <c r="BD90" s="5"/>
      <c r="BE90" s="4"/>
      <c r="BF90" s="4">
        <f t="shared" si="17"/>
        <v>152</v>
      </c>
      <c r="BG90" s="4">
        <v>1</v>
      </c>
      <c r="BH90" s="7">
        <v>1000000</v>
      </c>
      <c r="BI90" s="4" t="s">
        <v>101</v>
      </c>
      <c r="BJ90" s="5"/>
      <c r="BK90" s="4">
        <v>1</v>
      </c>
      <c r="BL90" s="4">
        <f>COUNTIFS(Investments_Clean!$A$2:$A$150,A90,Investments_Clean!$F$2:$F$150,"Accepted")</f>
        <v>0</v>
      </c>
      <c r="BM90" s="4" t="str">
        <f>IF(BL90=0,"",IF((COUNTIFS(Investments_Clean!$A$2:$A$150,A90,Investments_Clean!$D$2:$D$150,"VC/PE",Investments_Clean!$F$2:$F$150,"Accepted"))&gt;0,1,0))</f>
        <v/>
      </c>
      <c r="BN90" s="4" t="str">
        <f>IF(BL90=0,"",IF((COUNTIFS(Investments_Clean!$A$2:$A$150,A90,Investments_Clean!$D$2:$D$150,"Angel",Investments_Clean!$F$2:$F$150,"Accepted"))&gt;0,1,0))</f>
        <v/>
      </c>
      <c r="BO90" s="4" t="str">
        <f>IF(BL90=0,"",IF((COUNTIFS(Investments_Clean!$A$2:$A$150,A90,Investments_Clean!$D$2:$D$150,"Accelerator",Investments_Clean!$F$2:$F$150,"Accepted"))&gt;0,1,0))</f>
        <v/>
      </c>
      <c r="BP90" s="4" t="str">
        <f>IF(BL90=0,"",IF((COUNTIFS(Investments_Clean!$A$2:$A$150,A90,Investments_Clean!$D$2:$D$150,"Corporate",Investments_Clean!$F$2:$F$150,"Accepted"))&gt;0,1,0))</f>
        <v/>
      </c>
      <c r="BQ90" s="4" t="str">
        <f>IF(BL90=0,"",IF((COUNTIFS(Investments_Clean!$A$2:$A$150,A90,Investments_Clean!$D$2:$D$150,"Government",Investments_Clean!$F$2:$F$150,"Accepted"))&gt;0,1,0))</f>
        <v/>
      </c>
      <c r="BR90" s="4" t="str">
        <f>IF(BL90=0,"",IF((COUNTIFS(Investments_Clean!$A$2:$A$150,A90,Investments_Clean!$D$2:$D$150,"Grant/Philanthropic",Investments_Clean!$F$2:$F$150,"Accepted")+COUNTIFS(Investments_Clean!$A$2:$A$150,A90,Investments_Clean!$D$2:$D$150,"DFI/Impact",Investments_Clean!$F$2:$F$150,"Accepted"))&gt;0,1,0))</f>
        <v/>
      </c>
      <c r="BS90" s="4"/>
      <c r="BT90" s="4">
        <v>35</v>
      </c>
      <c r="BU90" s="4">
        <v>15</v>
      </c>
      <c r="BV90" s="7">
        <v>10000</v>
      </c>
      <c r="BW90" s="4">
        <v>100</v>
      </c>
      <c r="BX90" s="4">
        <v>15</v>
      </c>
      <c r="BY90" s="7"/>
      <c r="BZ90" s="4">
        <v>4.0999999999999996</v>
      </c>
      <c r="CA90" s="4">
        <v>3</v>
      </c>
      <c r="CB90" s="4">
        <v>60.8</v>
      </c>
      <c r="CC90" s="4">
        <f>IF(I90="","",IFERROR(IF(INDEX(Macro_Lookup!$B$2:$B$31,MATCH(I90,Macro_Lookup!$A$2:$A$31,0))="","",INDEX(Macro_Lookup!$B$2:$B$31,MATCH(I90,Macro_Lookup!$A$2:$A$31,0))),""))</f>
        <v>6.06</v>
      </c>
      <c r="CD90" s="4">
        <f>IF(I90="","",IFERROR(IF(INDEX(Macro_Lookup!$C$2:$C$31,MATCH(I90,Macro_Lookup!$A$2:$A$31,0))="","",INDEX(Macro_Lookup!$C$2:$C$31,MATCH(I90,Macro_Lookup!$A$2:$A$31,0))),""))</f>
        <v>6.99</v>
      </c>
      <c r="CE90" s="4" t="str">
        <f>IF(BJ90="","",IFERROR(IF(INDEX(Macro_Lookup!$B$2:$B$31,MATCH(BJ90,Macro_Lookup!$A$2:$A$31,0))="","",INDEX(Macro_Lookup!$B$2:$B$31,MATCH(BJ90,Macro_Lookup!$A$2:$A$31,0))),""))</f>
        <v/>
      </c>
      <c r="CF90" s="4" t="str">
        <f>IF(BJ90="","",IFERROR(IF(INDEX(Macro_Lookup!$C$2:$C$31,MATCH(BJ90,Macro_Lookup!$A$2:$A$31,0))="","",INDEX(Macro_Lookup!$C$2:$C$31,MATCH(BJ90,Macro_Lookup!$A$2:$A$31,0))),""))</f>
        <v/>
      </c>
      <c r="CG90" s="4">
        <v>1</v>
      </c>
    </row>
    <row r="91" spans="1:85" x14ac:dyDescent="0.3">
      <c r="A91" s="4" t="s">
        <v>504</v>
      </c>
      <c r="B91" s="4" t="s">
        <v>505</v>
      </c>
      <c r="C91" s="4" t="s">
        <v>87</v>
      </c>
      <c r="D91" s="4" t="s">
        <v>88</v>
      </c>
      <c r="E91" s="4">
        <v>0</v>
      </c>
      <c r="F91" s="4" t="s">
        <v>89</v>
      </c>
      <c r="G91" s="4"/>
      <c r="H91" s="4"/>
      <c r="I91" s="5">
        <v>2014</v>
      </c>
      <c r="J91" s="4"/>
      <c r="K91" s="4" t="s">
        <v>90</v>
      </c>
      <c r="L91" s="6">
        <v>46295</v>
      </c>
      <c r="M91" s="4">
        <f t="shared" si="12"/>
        <v>152</v>
      </c>
      <c r="N91" s="4">
        <f t="shared" si="13"/>
        <v>12.67</v>
      </c>
      <c r="O91" s="4" t="s">
        <v>506</v>
      </c>
      <c r="P91" s="4" t="s">
        <v>206</v>
      </c>
      <c r="Q91" s="4" t="s">
        <v>507</v>
      </c>
      <c r="R91" s="4">
        <v>1</v>
      </c>
      <c r="S91" s="4">
        <v>1</v>
      </c>
      <c r="T91" s="4">
        <v>0</v>
      </c>
      <c r="U91" s="4">
        <v>0</v>
      </c>
      <c r="V91" s="4">
        <v>0</v>
      </c>
      <c r="W91" s="4">
        <v>0</v>
      </c>
      <c r="X91" s="4" t="s">
        <v>465</v>
      </c>
      <c r="Y91" s="4">
        <v>3</v>
      </c>
      <c r="Z91" s="4">
        <v>1</v>
      </c>
      <c r="AA91" s="4">
        <v>1</v>
      </c>
      <c r="AB91" s="4" t="s">
        <v>508</v>
      </c>
      <c r="AC91" s="4">
        <v>1</v>
      </c>
      <c r="AD91" s="7">
        <v>1120000</v>
      </c>
      <c r="AE91" s="4" t="s">
        <v>95</v>
      </c>
      <c r="AF91" s="4">
        <f>IF(SUMIF(Founders_Clean!$A$2:$A$159,A91,Founders_Clean!$C$2:$C$159)=0,"",SUMIF(Founders_Clean!$A$2:$A$159,A91,Founders_Clean!$C$2:$C$159))</f>
        <v>3</v>
      </c>
      <c r="AG91" s="4">
        <f>IF(AF91="","",SUMIF(Founders_Clean!$A$2:$A$159,A91,Founders_Clean!$D$2:$D$159))</f>
        <v>3</v>
      </c>
      <c r="AH91" s="4">
        <f>IF(AF91="","",SUMIF(Founders_Clean!$A$2:$A$159,A91,Founders_Clean!$E$2:$E$159))</f>
        <v>0</v>
      </c>
      <c r="AI91" s="8">
        <f t="shared" si="14"/>
        <v>0</v>
      </c>
      <c r="AJ91" s="4">
        <f t="shared" si="15"/>
        <v>0</v>
      </c>
      <c r="AK91" s="8">
        <f t="shared" si="16"/>
        <v>0</v>
      </c>
      <c r="AL91" s="4"/>
      <c r="AM91" s="4">
        <v>3</v>
      </c>
      <c r="AN91" s="4" t="s">
        <v>116</v>
      </c>
      <c r="AO91" s="4"/>
      <c r="AP91" s="8"/>
      <c r="AQ91" s="4"/>
      <c r="AR91" s="4">
        <v>15</v>
      </c>
      <c r="AS91" s="4">
        <v>15</v>
      </c>
      <c r="AT91" s="7">
        <v>54</v>
      </c>
      <c r="AU91" s="4" t="s">
        <v>126</v>
      </c>
      <c r="AV91" s="4" t="s">
        <v>118</v>
      </c>
      <c r="AW91" s="4"/>
      <c r="AX91" s="4" t="s">
        <v>99</v>
      </c>
      <c r="AY91" s="4" t="s">
        <v>100</v>
      </c>
      <c r="AZ91" s="4"/>
      <c r="BA91" s="4">
        <v>0</v>
      </c>
      <c r="BB91" s="4">
        <v>0</v>
      </c>
      <c r="BC91" s="4">
        <v>0</v>
      </c>
      <c r="BD91" s="5"/>
      <c r="BE91" s="4"/>
      <c r="BF91" s="4">
        <f t="shared" si="17"/>
        <v>152</v>
      </c>
      <c r="BG91" s="4">
        <v>1</v>
      </c>
      <c r="BH91" s="7">
        <v>2200000</v>
      </c>
      <c r="BI91" s="4" t="s">
        <v>101</v>
      </c>
      <c r="BJ91" s="5"/>
      <c r="BK91" s="4">
        <v>1</v>
      </c>
      <c r="BL91" s="4">
        <f>COUNTIFS(Investments_Clean!$A$2:$A$150,A91,Investments_Clean!$F$2:$F$150,"Accepted")</f>
        <v>1</v>
      </c>
      <c r="BM91" s="4">
        <f>IF(BL91=0,"",IF((COUNTIFS(Investments_Clean!$A$2:$A$150,A91,Investments_Clean!$D$2:$D$150,"VC/PE",Investments_Clean!$F$2:$F$150,"Accepted"))&gt;0,1,0))</f>
        <v>0</v>
      </c>
      <c r="BN91" s="4">
        <f>IF(BL91=0,"",IF((COUNTIFS(Investments_Clean!$A$2:$A$150,A91,Investments_Clean!$D$2:$D$150,"Angel",Investments_Clean!$F$2:$F$150,"Accepted"))&gt;0,1,0))</f>
        <v>0</v>
      </c>
      <c r="BO91" s="4">
        <f>IF(BL91=0,"",IF((COUNTIFS(Investments_Clean!$A$2:$A$150,A91,Investments_Clean!$D$2:$D$150,"Accelerator",Investments_Clean!$F$2:$F$150,"Accepted"))&gt;0,1,0))</f>
        <v>0</v>
      </c>
      <c r="BP91" s="4">
        <f>IF(BL91=0,"",IF((COUNTIFS(Investments_Clean!$A$2:$A$150,A91,Investments_Clean!$D$2:$D$150,"Corporate",Investments_Clean!$F$2:$F$150,"Accepted"))&gt;0,1,0))</f>
        <v>0</v>
      </c>
      <c r="BQ91" s="4">
        <f>IF(BL91=0,"",IF((COUNTIFS(Investments_Clean!$A$2:$A$150,A91,Investments_Clean!$D$2:$D$150,"Government",Investments_Clean!$F$2:$F$150,"Accepted"))&gt;0,1,0))</f>
        <v>1</v>
      </c>
      <c r="BR91" s="4">
        <f>IF(BL91=0,"",IF((COUNTIFS(Investments_Clean!$A$2:$A$150,A91,Investments_Clean!$D$2:$D$150,"Grant/Philanthropic",Investments_Clean!$F$2:$F$150,"Accepted")+COUNTIFS(Investments_Clean!$A$2:$A$150,A91,Investments_Clean!$D$2:$D$150,"DFI/Impact",Investments_Clean!$F$2:$F$150,"Accepted"))&gt;0,1,0))</f>
        <v>0</v>
      </c>
      <c r="BS91" s="4">
        <v>4</v>
      </c>
      <c r="BT91" s="4">
        <v>30</v>
      </c>
      <c r="BU91" s="4">
        <v>4</v>
      </c>
      <c r="BV91" s="7">
        <v>14000</v>
      </c>
      <c r="BW91" s="4">
        <v>175</v>
      </c>
      <c r="BX91" s="4">
        <v>10</v>
      </c>
      <c r="BY91" s="7"/>
      <c r="BZ91" s="4"/>
      <c r="CA91" s="4">
        <v>3</v>
      </c>
      <c r="CB91" s="4">
        <v>61.7</v>
      </c>
      <c r="CC91" s="4">
        <f>IF(I91="","",IFERROR(IF(INDEX(Macro_Lookup!$B$2:$B$31,MATCH(I91,Macro_Lookup!$A$2:$A$31,0))="","",INDEX(Macro_Lookup!$B$2:$B$31,MATCH(I91,Macro_Lookup!$A$2:$A$31,0))),""))</f>
        <v>6.06</v>
      </c>
      <c r="CD91" s="4">
        <f>IF(I91="","",IFERROR(IF(INDEX(Macro_Lookup!$C$2:$C$31,MATCH(I91,Macro_Lookup!$A$2:$A$31,0))="","",INDEX(Macro_Lookup!$C$2:$C$31,MATCH(I91,Macro_Lookup!$A$2:$A$31,0))),""))</f>
        <v>6.99</v>
      </c>
      <c r="CE91" s="4" t="str">
        <f>IF(BJ91="","",IFERROR(IF(INDEX(Macro_Lookup!$B$2:$B$31,MATCH(BJ91,Macro_Lookup!$A$2:$A$31,0))="","",INDEX(Macro_Lookup!$B$2:$B$31,MATCH(BJ91,Macro_Lookup!$A$2:$A$31,0))),""))</f>
        <v/>
      </c>
      <c r="CF91" s="4" t="str">
        <f>IF(BJ91="","",IFERROR(IF(INDEX(Macro_Lookup!$C$2:$C$31,MATCH(BJ91,Macro_Lookup!$A$2:$A$31,0))="","",INDEX(Macro_Lookup!$C$2:$C$31,MATCH(BJ91,Macro_Lookup!$A$2:$A$31,0))),""))</f>
        <v/>
      </c>
      <c r="CG91" s="4">
        <v>0</v>
      </c>
    </row>
    <row r="92" spans="1:85" x14ac:dyDescent="0.3">
      <c r="A92" s="4" t="s">
        <v>509</v>
      </c>
      <c r="B92" s="4" t="s">
        <v>510</v>
      </c>
      <c r="C92" s="4" t="s">
        <v>87</v>
      </c>
      <c r="D92" s="4" t="s">
        <v>88</v>
      </c>
      <c r="E92" s="4">
        <v>0</v>
      </c>
      <c r="F92" s="4" t="s">
        <v>89</v>
      </c>
      <c r="G92" s="4"/>
      <c r="H92" s="4"/>
      <c r="I92" s="5">
        <v>2013</v>
      </c>
      <c r="J92" s="4"/>
      <c r="K92" s="4" t="s">
        <v>90</v>
      </c>
      <c r="L92" s="6">
        <v>46295</v>
      </c>
      <c r="M92" s="4">
        <f t="shared" si="12"/>
        <v>164</v>
      </c>
      <c r="N92" s="4">
        <f t="shared" si="13"/>
        <v>13.67</v>
      </c>
      <c r="O92" s="4" t="s">
        <v>511</v>
      </c>
      <c r="P92" s="4" t="s">
        <v>512</v>
      </c>
      <c r="Q92" s="4" t="s">
        <v>513</v>
      </c>
      <c r="R92" s="4">
        <v>0</v>
      </c>
      <c r="S92" s="4">
        <v>0</v>
      </c>
      <c r="T92" s="4">
        <v>0</v>
      </c>
      <c r="U92" s="4">
        <v>1</v>
      </c>
      <c r="V92" s="4">
        <v>0</v>
      </c>
      <c r="W92" s="4">
        <v>0</v>
      </c>
      <c r="X92" s="4" t="s">
        <v>465</v>
      </c>
      <c r="Y92" s="4">
        <v>3</v>
      </c>
      <c r="Z92" s="4">
        <v>1</v>
      </c>
      <c r="AA92" s="4">
        <v>0</v>
      </c>
      <c r="AB92" s="4" t="s">
        <v>514</v>
      </c>
      <c r="AC92" s="4"/>
      <c r="AD92" s="7"/>
      <c r="AE92" s="4"/>
      <c r="AF92" s="4">
        <f>IF(SUMIF(Founders_Clean!$A$2:$A$159,A92,Founders_Clean!$C$2:$C$159)=0,"",SUMIF(Founders_Clean!$A$2:$A$159,A92,Founders_Clean!$C$2:$C$159))</f>
        <v>2</v>
      </c>
      <c r="AG92" s="4">
        <f>IF(AF92="","",SUMIF(Founders_Clean!$A$2:$A$159,A92,Founders_Clean!$D$2:$D$159))</f>
        <v>2</v>
      </c>
      <c r="AH92" s="4">
        <f>IF(AF92="","",SUMIF(Founders_Clean!$A$2:$A$159,A92,Founders_Clean!$E$2:$E$159))</f>
        <v>0</v>
      </c>
      <c r="AI92" s="8">
        <f t="shared" si="14"/>
        <v>0</v>
      </c>
      <c r="AJ92" s="4">
        <f t="shared" si="15"/>
        <v>0</v>
      </c>
      <c r="AK92" s="8">
        <f t="shared" si="16"/>
        <v>0</v>
      </c>
      <c r="AL92" s="4"/>
      <c r="AM92" s="4">
        <v>1</v>
      </c>
      <c r="AN92" s="4" t="s">
        <v>143</v>
      </c>
      <c r="AO92" s="4"/>
      <c r="AP92" s="8"/>
      <c r="AQ92" s="4"/>
      <c r="AR92" s="4">
        <v>18</v>
      </c>
      <c r="AS92" s="4">
        <v>18</v>
      </c>
      <c r="AT92" s="7">
        <v>350.5</v>
      </c>
      <c r="AU92" s="4" t="s">
        <v>117</v>
      </c>
      <c r="AV92" s="4" t="s">
        <v>118</v>
      </c>
      <c r="AW92" s="4"/>
      <c r="AX92" s="4" t="s">
        <v>99</v>
      </c>
      <c r="AY92" s="4" t="s">
        <v>100</v>
      </c>
      <c r="AZ92" s="4"/>
      <c r="BA92" s="4">
        <v>0</v>
      </c>
      <c r="BB92" s="4">
        <v>0</v>
      </c>
      <c r="BC92" s="4">
        <v>0</v>
      </c>
      <c r="BD92" s="5"/>
      <c r="BE92" s="4"/>
      <c r="BF92" s="4">
        <f t="shared" si="17"/>
        <v>164</v>
      </c>
      <c r="BG92" s="4">
        <v>1</v>
      </c>
      <c r="BH92" s="7"/>
      <c r="BI92" s="4" t="s">
        <v>105</v>
      </c>
      <c r="BJ92" s="5"/>
      <c r="BK92" s="4">
        <v>1</v>
      </c>
      <c r="BL92" s="4">
        <f>COUNTIFS(Investments_Clean!$A$2:$A$150,A92,Investments_Clean!$F$2:$F$150,"Accepted")</f>
        <v>1</v>
      </c>
      <c r="BM92" s="4">
        <f>IF(BL92=0,"",IF((COUNTIFS(Investments_Clean!$A$2:$A$150,A92,Investments_Clean!$D$2:$D$150,"VC/PE",Investments_Clean!$F$2:$F$150,"Accepted"))&gt;0,1,0))</f>
        <v>0</v>
      </c>
      <c r="BN92" s="4">
        <f>IF(BL92=0,"",IF((COUNTIFS(Investments_Clean!$A$2:$A$150,A92,Investments_Clean!$D$2:$D$150,"Angel",Investments_Clean!$F$2:$F$150,"Accepted"))&gt;0,1,0))</f>
        <v>0</v>
      </c>
      <c r="BO92" s="4">
        <f>IF(BL92=0,"",IF((COUNTIFS(Investments_Clean!$A$2:$A$150,A92,Investments_Clean!$D$2:$D$150,"Accelerator",Investments_Clean!$F$2:$F$150,"Accepted"))&gt;0,1,0))</f>
        <v>0</v>
      </c>
      <c r="BP92" s="4">
        <f>IF(BL92=0,"",IF((COUNTIFS(Investments_Clean!$A$2:$A$150,A92,Investments_Clean!$D$2:$D$150,"Corporate",Investments_Clean!$F$2:$F$150,"Accepted"))&gt;0,1,0))</f>
        <v>1</v>
      </c>
      <c r="BQ92" s="4">
        <f>IF(BL92=0,"",IF((COUNTIFS(Investments_Clean!$A$2:$A$150,A92,Investments_Clean!$D$2:$D$150,"Government",Investments_Clean!$F$2:$F$150,"Accepted"))&gt;0,1,0))</f>
        <v>0</v>
      </c>
      <c r="BR92" s="4">
        <f>IF(BL92=0,"",IF((COUNTIFS(Investments_Clean!$A$2:$A$150,A92,Investments_Clean!$D$2:$D$150,"Grant/Philanthropic",Investments_Clean!$F$2:$F$150,"Accepted")+COUNTIFS(Investments_Clean!$A$2:$A$150,A92,Investments_Clean!$D$2:$D$150,"DFI/Impact",Investments_Clean!$F$2:$F$150,"Accepted"))&gt;0,1,0))</f>
        <v>0</v>
      </c>
      <c r="BS92" s="4"/>
      <c r="BT92" s="4">
        <v>25</v>
      </c>
      <c r="BU92" s="4">
        <v>10</v>
      </c>
      <c r="BV92" s="7">
        <v>1025000</v>
      </c>
      <c r="BW92" s="4">
        <v>125</v>
      </c>
      <c r="BX92" s="4">
        <v>20</v>
      </c>
      <c r="BY92" s="7"/>
      <c r="BZ92" s="4">
        <v>4.3</v>
      </c>
      <c r="CA92" s="4">
        <v>3</v>
      </c>
      <c r="CB92" s="4">
        <v>79.599999999999994</v>
      </c>
      <c r="CC92" s="4">
        <f>IF(I92="","",IFERROR(IF(INDEX(Macro_Lookup!$B$2:$B$31,MATCH(I92,Macro_Lookup!$A$2:$A$31,0))="","",INDEX(Macro_Lookup!$B$2:$B$31,MATCH(I92,Macro_Lookup!$A$2:$A$31,0))),""))</f>
        <v>6.01</v>
      </c>
      <c r="CD92" s="4">
        <f>IF(I92="","",IFERROR(IF(INDEX(Macro_Lookup!$C$2:$C$31,MATCH(I92,Macro_Lookup!$A$2:$A$31,0))="","",INDEX(Macro_Lookup!$C$2:$C$31,MATCH(I92,Macro_Lookup!$A$2:$A$31,0))),""))</f>
        <v>7.53</v>
      </c>
      <c r="CE92" s="4" t="str">
        <f>IF(BJ92="","",IFERROR(IF(INDEX(Macro_Lookup!$B$2:$B$31,MATCH(BJ92,Macro_Lookup!$A$2:$A$31,0))="","",INDEX(Macro_Lookup!$B$2:$B$31,MATCH(BJ92,Macro_Lookup!$A$2:$A$31,0))),""))</f>
        <v/>
      </c>
      <c r="CF92" s="4" t="str">
        <f>IF(BJ92="","",IFERROR(IF(INDEX(Macro_Lookup!$C$2:$C$31,MATCH(BJ92,Macro_Lookup!$A$2:$A$31,0))="","",INDEX(Macro_Lookup!$C$2:$C$31,MATCH(BJ92,Macro_Lookup!$A$2:$A$31,0))),""))</f>
        <v/>
      </c>
      <c r="CG92" s="4">
        <v>1</v>
      </c>
    </row>
    <row r="93" spans="1:85" x14ac:dyDescent="0.3">
      <c r="A93" s="4" t="s">
        <v>515</v>
      </c>
      <c r="B93" s="4" t="s">
        <v>516</v>
      </c>
      <c r="C93" s="4" t="s">
        <v>87</v>
      </c>
      <c r="D93" s="4" t="s">
        <v>88</v>
      </c>
      <c r="E93" s="4">
        <v>0</v>
      </c>
      <c r="F93" s="4" t="s">
        <v>108</v>
      </c>
      <c r="G93" s="4"/>
      <c r="H93" s="4"/>
      <c r="I93" s="5">
        <v>2021</v>
      </c>
      <c r="J93" s="4"/>
      <c r="K93" s="4" t="s">
        <v>90</v>
      </c>
      <c r="L93" s="6">
        <v>46295</v>
      </c>
      <c r="M93" s="4">
        <f t="shared" si="12"/>
        <v>68</v>
      </c>
      <c r="N93" s="4">
        <f t="shared" si="13"/>
        <v>5.67</v>
      </c>
      <c r="O93" s="4" t="s">
        <v>517</v>
      </c>
      <c r="P93" s="4" t="s">
        <v>512</v>
      </c>
      <c r="Q93" s="4" t="s">
        <v>518</v>
      </c>
      <c r="R93" s="4">
        <v>0</v>
      </c>
      <c r="S93" s="4">
        <v>0</v>
      </c>
      <c r="T93" s="4">
        <v>0</v>
      </c>
      <c r="U93" s="4">
        <v>1</v>
      </c>
      <c r="V93" s="4">
        <v>0</v>
      </c>
      <c r="W93" s="4">
        <v>0</v>
      </c>
      <c r="X93" s="4" t="s">
        <v>465</v>
      </c>
      <c r="Y93" s="4">
        <v>3</v>
      </c>
      <c r="Z93" s="4">
        <v>1</v>
      </c>
      <c r="AA93" s="4">
        <v>0</v>
      </c>
      <c r="AB93" s="4" t="s">
        <v>519</v>
      </c>
      <c r="AC93" s="4"/>
      <c r="AD93" s="7"/>
      <c r="AE93" s="4"/>
      <c r="AF93" s="4">
        <f>IF(SUMIF(Founders_Clean!$A$2:$A$159,A93,Founders_Clean!$C$2:$C$159)=0,"",SUMIF(Founders_Clean!$A$2:$A$159,A93,Founders_Clean!$C$2:$C$159))</f>
        <v>1</v>
      </c>
      <c r="AG93" s="4">
        <f>IF(AF93="","",SUMIF(Founders_Clean!$A$2:$A$159,A93,Founders_Clean!$D$2:$D$159))</f>
        <v>1</v>
      </c>
      <c r="AH93" s="4">
        <f>IF(AF93="","",SUMIF(Founders_Clean!$A$2:$A$159,A93,Founders_Clean!$E$2:$E$159))</f>
        <v>0</v>
      </c>
      <c r="AI93" s="8">
        <f t="shared" si="14"/>
        <v>0</v>
      </c>
      <c r="AJ93" s="4">
        <f t="shared" si="15"/>
        <v>0</v>
      </c>
      <c r="AK93" s="8">
        <f t="shared" si="16"/>
        <v>0</v>
      </c>
      <c r="AL93" s="4"/>
      <c r="AM93" s="4">
        <v>1</v>
      </c>
      <c r="AN93" s="4" t="s">
        <v>143</v>
      </c>
      <c r="AO93" s="4"/>
      <c r="AP93" s="8"/>
      <c r="AQ93" s="4"/>
      <c r="AR93" s="4">
        <v>19</v>
      </c>
      <c r="AS93" s="4">
        <v>19</v>
      </c>
      <c r="AT93" s="7">
        <v>125.5</v>
      </c>
      <c r="AU93" s="4" t="s">
        <v>126</v>
      </c>
      <c r="AV93" s="4" t="s">
        <v>118</v>
      </c>
      <c r="AW93" s="4"/>
      <c r="AX93" s="4" t="s">
        <v>99</v>
      </c>
      <c r="AY93" s="4" t="s">
        <v>100</v>
      </c>
      <c r="AZ93" s="4"/>
      <c r="BA93" s="4">
        <v>0</v>
      </c>
      <c r="BB93" s="4">
        <v>0</v>
      </c>
      <c r="BC93" s="4">
        <v>0</v>
      </c>
      <c r="BD93" s="5"/>
      <c r="BE93" s="4"/>
      <c r="BF93" s="4">
        <f t="shared" si="17"/>
        <v>68</v>
      </c>
      <c r="BG93" s="4">
        <v>1</v>
      </c>
      <c r="BH93" s="7"/>
      <c r="BI93" s="4" t="s">
        <v>105</v>
      </c>
      <c r="BJ93" s="5"/>
      <c r="BK93" s="4">
        <v>0</v>
      </c>
      <c r="BL93" s="4">
        <f>COUNTIFS(Investments_Clean!$A$2:$A$150,A93,Investments_Clean!$F$2:$F$150,"Accepted")</f>
        <v>1</v>
      </c>
      <c r="BM93" s="4">
        <f>IF(BL93=0,"",IF((COUNTIFS(Investments_Clean!$A$2:$A$150,A93,Investments_Clean!$D$2:$D$150,"VC/PE",Investments_Clean!$F$2:$F$150,"Accepted"))&gt;0,1,0))</f>
        <v>0</v>
      </c>
      <c r="BN93" s="4">
        <f>IF(BL93=0,"",IF((COUNTIFS(Investments_Clean!$A$2:$A$150,A93,Investments_Clean!$D$2:$D$150,"Angel",Investments_Clean!$F$2:$F$150,"Accepted"))&gt;0,1,0))</f>
        <v>0</v>
      </c>
      <c r="BO93" s="4">
        <f>IF(BL93=0,"",IF((COUNTIFS(Investments_Clean!$A$2:$A$150,A93,Investments_Clean!$D$2:$D$150,"Accelerator",Investments_Clean!$F$2:$F$150,"Accepted"))&gt;0,1,0))</f>
        <v>0</v>
      </c>
      <c r="BP93" s="4">
        <f>IF(BL93=0,"",IF((COUNTIFS(Investments_Clean!$A$2:$A$150,A93,Investments_Clean!$D$2:$D$150,"Corporate",Investments_Clean!$F$2:$F$150,"Accepted"))&gt;0,1,0))</f>
        <v>0</v>
      </c>
      <c r="BQ93" s="4">
        <f>IF(BL93=0,"",IF((COUNTIFS(Investments_Clean!$A$2:$A$150,A93,Investments_Clean!$D$2:$D$150,"Government",Investments_Clean!$F$2:$F$150,"Accepted"))&gt;0,1,0))</f>
        <v>0</v>
      </c>
      <c r="BR93" s="4">
        <f>IF(BL93=0,"",IF((COUNTIFS(Investments_Clean!$A$2:$A$150,A93,Investments_Clean!$D$2:$D$150,"Grant/Philanthropic",Investments_Clean!$F$2:$F$150,"Accepted")+COUNTIFS(Investments_Clean!$A$2:$A$150,A93,Investments_Clean!$D$2:$D$150,"DFI/Impact",Investments_Clean!$F$2:$F$150,"Accepted"))&gt;0,1,0))</f>
        <v>0</v>
      </c>
      <c r="BS93" s="4"/>
      <c r="BT93" s="4">
        <v>45</v>
      </c>
      <c r="BU93" s="4">
        <v>20</v>
      </c>
      <c r="BV93" s="7">
        <v>1300000</v>
      </c>
      <c r="BW93" s="4">
        <v>150</v>
      </c>
      <c r="BX93" s="4">
        <v>35</v>
      </c>
      <c r="BY93" s="7"/>
      <c r="BZ93" s="4">
        <v>3.5</v>
      </c>
      <c r="CA93" s="4">
        <v>3</v>
      </c>
      <c r="CB93" s="4">
        <v>90.8</v>
      </c>
      <c r="CC93" s="4">
        <f>IF(I93="","",IFERROR(IF(INDEX(Macro_Lookup!$B$2:$B$31,MATCH(I93,Macro_Lookup!$A$2:$A$31,0))="","",INDEX(Macro_Lookup!$B$2:$B$31,MATCH(I93,Macro_Lookup!$A$2:$A$31,0))),""))</f>
        <v>6.94</v>
      </c>
      <c r="CD93" s="4">
        <f>IF(I93="","",IFERROR(IF(INDEX(Macro_Lookup!$C$2:$C$31,MATCH(I93,Macro_Lookup!$A$2:$A$31,0))="","",INDEX(Macro_Lookup!$C$2:$C$31,MATCH(I93,Macro_Lookup!$A$2:$A$31,0))),""))</f>
        <v>5.55</v>
      </c>
      <c r="CE93" s="4" t="str">
        <f>IF(BJ93="","",IFERROR(IF(INDEX(Macro_Lookup!$B$2:$B$31,MATCH(BJ93,Macro_Lookup!$A$2:$A$31,0))="","",INDEX(Macro_Lookup!$B$2:$B$31,MATCH(BJ93,Macro_Lookup!$A$2:$A$31,0))),""))</f>
        <v/>
      </c>
      <c r="CF93" s="4" t="str">
        <f>IF(BJ93="","",IFERROR(IF(INDEX(Macro_Lookup!$C$2:$C$31,MATCH(BJ93,Macro_Lookup!$A$2:$A$31,0))="","",INDEX(Macro_Lookup!$C$2:$C$31,MATCH(BJ93,Macro_Lookup!$A$2:$A$31,0))),""))</f>
        <v/>
      </c>
      <c r="CG93" s="4">
        <v>1</v>
      </c>
    </row>
    <row r="94" spans="1:85" x14ac:dyDescent="0.3">
      <c r="A94" s="4" t="s">
        <v>520</v>
      </c>
      <c r="B94" s="4" t="s">
        <v>521</v>
      </c>
      <c r="C94" s="4" t="s">
        <v>87</v>
      </c>
      <c r="D94" s="4" t="s">
        <v>88</v>
      </c>
      <c r="E94" s="4">
        <v>0</v>
      </c>
      <c r="F94" s="4" t="s">
        <v>522</v>
      </c>
      <c r="G94" s="4"/>
      <c r="H94" s="4"/>
      <c r="I94" s="5">
        <v>2000</v>
      </c>
      <c r="J94" s="4"/>
      <c r="K94" s="4" t="s">
        <v>90</v>
      </c>
      <c r="L94" s="6">
        <v>46295</v>
      </c>
      <c r="M94" s="4">
        <f t="shared" si="12"/>
        <v>320</v>
      </c>
      <c r="N94" s="4">
        <f t="shared" si="13"/>
        <v>26.67</v>
      </c>
      <c r="O94" s="4" t="s">
        <v>523</v>
      </c>
      <c r="P94" s="4" t="s">
        <v>255</v>
      </c>
      <c r="Q94" s="4" t="s">
        <v>524</v>
      </c>
      <c r="R94" s="4">
        <v>1</v>
      </c>
      <c r="S94" s="4">
        <v>1</v>
      </c>
      <c r="T94" s="4">
        <v>0</v>
      </c>
      <c r="U94" s="4">
        <v>0</v>
      </c>
      <c r="V94" s="4">
        <v>0</v>
      </c>
      <c r="W94" s="4">
        <v>1</v>
      </c>
      <c r="X94" s="4" t="s">
        <v>465</v>
      </c>
      <c r="Y94" s="4">
        <v>3</v>
      </c>
      <c r="Z94" s="4">
        <v>1</v>
      </c>
      <c r="AA94" s="4">
        <v>0</v>
      </c>
      <c r="AB94" s="4" t="s">
        <v>525</v>
      </c>
      <c r="AC94" s="4"/>
      <c r="AD94" s="7"/>
      <c r="AE94" s="4"/>
      <c r="AF94" s="4">
        <f>IF(SUMIF(Founders_Clean!$A$2:$A$159,A94,Founders_Clean!$C$2:$C$159)=0,"",SUMIF(Founders_Clean!$A$2:$A$159,A94,Founders_Clean!$C$2:$C$159))</f>
        <v>1</v>
      </c>
      <c r="AG94" s="4">
        <f>IF(AF94="","",SUMIF(Founders_Clean!$A$2:$A$159,A94,Founders_Clean!$D$2:$D$159))</f>
        <v>1</v>
      </c>
      <c r="AH94" s="4">
        <f>IF(AF94="","",SUMIF(Founders_Clean!$A$2:$A$159,A94,Founders_Clean!$E$2:$E$159))</f>
        <v>0</v>
      </c>
      <c r="AI94" s="8">
        <f t="shared" si="14"/>
        <v>0</v>
      </c>
      <c r="AJ94" s="4">
        <f t="shared" si="15"/>
        <v>0</v>
      </c>
      <c r="AK94" s="8">
        <f t="shared" si="16"/>
        <v>0</v>
      </c>
      <c r="AL94" s="4"/>
      <c r="AM94" s="4">
        <v>2</v>
      </c>
      <c r="AN94" s="4" t="s">
        <v>96</v>
      </c>
      <c r="AO94" s="4"/>
      <c r="AP94" s="8"/>
      <c r="AQ94" s="4"/>
      <c r="AR94" s="4">
        <v>26</v>
      </c>
      <c r="AS94" s="4">
        <v>26</v>
      </c>
      <c r="AT94" s="7">
        <v>350.5</v>
      </c>
      <c r="AU94" s="4" t="s">
        <v>117</v>
      </c>
      <c r="AV94" s="4" t="s">
        <v>118</v>
      </c>
      <c r="AW94" s="4"/>
      <c r="AX94" s="4" t="s">
        <v>134</v>
      </c>
      <c r="AY94" s="4" t="s">
        <v>100</v>
      </c>
      <c r="AZ94" s="4"/>
      <c r="BA94" s="4">
        <v>1</v>
      </c>
      <c r="BB94" s="4">
        <v>0</v>
      </c>
      <c r="BC94" s="4">
        <v>0</v>
      </c>
      <c r="BD94" s="5"/>
      <c r="BE94" s="4"/>
      <c r="BF94" s="4">
        <f t="shared" si="17"/>
        <v>320</v>
      </c>
      <c r="BG94" s="4">
        <v>1</v>
      </c>
      <c r="BH94" s="7">
        <v>4300000</v>
      </c>
      <c r="BI94" s="4" t="s">
        <v>101</v>
      </c>
      <c r="BJ94" s="5"/>
      <c r="BK94" s="4">
        <v>1</v>
      </c>
      <c r="BL94" s="4">
        <f>COUNTIFS(Investments_Clean!$A$2:$A$150,A94,Investments_Clean!$F$2:$F$150,"Accepted")</f>
        <v>1</v>
      </c>
      <c r="BM94" s="4">
        <f>IF(BL94=0,"",IF((COUNTIFS(Investments_Clean!$A$2:$A$150,A94,Investments_Clean!$D$2:$D$150,"VC/PE",Investments_Clean!$F$2:$F$150,"Accepted"))&gt;0,1,0))</f>
        <v>0</v>
      </c>
      <c r="BN94" s="4">
        <f>IF(BL94=0,"",IF((COUNTIFS(Investments_Clean!$A$2:$A$150,A94,Investments_Clean!$D$2:$D$150,"Angel",Investments_Clean!$F$2:$F$150,"Accepted"))&gt;0,1,0))</f>
        <v>0</v>
      </c>
      <c r="BO94" s="4">
        <f>IF(BL94=0,"",IF((COUNTIFS(Investments_Clean!$A$2:$A$150,A94,Investments_Clean!$D$2:$D$150,"Accelerator",Investments_Clean!$F$2:$F$150,"Accepted"))&gt;0,1,0))</f>
        <v>0</v>
      </c>
      <c r="BP94" s="4">
        <f>IF(BL94=0,"",IF((COUNTIFS(Investments_Clean!$A$2:$A$150,A94,Investments_Clean!$D$2:$D$150,"Corporate",Investments_Clean!$F$2:$F$150,"Accepted"))&gt;0,1,0))</f>
        <v>1</v>
      </c>
      <c r="BQ94" s="4">
        <f>IF(BL94=0,"",IF((COUNTIFS(Investments_Clean!$A$2:$A$150,A94,Investments_Clean!$D$2:$D$150,"Government",Investments_Clean!$F$2:$F$150,"Accepted"))&gt;0,1,0))</f>
        <v>0</v>
      </c>
      <c r="BR94" s="4">
        <f>IF(BL94=0,"",IF((COUNTIFS(Investments_Clean!$A$2:$A$150,A94,Investments_Clean!$D$2:$D$150,"Grant/Philanthropic",Investments_Clean!$F$2:$F$150,"Accepted")+COUNTIFS(Investments_Clean!$A$2:$A$150,A94,Investments_Clean!$D$2:$D$150,"DFI/Impact",Investments_Clean!$F$2:$F$150,"Accepted"))&gt;0,1,0))</f>
        <v>0</v>
      </c>
      <c r="BS94" s="4">
        <v>5</v>
      </c>
      <c r="BT94" s="4">
        <v>12</v>
      </c>
      <c r="BU94" s="4">
        <v>2</v>
      </c>
      <c r="BV94" s="7">
        <v>5250000</v>
      </c>
      <c r="BW94" s="4">
        <v>200</v>
      </c>
      <c r="BX94" s="4">
        <v>8</v>
      </c>
      <c r="BY94" s="7"/>
      <c r="BZ94" s="4">
        <v>4.0999999999999996</v>
      </c>
      <c r="CA94" s="4">
        <v>3</v>
      </c>
      <c r="CB94" s="4">
        <v>74.599999999999994</v>
      </c>
      <c r="CC94" s="4">
        <f>IF(I94="","",IFERROR(IF(INDEX(Macro_Lookup!$B$2:$B$31,MATCH(I94,Macro_Lookup!$A$2:$A$31,0))="","",INDEX(Macro_Lookup!$B$2:$B$31,MATCH(I94,Macro_Lookup!$A$2:$A$31,0))),""))</f>
        <v>5.29</v>
      </c>
      <c r="CD94" s="4">
        <f>IF(I94="","",IFERROR(IF(INDEX(Macro_Lookup!$C$2:$C$31,MATCH(I94,Macro_Lookup!$A$2:$A$31,0))="","",INDEX(Macro_Lookup!$C$2:$C$31,MATCH(I94,Macro_Lookup!$A$2:$A$31,0))),""))</f>
        <v>2.21</v>
      </c>
      <c r="CE94" s="4" t="str">
        <f>IF(BJ94="","",IFERROR(IF(INDEX(Macro_Lookup!$B$2:$B$31,MATCH(BJ94,Macro_Lookup!$A$2:$A$31,0))="","",INDEX(Macro_Lookup!$B$2:$B$31,MATCH(BJ94,Macro_Lookup!$A$2:$A$31,0))),""))</f>
        <v/>
      </c>
      <c r="CF94" s="4" t="str">
        <f>IF(BJ94="","",IFERROR(IF(INDEX(Macro_Lookup!$C$2:$C$31,MATCH(BJ94,Macro_Lookup!$A$2:$A$31,0))="","",INDEX(Macro_Lookup!$C$2:$C$31,MATCH(BJ94,Macro_Lookup!$A$2:$A$31,0))),""))</f>
        <v/>
      </c>
      <c r="CG94" s="4">
        <v>1</v>
      </c>
    </row>
    <row r="95" spans="1:85" x14ac:dyDescent="0.3">
      <c r="A95" s="4" t="s">
        <v>526</v>
      </c>
      <c r="B95" s="4" t="s">
        <v>527</v>
      </c>
      <c r="C95" s="4" t="s">
        <v>87</v>
      </c>
      <c r="D95" s="4" t="s">
        <v>88</v>
      </c>
      <c r="E95" s="4">
        <v>0</v>
      </c>
      <c r="F95" s="4" t="s">
        <v>89</v>
      </c>
      <c r="G95" s="4"/>
      <c r="H95" s="4"/>
      <c r="I95" s="5">
        <v>2020</v>
      </c>
      <c r="J95" s="4"/>
      <c r="K95" s="4" t="s">
        <v>90</v>
      </c>
      <c r="L95" s="6">
        <v>46295</v>
      </c>
      <c r="M95" s="4">
        <f t="shared" si="12"/>
        <v>80</v>
      </c>
      <c r="N95" s="4">
        <f t="shared" si="13"/>
        <v>6.67</v>
      </c>
      <c r="O95" s="4" t="s">
        <v>528</v>
      </c>
      <c r="P95" s="4" t="s">
        <v>323</v>
      </c>
      <c r="Q95" s="4" t="s">
        <v>529</v>
      </c>
      <c r="R95" s="4">
        <v>0</v>
      </c>
      <c r="S95" s="4">
        <v>1</v>
      </c>
      <c r="T95" s="4">
        <v>0</v>
      </c>
      <c r="U95" s="4">
        <v>1</v>
      </c>
      <c r="V95" s="4">
        <v>0</v>
      </c>
      <c r="W95" s="4">
        <v>1</v>
      </c>
      <c r="X95" s="4" t="s">
        <v>465</v>
      </c>
      <c r="Y95" s="4">
        <v>3</v>
      </c>
      <c r="Z95" s="4">
        <v>1</v>
      </c>
      <c r="AA95" s="4">
        <v>1</v>
      </c>
      <c r="AB95" s="4" t="s">
        <v>530</v>
      </c>
      <c r="AC95" s="4"/>
      <c r="AD95" s="7"/>
      <c r="AE95" s="4"/>
      <c r="AF95" s="4">
        <f>IF(SUMIF(Founders_Clean!$A$2:$A$159,A95,Founders_Clean!$C$2:$C$159)=0,"",SUMIF(Founders_Clean!$A$2:$A$159,A95,Founders_Clean!$C$2:$C$159))</f>
        <v>2</v>
      </c>
      <c r="AG95" s="4">
        <f>IF(AF95="","",SUMIF(Founders_Clean!$A$2:$A$159,A95,Founders_Clean!$D$2:$D$159))</f>
        <v>1</v>
      </c>
      <c r="AH95" s="4">
        <f>IF(AF95="","",SUMIF(Founders_Clean!$A$2:$A$159,A95,Founders_Clean!$E$2:$E$159))</f>
        <v>1</v>
      </c>
      <c r="AI95" s="8">
        <f t="shared" si="14"/>
        <v>0.5</v>
      </c>
      <c r="AJ95" s="4">
        <f t="shared" si="15"/>
        <v>1</v>
      </c>
      <c r="AK95" s="8">
        <f t="shared" si="16"/>
        <v>0.5</v>
      </c>
      <c r="AL95" s="4"/>
      <c r="AM95" s="4">
        <v>1</v>
      </c>
      <c r="AN95" s="4" t="s">
        <v>143</v>
      </c>
      <c r="AO95" s="4"/>
      <c r="AP95" s="8"/>
      <c r="AQ95" s="4"/>
      <c r="AR95" s="4">
        <v>6</v>
      </c>
      <c r="AS95" s="4">
        <v>6</v>
      </c>
      <c r="AT95" s="7">
        <v>5.5</v>
      </c>
      <c r="AU95" s="4" t="s">
        <v>151</v>
      </c>
      <c r="AV95" s="4" t="s">
        <v>118</v>
      </c>
      <c r="AW95" s="4"/>
      <c r="AX95" s="4" t="s">
        <v>99</v>
      </c>
      <c r="AY95" s="4" t="s">
        <v>100</v>
      </c>
      <c r="AZ95" s="4"/>
      <c r="BA95" s="4">
        <v>0</v>
      </c>
      <c r="BB95" s="4">
        <v>0</v>
      </c>
      <c r="BC95" s="4">
        <v>0</v>
      </c>
      <c r="BD95" s="5"/>
      <c r="BE95" s="4"/>
      <c r="BF95" s="4">
        <f t="shared" si="17"/>
        <v>80</v>
      </c>
      <c r="BG95" s="4">
        <v>1</v>
      </c>
      <c r="BH95" s="7"/>
      <c r="BI95" s="4" t="s">
        <v>105</v>
      </c>
      <c r="BJ95" s="5"/>
      <c r="BK95" s="4">
        <v>1</v>
      </c>
      <c r="BL95" s="4">
        <f>COUNTIFS(Investments_Clean!$A$2:$A$150,A95,Investments_Clean!$F$2:$F$150,"Accepted")</f>
        <v>0</v>
      </c>
      <c r="BM95" s="4" t="str">
        <f>IF(BL95=0,"",IF((COUNTIFS(Investments_Clean!$A$2:$A$150,A95,Investments_Clean!$D$2:$D$150,"VC/PE",Investments_Clean!$F$2:$F$150,"Accepted"))&gt;0,1,0))</f>
        <v/>
      </c>
      <c r="BN95" s="4" t="str">
        <f>IF(BL95=0,"",IF((COUNTIFS(Investments_Clean!$A$2:$A$150,A95,Investments_Clean!$D$2:$D$150,"Angel",Investments_Clean!$F$2:$F$150,"Accepted"))&gt;0,1,0))</f>
        <v/>
      </c>
      <c r="BO95" s="4" t="str">
        <f>IF(BL95=0,"",IF((COUNTIFS(Investments_Clean!$A$2:$A$150,A95,Investments_Clean!$D$2:$D$150,"Accelerator",Investments_Clean!$F$2:$F$150,"Accepted"))&gt;0,1,0))</f>
        <v/>
      </c>
      <c r="BP95" s="4" t="str">
        <f>IF(BL95=0,"",IF((COUNTIFS(Investments_Clean!$A$2:$A$150,A95,Investments_Clean!$D$2:$D$150,"Corporate",Investments_Clean!$F$2:$F$150,"Accepted"))&gt;0,1,0))</f>
        <v/>
      </c>
      <c r="BQ95" s="4" t="str">
        <f>IF(BL95=0,"",IF((COUNTIFS(Investments_Clean!$A$2:$A$150,A95,Investments_Clean!$D$2:$D$150,"Government",Investments_Clean!$F$2:$F$150,"Accepted"))&gt;0,1,0))</f>
        <v/>
      </c>
      <c r="BR95" s="4" t="str">
        <f>IF(BL95=0,"",IF((COUNTIFS(Investments_Clean!$A$2:$A$150,A95,Investments_Clean!$D$2:$D$150,"Grant/Philanthropic",Investments_Clean!$F$2:$F$150,"Accepted")+COUNTIFS(Investments_Clean!$A$2:$A$150,A95,Investments_Clean!$D$2:$D$150,"DFI/Impact",Investments_Clean!$F$2:$F$150,"Accepted"))&gt;0,1,0))</f>
        <v/>
      </c>
      <c r="BS95" s="4"/>
      <c r="BT95" s="4">
        <v>15</v>
      </c>
      <c r="BU95" s="4">
        <v>15</v>
      </c>
      <c r="BV95" s="7">
        <v>1000</v>
      </c>
      <c r="BW95" s="4">
        <v>20</v>
      </c>
      <c r="BX95" s="4">
        <v>12</v>
      </c>
      <c r="BY95" s="7"/>
      <c r="BZ95" s="4"/>
      <c r="CA95" s="4">
        <v>3</v>
      </c>
      <c r="CB95" s="4">
        <v>25</v>
      </c>
      <c r="CC95" s="4">
        <f>IF(I95="","",IFERROR(IF(INDEX(Macro_Lookup!$B$2:$B$31,MATCH(I95,Macro_Lookup!$A$2:$A$31,0))="","",INDEX(Macro_Lookup!$B$2:$B$31,MATCH(I95,Macro_Lookup!$A$2:$A$31,0))),""))</f>
        <v>3.45</v>
      </c>
      <c r="CD95" s="4">
        <f>IF(I95="","",IFERROR(IF(INDEX(Macro_Lookup!$C$2:$C$31,MATCH(I95,Macro_Lookup!$A$2:$A$31,0))="","",INDEX(Macro_Lookup!$C$2:$C$31,MATCH(I95,Macro_Lookup!$A$2:$A$31,0))),""))</f>
        <v>5.69</v>
      </c>
      <c r="CE95" s="4" t="str">
        <f>IF(BJ95="","",IFERROR(IF(INDEX(Macro_Lookup!$B$2:$B$31,MATCH(BJ95,Macro_Lookup!$A$2:$A$31,0))="","",INDEX(Macro_Lookup!$B$2:$B$31,MATCH(BJ95,Macro_Lookup!$A$2:$A$31,0))),""))</f>
        <v/>
      </c>
      <c r="CF95" s="4" t="str">
        <f>IF(BJ95="","",IFERROR(IF(INDEX(Macro_Lookup!$C$2:$C$31,MATCH(BJ95,Macro_Lookup!$A$2:$A$31,0))="","",INDEX(Macro_Lookup!$C$2:$C$31,MATCH(BJ95,Macro_Lookup!$A$2:$A$31,0))),""))</f>
        <v/>
      </c>
      <c r="CG95" s="4">
        <v>1</v>
      </c>
    </row>
    <row r="96" spans="1:85" x14ac:dyDescent="0.3">
      <c r="A96" s="4" t="s">
        <v>531</v>
      </c>
      <c r="B96" s="4" t="s">
        <v>532</v>
      </c>
      <c r="C96" s="4" t="s">
        <v>87</v>
      </c>
      <c r="D96" s="4" t="s">
        <v>88</v>
      </c>
      <c r="E96" s="4">
        <v>0</v>
      </c>
      <c r="F96" s="4" t="s">
        <v>89</v>
      </c>
      <c r="G96" s="4"/>
      <c r="H96" s="4" t="s">
        <v>533</v>
      </c>
      <c r="I96" s="5">
        <v>2016</v>
      </c>
      <c r="J96" s="4"/>
      <c r="K96" s="4" t="s">
        <v>90</v>
      </c>
      <c r="L96" s="6">
        <v>46295</v>
      </c>
      <c r="M96" s="4">
        <f t="shared" si="12"/>
        <v>128</v>
      </c>
      <c r="N96" s="4">
        <f t="shared" si="13"/>
        <v>10.67</v>
      </c>
      <c r="O96" s="4" t="s">
        <v>534</v>
      </c>
      <c r="P96" s="4" t="s">
        <v>442</v>
      </c>
      <c r="Q96" s="4" t="s">
        <v>535</v>
      </c>
      <c r="R96" s="4">
        <v>0</v>
      </c>
      <c r="S96" s="4">
        <v>0</v>
      </c>
      <c r="T96" s="4">
        <v>1</v>
      </c>
      <c r="U96" s="4">
        <v>1</v>
      </c>
      <c r="V96" s="4">
        <v>0</v>
      </c>
      <c r="W96" s="4">
        <v>1</v>
      </c>
      <c r="X96" s="4" t="s">
        <v>465</v>
      </c>
      <c r="Y96" s="4">
        <v>3</v>
      </c>
      <c r="Z96" s="4">
        <v>1</v>
      </c>
      <c r="AA96" s="4">
        <v>1</v>
      </c>
      <c r="AB96" s="4" t="s">
        <v>536</v>
      </c>
      <c r="AC96" s="4"/>
      <c r="AD96" s="7"/>
      <c r="AE96" s="4"/>
      <c r="AF96" s="4">
        <f>IF(SUMIF(Founders_Clean!$A$2:$A$159,A96,Founders_Clean!$C$2:$C$159)=0,"",SUMIF(Founders_Clean!$A$2:$A$159,A96,Founders_Clean!$C$2:$C$159))</f>
        <v>2</v>
      </c>
      <c r="AG96" s="4">
        <f>IF(AF96="","",SUMIF(Founders_Clean!$A$2:$A$159,A96,Founders_Clean!$D$2:$D$159))</f>
        <v>2</v>
      </c>
      <c r="AH96" s="4">
        <f>IF(AF96="","",SUMIF(Founders_Clean!$A$2:$A$159,A96,Founders_Clean!$E$2:$E$159))</f>
        <v>0</v>
      </c>
      <c r="AI96" s="8">
        <f t="shared" si="14"/>
        <v>0</v>
      </c>
      <c r="AJ96" s="4">
        <f t="shared" si="15"/>
        <v>0</v>
      </c>
      <c r="AK96" s="8">
        <f t="shared" si="16"/>
        <v>0</v>
      </c>
      <c r="AL96" s="4"/>
      <c r="AM96" s="4">
        <v>1</v>
      </c>
      <c r="AN96" s="4" t="s">
        <v>143</v>
      </c>
      <c r="AO96" s="4">
        <v>1</v>
      </c>
      <c r="AP96" s="8">
        <v>1</v>
      </c>
      <c r="AQ96" s="4"/>
      <c r="AR96" s="4">
        <v>15</v>
      </c>
      <c r="AS96" s="4">
        <v>15</v>
      </c>
      <c r="AT96" s="7">
        <v>350.5</v>
      </c>
      <c r="AU96" s="4" t="s">
        <v>117</v>
      </c>
      <c r="AV96" s="4" t="s">
        <v>118</v>
      </c>
      <c r="AW96" s="4"/>
      <c r="AX96" s="4" t="s">
        <v>99</v>
      </c>
      <c r="AY96" s="4" t="s">
        <v>100</v>
      </c>
      <c r="AZ96" s="4"/>
      <c r="BA96" s="4">
        <v>0</v>
      </c>
      <c r="BB96" s="4">
        <v>0</v>
      </c>
      <c r="BC96" s="4">
        <v>0</v>
      </c>
      <c r="BD96" s="5"/>
      <c r="BE96" s="4"/>
      <c r="BF96" s="4">
        <f t="shared" si="17"/>
        <v>128</v>
      </c>
      <c r="BG96" s="4">
        <v>1</v>
      </c>
      <c r="BH96" s="7"/>
      <c r="BI96" s="4" t="s">
        <v>105</v>
      </c>
      <c r="BJ96" s="5"/>
      <c r="BK96" s="4">
        <v>1</v>
      </c>
      <c r="BL96" s="4">
        <f>COUNTIFS(Investments_Clean!$A$2:$A$150,A96,Investments_Clean!$F$2:$F$150,"Accepted")</f>
        <v>0</v>
      </c>
      <c r="BM96" s="4" t="str">
        <f>IF(BL96=0,"",IF((COUNTIFS(Investments_Clean!$A$2:$A$150,A96,Investments_Clean!$D$2:$D$150,"VC/PE",Investments_Clean!$F$2:$F$150,"Accepted"))&gt;0,1,0))</f>
        <v/>
      </c>
      <c r="BN96" s="4" t="str">
        <f>IF(BL96=0,"",IF((COUNTIFS(Investments_Clean!$A$2:$A$150,A96,Investments_Clean!$D$2:$D$150,"Angel",Investments_Clean!$F$2:$F$150,"Accepted"))&gt;0,1,0))</f>
        <v/>
      </c>
      <c r="BO96" s="4" t="str">
        <f>IF(BL96=0,"",IF((COUNTIFS(Investments_Clean!$A$2:$A$150,A96,Investments_Clean!$D$2:$D$150,"Accelerator",Investments_Clean!$F$2:$F$150,"Accepted"))&gt;0,1,0))</f>
        <v/>
      </c>
      <c r="BP96" s="4" t="str">
        <f>IF(BL96=0,"",IF((COUNTIFS(Investments_Clean!$A$2:$A$150,A96,Investments_Clean!$D$2:$D$150,"Corporate",Investments_Clean!$F$2:$F$150,"Accepted"))&gt;0,1,0))</f>
        <v/>
      </c>
      <c r="BQ96" s="4" t="str">
        <f>IF(BL96=0,"",IF((COUNTIFS(Investments_Clean!$A$2:$A$150,A96,Investments_Clean!$D$2:$D$150,"Government",Investments_Clean!$F$2:$F$150,"Accepted"))&gt;0,1,0))</f>
        <v/>
      </c>
      <c r="BR96" s="4" t="str">
        <f>IF(BL96=0,"",IF((COUNTIFS(Investments_Clean!$A$2:$A$150,A96,Investments_Clean!$D$2:$D$150,"Grant/Philanthropic",Investments_Clean!$F$2:$F$150,"Accepted")+COUNTIFS(Investments_Clean!$A$2:$A$150,A96,Investments_Clean!$D$2:$D$150,"DFI/Impact",Investments_Clean!$F$2:$F$150,"Accepted"))&gt;0,1,0))</f>
        <v/>
      </c>
      <c r="BS96" s="4"/>
      <c r="BT96" s="4">
        <v>35</v>
      </c>
      <c r="BU96" s="4">
        <v>15</v>
      </c>
      <c r="BV96" s="7">
        <v>10000</v>
      </c>
      <c r="BW96" s="4">
        <v>65</v>
      </c>
      <c r="BX96" s="4">
        <v>10</v>
      </c>
      <c r="BY96" s="7"/>
      <c r="BZ96" s="4">
        <v>4.0999999999999996</v>
      </c>
      <c r="CA96" s="4">
        <v>3</v>
      </c>
      <c r="CB96" s="4">
        <v>54.2</v>
      </c>
      <c r="CC96" s="4">
        <f>IF(I96="","",IFERROR(IF(INDEX(Macro_Lookup!$B$2:$B$31,MATCH(I96,Macro_Lookup!$A$2:$A$31,0))="","",INDEX(Macro_Lookup!$B$2:$B$31,MATCH(I96,Macro_Lookup!$A$2:$A$31,0))),""))</f>
        <v>7.11</v>
      </c>
      <c r="CD96" s="4">
        <f>IF(I96="","",IFERROR(IF(INDEX(Macro_Lookup!$C$2:$C$31,MATCH(I96,Macro_Lookup!$A$2:$A$31,0))="","",INDEX(Macro_Lookup!$C$2:$C$31,MATCH(I96,Macro_Lookup!$A$2:$A$31,0))),""))</f>
        <v>5.51</v>
      </c>
      <c r="CE96" s="4" t="str">
        <f>IF(BJ96="","",IFERROR(IF(INDEX(Macro_Lookup!$B$2:$B$31,MATCH(BJ96,Macro_Lookup!$A$2:$A$31,0))="","",INDEX(Macro_Lookup!$B$2:$B$31,MATCH(BJ96,Macro_Lookup!$A$2:$A$31,0))),""))</f>
        <v/>
      </c>
      <c r="CF96" s="4" t="str">
        <f>IF(BJ96="","",IFERROR(IF(INDEX(Macro_Lookup!$C$2:$C$31,MATCH(BJ96,Macro_Lookup!$A$2:$A$31,0))="","",INDEX(Macro_Lookup!$C$2:$C$31,MATCH(BJ96,Macro_Lookup!$A$2:$A$31,0))),""))</f>
        <v/>
      </c>
      <c r="CG96" s="4">
        <v>1</v>
      </c>
    </row>
    <row r="97" spans="1:85" x14ac:dyDescent="0.3">
      <c r="A97" s="4" t="s">
        <v>533</v>
      </c>
      <c r="B97" s="4" t="s">
        <v>537</v>
      </c>
      <c r="C97" s="4" t="s">
        <v>87</v>
      </c>
      <c r="D97" s="4" t="s">
        <v>88</v>
      </c>
      <c r="E97" s="4">
        <v>0</v>
      </c>
      <c r="F97" s="4" t="s">
        <v>89</v>
      </c>
      <c r="G97" s="4"/>
      <c r="H97" s="4"/>
      <c r="I97" s="5">
        <v>2016</v>
      </c>
      <c r="J97" s="4"/>
      <c r="K97" s="4" t="s">
        <v>90</v>
      </c>
      <c r="L97" s="6">
        <v>46295</v>
      </c>
      <c r="M97" s="4">
        <f t="shared" si="12"/>
        <v>128</v>
      </c>
      <c r="N97" s="4">
        <f t="shared" si="13"/>
        <v>10.67</v>
      </c>
      <c r="O97" s="4" t="s">
        <v>538</v>
      </c>
      <c r="P97" s="4" t="s">
        <v>255</v>
      </c>
      <c r="Q97" s="4" t="s">
        <v>535</v>
      </c>
      <c r="R97" s="4">
        <v>0</v>
      </c>
      <c r="S97" s="4">
        <v>0</v>
      </c>
      <c r="T97" s="4">
        <v>1</v>
      </c>
      <c r="U97" s="4">
        <v>1</v>
      </c>
      <c r="V97" s="4">
        <v>0</v>
      </c>
      <c r="W97" s="4">
        <v>1</v>
      </c>
      <c r="X97" s="4" t="s">
        <v>465</v>
      </c>
      <c r="Y97" s="4">
        <v>3</v>
      </c>
      <c r="Z97" s="4">
        <v>1</v>
      </c>
      <c r="AA97" s="4">
        <v>1</v>
      </c>
      <c r="AB97" s="4" t="s">
        <v>539</v>
      </c>
      <c r="AC97" s="4"/>
      <c r="AD97" s="7"/>
      <c r="AE97" s="4"/>
      <c r="AF97" s="4">
        <f>IF(SUMIF(Founders_Clean!$A$2:$A$159,A97,Founders_Clean!$C$2:$C$159)=0,"",SUMIF(Founders_Clean!$A$2:$A$159,A97,Founders_Clean!$C$2:$C$159))</f>
        <v>2</v>
      </c>
      <c r="AG97" s="4">
        <f>IF(AF97="","",SUMIF(Founders_Clean!$A$2:$A$159,A97,Founders_Clean!$D$2:$D$159))</f>
        <v>1</v>
      </c>
      <c r="AH97" s="4">
        <f>IF(AF97="","",SUMIF(Founders_Clean!$A$2:$A$159,A97,Founders_Clean!$E$2:$E$159))</f>
        <v>0</v>
      </c>
      <c r="AI97" s="8">
        <f t="shared" si="14"/>
        <v>0</v>
      </c>
      <c r="AJ97" s="4">
        <f t="shared" si="15"/>
        <v>0</v>
      </c>
      <c r="AK97" s="8">
        <f t="shared" si="16"/>
        <v>0</v>
      </c>
      <c r="AL97" s="4"/>
      <c r="AM97" s="4">
        <v>1</v>
      </c>
      <c r="AN97" s="4" t="s">
        <v>143</v>
      </c>
      <c r="AO97" s="4">
        <v>1</v>
      </c>
      <c r="AP97" s="8">
        <v>1</v>
      </c>
      <c r="AQ97" s="4"/>
      <c r="AR97" s="4">
        <v>15</v>
      </c>
      <c r="AS97" s="4">
        <v>15</v>
      </c>
      <c r="AT97" s="7">
        <v>350.5</v>
      </c>
      <c r="AU97" s="4" t="s">
        <v>117</v>
      </c>
      <c r="AV97" s="4" t="s">
        <v>118</v>
      </c>
      <c r="AW97" s="4"/>
      <c r="AX97" s="4" t="s">
        <v>99</v>
      </c>
      <c r="AY97" s="4" t="s">
        <v>100</v>
      </c>
      <c r="AZ97" s="4"/>
      <c r="BA97" s="4">
        <v>0</v>
      </c>
      <c r="BB97" s="4">
        <v>0</v>
      </c>
      <c r="BC97" s="4">
        <v>0</v>
      </c>
      <c r="BD97" s="5"/>
      <c r="BE97" s="4"/>
      <c r="BF97" s="4">
        <f t="shared" si="17"/>
        <v>128</v>
      </c>
      <c r="BG97" s="4">
        <v>1</v>
      </c>
      <c r="BH97" s="7"/>
      <c r="BI97" s="4" t="s">
        <v>105</v>
      </c>
      <c r="BJ97" s="5"/>
      <c r="BK97" s="4">
        <v>1</v>
      </c>
      <c r="BL97" s="4">
        <f>COUNTIFS(Investments_Clean!$A$2:$A$150,A97,Investments_Clean!$F$2:$F$150,"Accepted")</f>
        <v>0</v>
      </c>
      <c r="BM97" s="4" t="str">
        <f>IF(BL97=0,"",IF((COUNTIFS(Investments_Clean!$A$2:$A$150,A97,Investments_Clean!$D$2:$D$150,"VC/PE",Investments_Clean!$F$2:$F$150,"Accepted"))&gt;0,1,0))</f>
        <v/>
      </c>
      <c r="BN97" s="4" t="str">
        <f>IF(BL97=0,"",IF((COUNTIFS(Investments_Clean!$A$2:$A$150,A97,Investments_Clean!$D$2:$D$150,"Angel",Investments_Clean!$F$2:$F$150,"Accepted"))&gt;0,1,0))</f>
        <v/>
      </c>
      <c r="BO97" s="4" t="str">
        <f>IF(BL97=0,"",IF((COUNTIFS(Investments_Clean!$A$2:$A$150,A97,Investments_Clean!$D$2:$D$150,"Accelerator",Investments_Clean!$F$2:$F$150,"Accepted"))&gt;0,1,0))</f>
        <v/>
      </c>
      <c r="BP97" s="4" t="str">
        <f>IF(BL97=0,"",IF((COUNTIFS(Investments_Clean!$A$2:$A$150,A97,Investments_Clean!$D$2:$D$150,"Corporate",Investments_Clean!$F$2:$F$150,"Accepted"))&gt;0,1,0))</f>
        <v/>
      </c>
      <c r="BQ97" s="4" t="str">
        <f>IF(BL97=0,"",IF((COUNTIFS(Investments_Clean!$A$2:$A$150,A97,Investments_Clean!$D$2:$D$150,"Government",Investments_Clean!$F$2:$F$150,"Accepted"))&gt;0,1,0))</f>
        <v/>
      </c>
      <c r="BR97" s="4" t="str">
        <f>IF(BL97=0,"",IF((COUNTIFS(Investments_Clean!$A$2:$A$150,A97,Investments_Clean!$D$2:$D$150,"Grant/Philanthropic",Investments_Clean!$F$2:$F$150,"Accepted")+COUNTIFS(Investments_Clean!$A$2:$A$150,A97,Investments_Clean!$D$2:$D$150,"DFI/Impact",Investments_Clean!$F$2:$F$150,"Accepted"))&gt;0,1,0))</f>
        <v/>
      </c>
      <c r="BS97" s="4"/>
      <c r="BT97" s="4">
        <v>35</v>
      </c>
      <c r="BU97" s="4">
        <v>15</v>
      </c>
      <c r="BV97" s="7">
        <v>185000</v>
      </c>
      <c r="BW97" s="4">
        <v>100</v>
      </c>
      <c r="BX97" s="4">
        <v>15</v>
      </c>
      <c r="BY97" s="7"/>
      <c r="BZ97" s="4">
        <v>4.0999999999999996</v>
      </c>
      <c r="CA97" s="4">
        <v>3</v>
      </c>
      <c r="CB97" s="4">
        <v>74.2</v>
      </c>
      <c r="CC97" s="4">
        <f>IF(I97="","",IFERROR(IF(INDEX(Macro_Lookup!$B$2:$B$31,MATCH(I97,Macro_Lookup!$A$2:$A$31,0))="","",INDEX(Macro_Lookup!$B$2:$B$31,MATCH(I97,Macro_Lookup!$A$2:$A$31,0))),""))</f>
        <v>7.11</v>
      </c>
      <c r="CD97" s="4">
        <f>IF(I97="","",IFERROR(IF(INDEX(Macro_Lookup!$C$2:$C$31,MATCH(I97,Macro_Lookup!$A$2:$A$31,0))="","",INDEX(Macro_Lookup!$C$2:$C$31,MATCH(I97,Macro_Lookup!$A$2:$A$31,0))),""))</f>
        <v>5.51</v>
      </c>
      <c r="CE97" s="4" t="str">
        <f>IF(BJ97="","",IFERROR(IF(INDEX(Macro_Lookup!$B$2:$B$31,MATCH(BJ97,Macro_Lookup!$A$2:$A$31,0))="","",INDEX(Macro_Lookup!$B$2:$B$31,MATCH(BJ97,Macro_Lookup!$A$2:$A$31,0))),""))</f>
        <v/>
      </c>
      <c r="CF97" s="4" t="str">
        <f>IF(BJ97="","",IFERROR(IF(INDEX(Macro_Lookup!$C$2:$C$31,MATCH(BJ97,Macro_Lookup!$A$2:$A$31,0))="","",INDEX(Macro_Lookup!$C$2:$C$31,MATCH(BJ97,Macro_Lookup!$A$2:$A$31,0))),""))</f>
        <v/>
      </c>
      <c r="CG97" s="4">
        <v>1</v>
      </c>
    </row>
    <row r="98" spans="1:85" x14ac:dyDescent="0.3">
      <c r="A98" s="4" t="s">
        <v>540</v>
      </c>
      <c r="B98" s="4" t="s">
        <v>541</v>
      </c>
      <c r="C98" s="4" t="s">
        <v>87</v>
      </c>
      <c r="D98" s="4" t="s">
        <v>88</v>
      </c>
      <c r="E98" s="4">
        <v>0</v>
      </c>
      <c r="F98" s="4" t="s">
        <v>522</v>
      </c>
      <c r="G98" s="4"/>
      <c r="H98" s="4"/>
      <c r="I98" s="5">
        <v>1997</v>
      </c>
      <c r="J98" s="4"/>
      <c r="K98" s="4" t="s">
        <v>90</v>
      </c>
      <c r="L98" s="6">
        <v>46295</v>
      </c>
      <c r="M98" s="4">
        <f t="shared" ref="M98:M129" si="18">IF(I98="","",(YEAR(L98)-I98)*12+MONTH(L98)-IF(J98="",1,J98))</f>
        <v>356</v>
      </c>
      <c r="N98" s="4">
        <f t="shared" ref="N98:N129" si="19">IF(M98="","",ROUND(M98/12,2))</f>
        <v>29.67</v>
      </c>
      <c r="O98" s="4" t="s">
        <v>542</v>
      </c>
      <c r="P98" s="4" t="s">
        <v>255</v>
      </c>
      <c r="Q98" s="4" t="s">
        <v>543</v>
      </c>
      <c r="R98" s="4">
        <v>1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 t="s">
        <v>465</v>
      </c>
      <c r="Y98" s="4">
        <v>3</v>
      </c>
      <c r="Z98" s="4">
        <v>1</v>
      </c>
      <c r="AA98" s="4">
        <v>0</v>
      </c>
      <c r="AB98" s="4" t="s">
        <v>544</v>
      </c>
      <c r="AC98" s="4"/>
      <c r="AD98" s="7"/>
      <c r="AE98" s="4"/>
      <c r="AF98" s="4">
        <f>IF(SUMIF(Founders_Clean!$A$2:$A$159,A98,Founders_Clean!$C$2:$C$159)=0,"",SUMIF(Founders_Clean!$A$2:$A$159,A98,Founders_Clean!$C$2:$C$159))</f>
        <v>1</v>
      </c>
      <c r="AG98" s="4">
        <f>IF(AF98="","",SUMIF(Founders_Clean!$A$2:$A$159,A98,Founders_Clean!$D$2:$D$159))</f>
        <v>1</v>
      </c>
      <c r="AH98" s="4">
        <f>IF(AF98="","",SUMIF(Founders_Clean!$A$2:$A$159,A98,Founders_Clean!$E$2:$E$159))</f>
        <v>0</v>
      </c>
      <c r="AI98" s="8">
        <f t="shared" ref="AI98:AI129" si="20">IF(AF98="","",IF((AG98+AH98)=0,"",AH98/(AG98+AH98)))</f>
        <v>0</v>
      </c>
      <c r="AJ98" s="4">
        <f t="shared" ref="AJ98:AJ129" si="21">IF(AI98="","",IF(AH98&gt;0,1,0))</f>
        <v>0</v>
      </c>
      <c r="AK98" s="8">
        <f t="shared" si="16"/>
        <v>0</v>
      </c>
      <c r="AL98" s="4"/>
      <c r="AM98" s="4">
        <v>2</v>
      </c>
      <c r="AN98" s="4" t="s">
        <v>96</v>
      </c>
      <c r="AO98" s="4"/>
      <c r="AP98" s="8"/>
      <c r="AQ98" s="4"/>
      <c r="AR98" s="4">
        <v>35</v>
      </c>
      <c r="AS98" s="4">
        <v>35</v>
      </c>
      <c r="AT98" s="7">
        <v>2500</v>
      </c>
      <c r="AU98" s="4" t="s">
        <v>97</v>
      </c>
      <c r="AV98" s="4" t="s">
        <v>118</v>
      </c>
      <c r="AW98" s="4"/>
      <c r="AX98" s="4" t="s">
        <v>99</v>
      </c>
      <c r="AY98" s="4" t="s">
        <v>100</v>
      </c>
      <c r="AZ98" s="4"/>
      <c r="BA98" s="4">
        <v>0</v>
      </c>
      <c r="BB98" s="4">
        <v>0</v>
      </c>
      <c r="BC98" s="4">
        <v>0</v>
      </c>
      <c r="BD98" s="5"/>
      <c r="BE98" s="4"/>
      <c r="BF98" s="4">
        <f t="shared" ref="BF98:BF129" si="22">IF(OR(I98="",BC98=""),"",IF(BC98=1,(BD98-I98)*12+IF(BE98="",7,BE98)-IF(J98="",1,J98),M98))</f>
        <v>356</v>
      </c>
      <c r="BG98" s="4">
        <v>1</v>
      </c>
      <c r="BH98" s="7">
        <v>140000000</v>
      </c>
      <c r="BI98" s="4" t="s">
        <v>101</v>
      </c>
      <c r="BJ98" s="5"/>
      <c r="BK98" s="4">
        <v>1</v>
      </c>
      <c r="BL98" s="4">
        <f>COUNTIFS(Investments_Clean!$A$2:$A$150,A98,Investments_Clean!$F$2:$F$150,"Accepted")</f>
        <v>0</v>
      </c>
      <c r="BM98" s="4" t="str">
        <f>IF(BL98=0,"",IF((COUNTIFS(Investments_Clean!$A$2:$A$150,A98,Investments_Clean!$D$2:$D$150,"VC/PE",Investments_Clean!$F$2:$F$150,"Accepted"))&gt;0,1,0))</f>
        <v/>
      </c>
      <c r="BN98" s="4" t="str">
        <f>IF(BL98=0,"",IF((COUNTIFS(Investments_Clean!$A$2:$A$150,A98,Investments_Clean!$D$2:$D$150,"Angel",Investments_Clean!$F$2:$F$150,"Accepted"))&gt;0,1,0))</f>
        <v/>
      </c>
      <c r="BO98" s="4" t="str">
        <f>IF(BL98=0,"",IF((COUNTIFS(Investments_Clean!$A$2:$A$150,A98,Investments_Clean!$D$2:$D$150,"Accelerator",Investments_Clean!$F$2:$F$150,"Accepted"))&gt;0,1,0))</f>
        <v/>
      </c>
      <c r="BP98" s="4" t="str">
        <f>IF(BL98=0,"",IF((COUNTIFS(Investments_Clean!$A$2:$A$150,A98,Investments_Clean!$D$2:$D$150,"Corporate",Investments_Clean!$F$2:$F$150,"Accepted"))&gt;0,1,0))</f>
        <v/>
      </c>
      <c r="BQ98" s="4" t="str">
        <f>IF(BL98=0,"",IF((COUNTIFS(Investments_Clean!$A$2:$A$150,A98,Investments_Clean!$D$2:$D$150,"Government",Investments_Clean!$F$2:$F$150,"Accepted"))&gt;0,1,0))</f>
        <v/>
      </c>
      <c r="BR98" s="4" t="str">
        <f>IF(BL98=0,"",IF((COUNTIFS(Investments_Clean!$A$2:$A$150,A98,Investments_Clean!$D$2:$D$150,"Grant/Philanthropic",Investments_Clean!$F$2:$F$150,"Accepted")+COUNTIFS(Investments_Clean!$A$2:$A$150,A98,Investments_Clean!$D$2:$D$150,"DFI/Impact",Investments_Clean!$F$2:$F$150,"Accepted"))&gt;0,1,0))</f>
        <v/>
      </c>
      <c r="BS98" s="4"/>
      <c r="BT98" s="4">
        <v>5</v>
      </c>
      <c r="BU98" s="4">
        <v>1</v>
      </c>
      <c r="BV98" s="7">
        <v>3750005</v>
      </c>
      <c r="BW98" s="4">
        <v>1000</v>
      </c>
      <c r="BX98" s="4">
        <v>3</v>
      </c>
      <c r="BY98" s="7"/>
      <c r="BZ98" s="4">
        <v>4.4000000000000004</v>
      </c>
      <c r="CA98" s="4">
        <v>3</v>
      </c>
      <c r="CB98" s="4">
        <v>70</v>
      </c>
      <c r="CC98" s="4">
        <f>IF(I98="","",IFERROR(IF(INDEX(Macro_Lookup!$B$2:$B$31,MATCH(I98,Macro_Lookup!$A$2:$A$31,0))="","",INDEX(Macro_Lookup!$B$2:$B$31,MATCH(I98,Macro_Lookup!$A$2:$A$31,0))),""))</f>
        <v>4.49</v>
      </c>
      <c r="CD98" s="4">
        <f>IF(I98="","",IFERROR(IF(INDEX(Macro_Lookup!$C$2:$C$31,MATCH(I98,Macro_Lookup!$A$2:$A$31,0))="","",INDEX(Macro_Lookup!$C$2:$C$31,MATCH(I98,Macro_Lookup!$A$2:$A$31,0))),""))</f>
        <v>5.31</v>
      </c>
      <c r="CE98" s="4" t="str">
        <f>IF(BJ98="","",IFERROR(IF(INDEX(Macro_Lookup!$B$2:$B$31,MATCH(BJ98,Macro_Lookup!$A$2:$A$31,0))="","",INDEX(Macro_Lookup!$B$2:$B$31,MATCH(BJ98,Macro_Lookup!$A$2:$A$31,0))),""))</f>
        <v/>
      </c>
      <c r="CF98" s="4" t="str">
        <f>IF(BJ98="","",IFERROR(IF(INDEX(Macro_Lookup!$C$2:$C$31,MATCH(BJ98,Macro_Lookup!$A$2:$A$31,0))="","",INDEX(Macro_Lookup!$C$2:$C$31,MATCH(BJ98,Macro_Lookup!$A$2:$A$31,0))),""))</f>
        <v/>
      </c>
      <c r="CG98" s="4">
        <v>1</v>
      </c>
    </row>
    <row r="99" spans="1:85" x14ac:dyDescent="0.3">
      <c r="A99" s="4" t="s">
        <v>545</v>
      </c>
      <c r="B99" s="4" t="s">
        <v>546</v>
      </c>
      <c r="C99" s="4" t="s">
        <v>87</v>
      </c>
      <c r="D99" s="4" t="s">
        <v>88</v>
      </c>
      <c r="E99" s="4">
        <v>0</v>
      </c>
      <c r="F99" s="4" t="s">
        <v>89</v>
      </c>
      <c r="G99" s="4"/>
      <c r="H99" s="4"/>
      <c r="I99" s="5">
        <v>2022</v>
      </c>
      <c r="J99" s="4"/>
      <c r="K99" s="4" t="s">
        <v>90</v>
      </c>
      <c r="L99" s="6">
        <v>46295</v>
      </c>
      <c r="M99" s="4">
        <f t="shared" si="18"/>
        <v>56</v>
      </c>
      <c r="N99" s="4">
        <f t="shared" si="19"/>
        <v>4.67</v>
      </c>
      <c r="O99" s="4" t="s">
        <v>154</v>
      </c>
      <c r="P99" s="4" t="s">
        <v>92</v>
      </c>
      <c r="Q99" s="4" t="s">
        <v>547</v>
      </c>
      <c r="R99" s="4">
        <v>1</v>
      </c>
      <c r="S99" s="4">
        <v>0</v>
      </c>
      <c r="T99" s="4">
        <v>0</v>
      </c>
      <c r="U99" s="4">
        <v>0</v>
      </c>
      <c r="V99" s="4">
        <v>0</v>
      </c>
      <c r="W99" s="4">
        <v>1</v>
      </c>
      <c r="X99" s="4" t="s">
        <v>465</v>
      </c>
      <c r="Y99" s="4">
        <v>3</v>
      </c>
      <c r="Z99" s="4">
        <v>1</v>
      </c>
      <c r="AA99" s="4">
        <v>1</v>
      </c>
      <c r="AB99" s="4" t="s">
        <v>548</v>
      </c>
      <c r="AC99" s="4"/>
      <c r="AD99" s="7"/>
      <c r="AE99" s="4"/>
      <c r="AF99" s="4">
        <f>IF(SUMIF(Founders_Clean!$A$2:$A$159,A99,Founders_Clean!$C$2:$C$159)=0,"",SUMIF(Founders_Clean!$A$2:$A$159,A99,Founders_Clean!$C$2:$C$159))</f>
        <v>1</v>
      </c>
      <c r="AG99" s="4">
        <f>IF(AF99="","",SUMIF(Founders_Clean!$A$2:$A$159,A99,Founders_Clean!$D$2:$D$159))</f>
        <v>1</v>
      </c>
      <c r="AH99" s="4">
        <f>IF(AF99="","",SUMIF(Founders_Clean!$A$2:$A$159,A99,Founders_Clean!$E$2:$E$159))</f>
        <v>0</v>
      </c>
      <c r="AI99" s="8">
        <f t="shared" si="20"/>
        <v>0</v>
      </c>
      <c r="AJ99" s="4">
        <f t="shared" si="21"/>
        <v>0</v>
      </c>
      <c r="AK99" s="8">
        <f t="shared" si="16"/>
        <v>0</v>
      </c>
      <c r="AL99" s="4"/>
      <c r="AM99" s="4">
        <v>1</v>
      </c>
      <c r="AN99" s="4" t="s">
        <v>143</v>
      </c>
      <c r="AO99" s="4"/>
      <c r="AP99" s="8"/>
      <c r="AQ99" s="4"/>
      <c r="AR99" s="4">
        <v>4</v>
      </c>
      <c r="AS99" s="4">
        <v>4</v>
      </c>
      <c r="AT99" s="7">
        <v>30.5</v>
      </c>
      <c r="AU99" s="4" t="s">
        <v>157</v>
      </c>
      <c r="AV99" s="4" t="s">
        <v>118</v>
      </c>
      <c r="AW99" s="4"/>
      <c r="AX99" s="4" t="s">
        <v>138</v>
      </c>
      <c r="AY99" s="4" t="s">
        <v>100</v>
      </c>
      <c r="AZ99" s="4" t="s">
        <v>549</v>
      </c>
      <c r="BA99" s="4">
        <v>0</v>
      </c>
      <c r="BB99" s="4">
        <v>0</v>
      </c>
      <c r="BC99" s="4">
        <v>1</v>
      </c>
      <c r="BD99" s="5">
        <v>2024</v>
      </c>
      <c r="BE99" s="4">
        <v>6</v>
      </c>
      <c r="BF99" s="4">
        <f t="shared" si="22"/>
        <v>29</v>
      </c>
      <c r="BG99" s="4">
        <v>1</v>
      </c>
      <c r="BH99" s="7"/>
      <c r="BI99" s="4" t="s">
        <v>105</v>
      </c>
      <c r="BJ99" s="5"/>
      <c r="BK99" s="4">
        <v>1</v>
      </c>
      <c r="BL99" s="4">
        <f>COUNTIFS(Investments_Clean!$A$2:$A$150,A99,Investments_Clean!$F$2:$F$150,"Accepted")</f>
        <v>0</v>
      </c>
      <c r="BM99" s="4" t="str">
        <f>IF(BL99=0,"",IF((COUNTIFS(Investments_Clean!$A$2:$A$150,A99,Investments_Clean!$D$2:$D$150,"VC/PE",Investments_Clean!$F$2:$F$150,"Accepted"))&gt;0,1,0))</f>
        <v/>
      </c>
      <c r="BN99" s="4" t="str">
        <f>IF(BL99=0,"",IF((COUNTIFS(Investments_Clean!$A$2:$A$150,A99,Investments_Clean!$D$2:$D$150,"Angel",Investments_Clean!$F$2:$F$150,"Accepted"))&gt;0,1,0))</f>
        <v/>
      </c>
      <c r="BO99" s="4" t="str">
        <f>IF(BL99=0,"",IF((COUNTIFS(Investments_Clean!$A$2:$A$150,A99,Investments_Clean!$D$2:$D$150,"Accelerator",Investments_Clean!$F$2:$F$150,"Accepted"))&gt;0,1,0))</f>
        <v/>
      </c>
      <c r="BP99" s="4" t="str">
        <f>IF(BL99=0,"",IF((COUNTIFS(Investments_Clean!$A$2:$A$150,A99,Investments_Clean!$D$2:$D$150,"Corporate",Investments_Clean!$F$2:$F$150,"Accepted"))&gt;0,1,0))</f>
        <v/>
      </c>
      <c r="BQ99" s="4" t="str">
        <f>IF(BL99=0,"",IF((COUNTIFS(Investments_Clean!$A$2:$A$150,A99,Investments_Clean!$D$2:$D$150,"Government",Investments_Clean!$F$2:$F$150,"Accepted"))&gt;0,1,0))</f>
        <v/>
      </c>
      <c r="BR99" s="4" t="str">
        <f>IF(BL99=0,"",IF((COUNTIFS(Investments_Clean!$A$2:$A$150,A99,Investments_Clean!$D$2:$D$150,"Grant/Philanthropic",Investments_Clean!$F$2:$F$150,"Accepted")+COUNTIFS(Investments_Clean!$A$2:$A$150,A99,Investments_Clean!$D$2:$D$150,"DFI/Impact",Investments_Clean!$F$2:$F$150,"Accepted"))&gt;0,1,0))</f>
        <v/>
      </c>
      <c r="BS99" s="4"/>
      <c r="BT99" s="4">
        <v>0</v>
      </c>
      <c r="BU99" s="4">
        <v>0</v>
      </c>
      <c r="BV99" s="7">
        <v>0</v>
      </c>
      <c r="BW99" s="4">
        <v>5</v>
      </c>
      <c r="BX99" s="4">
        <v>0</v>
      </c>
      <c r="BY99" s="7"/>
      <c r="BZ99" s="4"/>
      <c r="CA99" s="4">
        <v>3</v>
      </c>
      <c r="CB99" s="4">
        <v>5.8</v>
      </c>
      <c r="CC99" s="4">
        <f>IF(I99="","",IFERROR(IF(INDEX(Macro_Lookup!$B$2:$B$31,MATCH(I99,Macro_Lookup!$A$2:$A$31,0))="","",INDEX(Macro_Lookup!$B$2:$B$31,MATCH(I99,Macro_Lookup!$A$2:$A$31,0))),""))</f>
        <v>7.1</v>
      </c>
      <c r="CD99" s="4">
        <f>IF(I99="","",IFERROR(IF(INDEX(Macro_Lookup!$C$2:$C$31,MATCH(I99,Macro_Lookup!$A$2:$A$31,0))="","",INDEX(Macro_Lookup!$C$2:$C$31,MATCH(I99,Macro_Lookup!$A$2:$A$31,0))),""))</f>
        <v>7.7</v>
      </c>
      <c r="CE99" s="4" t="str">
        <f>IF(BJ99="","",IFERROR(IF(INDEX(Macro_Lookup!$B$2:$B$31,MATCH(BJ99,Macro_Lookup!$A$2:$A$31,0))="","",INDEX(Macro_Lookup!$B$2:$B$31,MATCH(BJ99,Macro_Lookup!$A$2:$A$31,0))),""))</f>
        <v/>
      </c>
      <c r="CF99" s="4" t="str">
        <f>IF(BJ99="","",IFERROR(IF(INDEX(Macro_Lookup!$C$2:$C$31,MATCH(BJ99,Macro_Lookup!$A$2:$A$31,0))="","",INDEX(Macro_Lookup!$C$2:$C$31,MATCH(BJ99,Macro_Lookup!$A$2:$A$31,0))),""))</f>
        <v/>
      </c>
      <c r="CG99" s="4">
        <v>1</v>
      </c>
    </row>
    <row r="100" spans="1:85" x14ac:dyDescent="0.3">
      <c r="A100" s="4" t="s">
        <v>550</v>
      </c>
      <c r="B100" s="4" t="s">
        <v>551</v>
      </c>
      <c r="C100" s="4" t="s">
        <v>87</v>
      </c>
      <c r="D100" s="4" t="s">
        <v>88</v>
      </c>
      <c r="E100" s="4">
        <v>0</v>
      </c>
      <c r="F100" s="4" t="s">
        <v>89</v>
      </c>
      <c r="G100" s="4"/>
      <c r="H100" s="4"/>
      <c r="I100" s="5">
        <v>2020</v>
      </c>
      <c r="J100" s="4"/>
      <c r="K100" s="4" t="s">
        <v>90</v>
      </c>
      <c r="L100" s="6">
        <v>46295</v>
      </c>
      <c r="M100" s="4">
        <f t="shared" si="18"/>
        <v>80</v>
      </c>
      <c r="N100" s="4">
        <f t="shared" si="19"/>
        <v>6.67</v>
      </c>
      <c r="O100" s="4" t="s">
        <v>328</v>
      </c>
      <c r="P100" s="4" t="s">
        <v>323</v>
      </c>
      <c r="Q100" s="4" t="s">
        <v>552</v>
      </c>
      <c r="R100" s="4">
        <v>1</v>
      </c>
      <c r="S100" s="4">
        <v>0</v>
      </c>
      <c r="T100" s="4">
        <v>0</v>
      </c>
      <c r="U100" s="4">
        <v>0</v>
      </c>
      <c r="V100" s="4">
        <v>0</v>
      </c>
      <c r="W100" s="4">
        <v>1</v>
      </c>
      <c r="X100" s="4" t="s">
        <v>465</v>
      </c>
      <c r="Y100" s="4">
        <v>3</v>
      </c>
      <c r="Z100" s="4">
        <v>1</v>
      </c>
      <c r="AA100" s="4">
        <v>1</v>
      </c>
      <c r="AB100" s="4" t="s">
        <v>553</v>
      </c>
      <c r="AC100" s="4"/>
      <c r="AD100" s="7"/>
      <c r="AE100" s="4"/>
      <c r="AF100" s="4">
        <f>IF(SUMIF(Founders_Clean!$A$2:$A$159,A100,Founders_Clean!$C$2:$C$159)=0,"",SUMIF(Founders_Clean!$A$2:$A$159,A100,Founders_Clean!$C$2:$C$159))</f>
        <v>2</v>
      </c>
      <c r="AG100" s="4">
        <f>IF(AF100="","",SUMIF(Founders_Clean!$A$2:$A$159,A100,Founders_Clean!$D$2:$D$159))</f>
        <v>2</v>
      </c>
      <c r="AH100" s="4">
        <f>IF(AF100="","",SUMIF(Founders_Clean!$A$2:$A$159,A100,Founders_Clean!$E$2:$E$159))</f>
        <v>0</v>
      </c>
      <c r="AI100" s="8">
        <f t="shared" si="20"/>
        <v>0</v>
      </c>
      <c r="AJ100" s="4">
        <f t="shared" si="21"/>
        <v>0</v>
      </c>
      <c r="AK100" s="8">
        <f t="shared" si="16"/>
        <v>0</v>
      </c>
      <c r="AL100" s="4"/>
      <c r="AM100" s="4">
        <v>1</v>
      </c>
      <c r="AN100" s="4" t="s">
        <v>143</v>
      </c>
      <c r="AO100" s="4">
        <v>1</v>
      </c>
      <c r="AP100" s="8">
        <v>1</v>
      </c>
      <c r="AQ100" s="4"/>
      <c r="AR100" s="4">
        <v>6</v>
      </c>
      <c r="AS100" s="4">
        <v>6</v>
      </c>
      <c r="AT100" s="7">
        <v>30.5</v>
      </c>
      <c r="AU100" s="4" t="s">
        <v>157</v>
      </c>
      <c r="AV100" s="4" t="s">
        <v>118</v>
      </c>
      <c r="AW100" s="4"/>
      <c r="AX100" s="4" t="s">
        <v>99</v>
      </c>
      <c r="AY100" s="4" t="s">
        <v>100</v>
      </c>
      <c r="AZ100" s="4"/>
      <c r="BA100" s="4">
        <v>0</v>
      </c>
      <c r="BB100" s="4">
        <v>0</v>
      </c>
      <c r="BC100" s="4">
        <v>0</v>
      </c>
      <c r="BD100" s="5"/>
      <c r="BE100" s="4"/>
      <c r="BF100" s="4">
        <f t="shared" si="22"/>
        <v>80</v>
      </c>
      <c r="BG100" s="4">
        <v>1</v>
      </c>
      <c r="BH100" s="7"/>
      <c r="BI100" s="4" t="s">
        <v>105</v>
      </c>
      <c r="BJ100" s="5"/>
      <c r="BK100" s="4">
        <v>1</v>
      </c>
      <c r="BL100" s="4">
        <f>COUNTIFS(Investments_Clean!$A$2:$A$150,A100,Investments_Clean!$F$2:$F$150,"Accepted")</f>
        <v>1</v>
      </c>
      <c r="BM100" s="4">
        <f>IF(BL100=0,"",IF((COUNTIFS(Investments_Clean!$A$2:$A$150,A100,Investments_Clean!$D$2:$D$150,"VC/PE",Investments_Clean!$F$2:$F$150,"Accepted"))&gt;0,1,0))</f>
        <v>0</v>
      </c>
      <c r="BN100" s="4">
        <f>IF(BL100=0,"",IF((COUNTIFS(Investments_Clean!$A$2:$A$150,A100,Investments_Clean!$D$2:$D$150,"Angel",Investments_Clean!$F$2:$F$150,"Accepted"))&gt;0,1,0))</f>
        <v>0</v>
      </c>
      <c r="BO100" s="4">
        <f>IF(BL100=0,"",IF((COUNTIFS(Investments_Clean!$A$2:$A$150,A100,Investments_Clean!$D$2:$D$150,"Accelerator",Investments_Clean!$F$2:$F$150,"Accepted"))&gt;0,1,0))</f>
        <v>1</v>
      </c>
      <c r="BP100" s="4">
        <f>IF(BL100=0,"",IF((COUNTIFS(Investments_Clean!$A$2:$A$150,A100,Investments_Clean!$D$2:$D$150,"Corporate",Investments_Clean!$F$2:$F$150,"Accepted"))&gt;0,1,0))</f>
        <v>0</v>
      </c>
      <c r="BQ100" s="4">
        <f>IF(BL100=0,"",IF((COUNTIFS(Investments_Clean!$A$2:$A$150,A100,Investments_Clean!$D$2:$D$150,"Government",Investments_Clean!$F$2:$F$150,"Accepted"))&gt;0,1,0))</f>
        <v>0</v>
      </c>
      <c r="BR100" s="4">
        <f>IF(BL100=0,"",IF((COUNTIFS(Investments_Clean!$A$2:$A$150,A100,Investments_Clean!$D$2:$D$150,"Grant/Philanthropic",Investments_Clean!$F$2:$F$150,"Accepted")+COUNTIFS(Investments_Clean!$A$2:$A$150,A100,Investments_Clean!$D$2:$D$150,"DFI/Impact",Investments_Clean!$F$2:$F$150,"Accepted"))&gt;0,1,0))</f>
        <v>0</v>
      </c>
      <c r="BS100" s="4"/>
      <c r="BT100" s="4">
        <v>40</v>
      </c>
      <c r="BU100" s="4">
        <v>25</v>
      </c>
      <c r="BV100" s="7">
        <v>7500</v>
      </c>
      <c r="BW100" s="4">
        <v>22.5</v>
      </c>
      <c r="BX100" s="4">
        <v>15</v>
      </c>
      <c r="BY100" s="7"/>
      <c r="BZ100" s="4"/>
      <c r="CA100" s="4">
        <v>3</v>
      </c>
      <c r="CB100" s="4">
        <v>39.200000000000003</v>
      </c>
      <c r="CC100" s="4">
        <f>IF(I100="","",IFERROR(IF(INDEX(Macro_Lookup!$B$2:$B$31,MATCH(I100,Macro_Lookup!$A$2:$A$31,0))="","",INDEX(Macro_Lookup!$B$2:$B$31,MATCH(I100,Macro_Lookup!$A$2:$A$31,0))),""))</f>
        <v>3.45</v>
      </c>
      <c r="CD100" s="4">
        <f>IF(I100="","",IFERROR(IF(INDEX(Macro_Lookup!$C$2:$C$31,MATCH(I100,Macro_Lookup!$A$2:$A$31,0))="","",INDEX(Macro_Lookup!$C$2:$C$31,MATCH(I100,Macro_Lookup!$A$2:$A$31,0))),""))</f>
        <v>5.69</v>
      </c>
      <c r="CE100" s="4" t="str">
        <f>IF(BJ100="","",IFERROR(IF(INDEX(Macro_Lookup!$B$2:$B$31,MATCH(BJ100,Macro_Lookup!$A$2:$A$31,0))="","",INDEX(Macro_Lookup!$B$2:$B$31,MATCH(BJ100,Macro_Lookup!$A$2:$A$31,0))),""))</f>
        <v/>
      </c>
      <c r="CF100" s="4" t="str">
        <f>IF(BJ100="","",IFERROR(IF(INDEX(Macro_Lookup!$C$2:$C$31,MATCH(BJ100,Macro_Lookup!$A$2:$A$31,0))="","",INDEX(Macro_Lookup!$C$2:$C$31,MATCH(BJ100,Macro_Lookup!$A$2:$A$31,0))),""))</f>
        <v/>
      </c>
      <c r="CG100" s="4">
        <v>1</v>
      </c>
    </row>
    <row r="101" spans="1:85" x14ac:dyDescent="0.3">
      <c r="A101" s="4" t="s">
        <v>554</v>
      </c>
      <c r="B101" s="4" t="s">
        <v>555</v>
      </c>
      <c r="C101" s="4" t="s">
        <v>87</v>
      </c>
      <c r="D101" s="4" t="s">
        <v>88</v>
      </c>
      <c r="E101" s="4">
        <v>0</v>
      </c>
      <c r="F101" s="4" t="s">
        <v>108</v>
      </c>
      <c r="G101" s="4"/>
      <c r="H101" s="4"/>
      <c r="I101" s="5">
        <v>2021</v>
      </c>
      <c r="J101" s="4"/>
      <c r="K101" s="4" t="s">
        <v>90</v>
      </c>
      <c r="L101" s="6">
        <v>46295</v>
      </c>
      <c r="M101" s="4">
        <f t="shared" si="18"/>
        <v>68</v>
      </c>
      <c r="N101" s="4">
        <f t="shared" si="19"/>
        <v>5.67</v>
      </c>
      <c r="O101" s="4" t="s">
        <v>328</v>
      </c>
      <c r="P101" s="4" t="s">
        <v>323</v>
      </c>
      <c r="Q101" s="4" t="s">
        <v>556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1</v>
      </c>
      <c r="X101" s="4" t="s">
        <v>465</v>
      </c>
      <c r="Y101" s="4">
        <v>3</v>
      </c>
      <c r="Z101" s="4">
        <v>1</v>
      </c>
      <c r="AA101" s="4">
        <v>0</v>
      </c>
      <c r="AB101" s="4" t="s">
        <v>557</v>
      </c>
      <c r="AC101" s="4"/>
      <c r="AD101" s="7"/>
      <c r="AE101" s="4"/>
      <c r="AF101" s="4">
        <f>IF(SUMIF(Founders_Clean!$A$2:$A$159,A101,Founders_Clean!$C$2:$C$159)=0,"",SUMIF(Founders_Clean!$A$2:$A$159,A101,Founders_Clean!$C$2:$C$159))</f>
        <v>1</v>
      </c>
      <c r="AG101" s="4">
        <f>IF(AF101="","",SUMIF(Founders_Clean!$A$2:$A$159,A101,Founders_Clean!$D$2:$D$159))</f>
        <v>1</v>
      </c>
      <c r="AH101" s="4">
        <f>IF(AF101="","",SUMIF(Founders_Clean!$A$2:$A$159,A101,Founders_Clean!$E$2:$E$159))</f>
        <v>0</v>
      </c>
      <c r="AI101" s="8">
        <f t="shared" si="20"/>
        <v>0</v>
      </c>
      <c r="AJ101" s="4">
        <f t="shared" si="21"/>
        <v>0</v>
      </c>
      <c r="AK101" s="8">
        <f t="shared" si="16"/>
        <v>0</v>
      </c>
      <c r="AL101" s="4"/>
      <c r="AM101" s="4">
        <v>2</v>
      </c>
      <c r="AN101" s="4" t="s">
        <v>96</v>
      </c>
      <c r="AO101" s="4">
        <v>1</v>
      </c>
      <c r="AP101" s="8">
        <v>1</v>
      </c>
      <c r="AQ101" s="4"/>
      <c r="AR101" s="4">
        <v>30</v>
      </c>
      <c r="AS101" s="4">
        <v>30</v>
      </c>
      <c r="AT101" s="7">
        <v>125.5</v>
      </c>
      <c r="AU101" s="4" t="s">
        <v>126</v>
      </c>
      <c r="AV101" s="4" t="s">
        <v>118</v>
      </c>
      <c r="AW101" s="4"/>
      <c r="AX101" s="4" t="s">
        <v>99</v>
      </c>
      <c r="AY101" s="4" t="s">
        <v>100</v>
      </c>
      <c r="AZ101" s="4"/>
      <c r="BA101" s="4">
        <v>0</v>
      </c>
      <c r="BB101" s="4">
        <v>0</v>
      </c>
      <c r="BC101" s="4">
        <v>0</v>
      </c>
      <c r="BD101" s="5"/>
      <c r="BE101" s="4"/>
      <c r="BF101" s="4">
        <f t="shared" si="22"/>
        <v>68</v>
      </c>
      <c r="BG101" s="4">
        <v>1</v>
      </c>
      <c r="BH101" s="7"/>
      <c r="BI101" s="4" t="s">
        <v>105</v>
      </c>
      <c r="BJ101" s="5"/>
      <c r="BK101" s="4">
        <v>0</v>
      </c>
      <c r="BL101" s="4">
        <f>COUNTIFS(Investments_Clean!$A$2:$A$150,A101,Investments_Clean!$F$2:$F$150,"Accepted")</f>
        <v>0</v>
      </c>
      <c r="BM101" s="4" t="str">
        <f>IF(BL101=0,"",IF((COUNTIFS(Investments_Clean!$A$2:$A$150,A101,Investments_Clean!$D$2:$D$150,"VC/PE",Investments_Clean!$F$2:$F$150,"Accepted"))&gt;0,1,0))</f>
        <v/>
      </c>
      <c r="BN101" s="4" t="str">
        <f>IF(BL101=0,"",IF((COUNTIFS(Investments_Clean!$A$2:$A$150,A101,Investments_Clean!$D$2:$D$150,"Angel",Investments_Clean!$F$2:$F$150,"Accepted"))&gt;0,1,0))</f>
        <v/>
      </c>
      <c r="BO101" s="4" t="str">
        <f>IF(BL101=0,"",IF((COUNTIFS(Investments_Clean!$A$2:$A$150,A101,Investments_Clean!$D$2:$D$150,"Accelerator",Investments_Clean!$F$2:$F$150,"Accepted"))&gt;0,1,0))</f>
        <v/>
      </c>
      <c r="BP101" s="4" t="str">
        <f>IF(BL101=0,"",IF((COUNTIFS(Investments_Clean!$A$2:$A$150,A101,Investments_Clean!$D$2:$D$150,"Corporate",Investments_Clean!$F$2:$F$150,"Accepted"))&gt;0,1,0))</f>
        <v/>
      </c>
      <c r="BQ101" s="4" t="str">
        <f>IF(BL101=0,"",IF((COUNTIFS(Investments_Clean!$A$2:$A$150,A101,Investments_Clean!$D$2:$D$150,"Government",Investments_Clean!$F$2:$F$150,"Accepted"))&gt;0,1,0))</f>
        <v/>
      </c>
      <c r="BR101" s="4" t="str">
        <f>IF(BL101=0,"",IF((COUNTIFS(Investments_Clean!$A$2:$A$150,A101,Investments_Clean!$D$2:$D$150,"Grant/Philanthropic",Investments_Clean!$F$2:$F$150,"Accepted")+COUNTIFS(Investments_Clean!$A$2:$A$150,A101,Investments_Clean!$D$2:$D$150,"DFI/Impact",Investments_Clean!$F$2:$F$150,"Accepted"))&gt;0,1,0))</f>
        <v/>
      </c>
      <c r="BS101" s="4"/>
      <c r="BT101" s="4">
        <v>30</v>
      </c>
      <c r="BU101" s="4">
        <v>15</v>
      </c>
      <c r="BV101" s="7">
        <v>15000</v>
      </c>
      <c r="BW101" s="4">
        <v>32.5</v>
      </c>
      <c r="BX101" s="4">
        <v>20</v>
      </c>
      <c r="BY101" s="7"/>
      <c r="BZ101" s="4">
        <v>3.9</v>
      </c>
      <c r="CA101" s="4">
        <v>3</v>
      </c>
      <c r="CB101" s="4">
        <v>58.3</v>
      </c>
      <c r="CC101" s="4">
        <f>IF(I101="","",IFERROR(IF(INDEX(Macro_Lookup!$B$2:$B$31,MATCH(I101,Macro_Lookup!$A$2:$A$31,0))="","",INDEX(Macro_Lookup!$B$2:$B$31,MATCH(I101,Macro_Lookup!$A$2:$A$31,0))),""))</f>
        <v>6.94</v>
      </c>
      <c r="CD101" s="4">
        <f>IF(I101="","",IFERROR(IF(INDEX(Macro_Lookup!$C$2:$C$31,MATCH(I101,Macro_Lookup!$A$2:$A$31,0))="","",INDEX(Macro_Lookup!$C$2:$C$31,MATCH(I101,Macro_Lookup!$A$2:$A$31,0))),""))</f>
        <v>5.55</v>
      </c>
      <c r="CE101" s="4" t="str">
        <f>IF(BJ101="","",IFERROR(IF(INDEX(Macro_Lookup!$B$2:$B$31,MATCH(BJ101,Macro_Lookup!$A$2:$A$31,0))="","",INDEX(Macro_Lookup!$B$2:$B$31,MATCH(BJ101,Macro_Lookup!$A$2:$A$31,0))),""))</f>
        <v/>
      </c>
      <c r="CF101" s="4" t="str">
        <f>IF(BJ101="","",IFERROR(IF(INDEX(Macro_Lookup!$C$2:$C$31,MATCH(BJ101,Macro_Lookup!$A$2:$A$31,0))="","",INDEX(Macro_Lookup!$C$2:$C$31,MATCH(BJ101,Macro_Lookup!$A$2:$A$31,0))),""))</f>
        <v/>
      </c>
      <c r="CG101" s="4">
        <v>1</v>
      </c>
    </row>
  </sheetData>
  <autoFilter ref="A1:CG1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10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56" width="16" customWidth="1"/>
  </cols>
  <sheetData>
    <row r="1" spans="1:56" ht="42" customHeight="1" x14ac:dyDescent="0.3">
      <c r="A1" s="1" t="s">
        <v>0</v>
      </c>
      <c r="B1" s="2" t="s">
        <v>54</v>
      </c>
      <c r="C1" s="2" t="s">
        <v>57</v>
      </c>
      <c r="D1" s="2" t="s">
        <v>62</v>
      </c>
      <c r="E1" s="2" t="s">
        <v>58</v>
      </c>
      <c r="F1" s="2" t="s">
        <v>52</v>
      </c>
      <c r="G1" s="2" t="s">
        <v>13</v>
      </c>
      <c r="H1" s="2" t="s">
        <v>24</v>
      </c>
      <c r="I1" s="2" t="s">
        <v>38</v>
      </c>
      <c r="J1" s="2" t="s">
        <v>31</v>
      </c>
      <c r="K1" s="2" t="s">
        <v>34</v>
      </c>
      <c r="L1" s="2" t="s">
        <v>43</v>
      </c>
      <c r="M1" s="2" t="s">
        <v>80</v>
      </c>
      <c r="N1" s="2" t="s">
        <v>81</v>
      </c>
      <c r="O1" s="2" t="s">
        <v>79</v>
      </c>
      <c r="P1" s="2" t="s">
        <v>558</v>
      </c>
      <c r="Q1" s="2" t="s">
        <v>559</v>
      </c>
      <c r="R1" s="2" t="s">
        <v>560</v>
      </c>
      <c r="S1" s="2" t="s">
        <v>561</v>
      </c>
      <c r="T1" s="2" t="s">
        <v>562</v>
      </c>
      <c r="U1" s="2" t="s">
        <v>563</v>
      </c>
      <c r="V1" s="2" t="s">
        <v>564</v>
      </c>
      <c r="W1" s="2" t="s">
        <v>565</v>
      </c>
      <c r="X1" s="2" t="s">
        <v>566</v>
      </c>
      <c r="Y1" s="2" t="s">
        <v>567</v>
      </c>
      <c r="Z1" s="2" t="s">
        <v>568</v>
      </c>
      <c r="AA1" s="2" t="s">
        <v>26</v>
      </c>
      <c r="AB1" s="2" t="s">
        <v>569</v>
      </c>
      <c r="AC1" s="2" t="s">
        <v>28</v>
      </c>
      <c r="AD1" s="2" t="s">
        <v>570</v>
      </c>
      <c r="AE1" s="2" t="s">
        <v>40</v>
      </c>
      <c r="AF1" s="2" t="s">
        <v>571</v>
      </c>
      <c r="AG1" s="2" t="s">
        <v>42</v>
      </c>
      <c r="AH1" s="2" t="s">
        <v>572</v>
      </c>
      <c r="AI1" s="2" t="s">
        <v>35</v>
      </c>
      <c r="AJ1" s="2" t="s">
        <v>573</v>
      </c>
      <c r="AK1" s="2" t="s">
        <v>574</v>
      </c>
      <c r="AL1" s="2" t="s">
        <v>17</v>
      </c>
      <c r="AM1" s="2" t="s">
        <v>18</v>
      </c>
      <c r="AN1" s="2" t="s">
        <v>19</v>
      </c>
      <c r="AO1" s="2" t="s">
        <v>20</v>
      </c>
      <c r="AP1" s="2" t="s">
        <v>21</v>
      </c>
      <c r="AQ1" s="2" t="s">
        <v>22</v>
      </c>
      <c r="AR1" s="2" t="s">
        <v>4</v>
      </c>
      <c r="AS1" s="2" t="s">
        <v>575</v>
      </c>
      <c r="AT1" s="2" t="s">
        <v>576</v>
      </c>
      <c r="AU1" s="2" t="s">
        <v>577</v>
      </c>
      <c r="AV1" s="2" t="s">
        <v>578</v>
      </c>
      <c r="AW1" s="2" t="s">
        <v>579</v>
      </c>
      <c r="AX1" s="2" t="s">
        <v>580</v>
      </c>
      <c r="AY1" s="2" t="s">
        <v>581</v>
      </c>
      <c r="AZ1" s="2" t="s">
        <v>582</v>
      </c>
      <c r="BA1" s="2" t="s">
        <v>583</v>
      </c>
      <c r="BB1" s="2" t="s">
        <v>584</v>
      </c>
      <c r="BC1" s="2" t="s">
        <v>585</v>
      </c>
      <c r="BD1" s="2" t="s">
        <v>586</v>
      </c>
    </row>
    <row r="2" spans="1:56" x14ac:dyDescent="0.3">
      <c r="A2" s="4" t="s">
        <v>85</v>
      </c>
      <c r="B2" s="4">
        <v>0</v>
      </c>
      <c r="C2" s="4">
        <v>200</v>
      </c>
      <c r="D2" s="4">
        <v>1</v>
      </c>
      <c r="E2" s="4">
        <v>1</v>
      </c>
      <c r="F2" s="4">
        <v>0</v>
      </c>
      <c r="G2" s="4">
        <v>16.670000000000002</v>
      </c>
      <c r="H2" s="4">
        <v>3</v>
      </c>
      <c r="I2" s="4">
        <v>2</v>
      </c>
      <c r="J2" s="4">
        <v>2</v>
      </c>
      <c r="K2" s="4">
        <v>0</v>
      </c>
      <c r="L2" s="4">
        <v>25</v>
      </c>
      <c r="M2" s="4">
        <v>5.57</v>
      </c>
      <c r="N2" s="4">
        <v>7.3</v>
      </c>
      <c r="O2" s="4">
        <v>54.4</v>
      </c>
      <c r="P2" s="4">
        <v>3.2433000000000001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1</v>
      </c>
      <c r="Z2" s="4">
        <v>0</v>
      </c>
      <c r="AA2" s="4">
        <v>0</v>
      </c>
      <c r="AB2" s="4">
        <v>0</v>
      </c>
      <c r="AC2" s="4">
        <v>1</v>
      </c>
      <c r="AD2" s="4">
        <v>0</v>
      </c>
      <c r="AE2" s="4">
        <v>1</v>
      </c>
      <c r="AF2" s="4">
        <v>0</v>
      </c>
      <c r="AG2" s="4">
        <v>1</v>
      </c>
      <c r="AH2" s="4">
        <v>0</v>
      </c>
      <c r="AI2" s="4">
        <v>0</v>
      </c>
      <c r="AJ2" s="4">
        <v>0</v>
      </c>
      <c r="AK2" s="4">
        <v>16.1180957509583</v>
      </c>
      <c r="AL2" s="4">
        <v>1</v>
      </c>
      <c r="AM2" s="4">
        <v>1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1</v>
      </c>
      <c r="AT2" s="4">
        <v>0</v>
      </c>
      <c r="AU2" s="4">
        <v>0</v>
      </c>
      <c r="AV2" s="4">
        <v>0</v>
      </c>
      <c r="AW2" s="4">
        <v>1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1</v>
      </c>
      <c r="BD2" s="4">
        <v>1</v>
      </c>
    </row>
    <row r="3" spans="1:56" x14ac:dyDescent="0.3">
      <c r="A3" s="4" t="s">
        <v>102</v>
      </c>
      <c r="B3" s="4">
        <v>0</v>
      </c>
      <c r="C3" s="4">
        <v>92</v>
      </c>
      <c r="D3" s="4">
        <v>1</v>
      </c>
      <c r="E3" s="4">
        <v>1</v>
      </c>
      <c r="F3" s="4">
        <v>0</v>
      </c>
      <c r="G3" s="4">
        <v>7.67</v>
      </c>
      <c r="H3" s="4">
        <v>3</v>
      </c>
      <c r="I3" s="4">
        <v>2</v>
      </c>
      <c r="J3" s="4">
        <v>1</v>
      </c>
      <c r="K3" s="4">
        <v>0</v>
      </c>
      <c r="L3" s="4">
        <v>11</v>
      </c>
      <c r="M3" s="4">
        <v>7.88</v>
      </c>
      <c r="N3" s="4">
        <v>5.5</v>
      </c>
      <c r="O3" s="4">
        <v>54.4</v>
      </c>
      <c r="P3" s="4">
        <v>3.0004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</v>
      </c>
      <c r="Z3" s="4">
        <v>0</v>
      </c>
      <c r="AA3" s="4">
        <v>0</v>
      </c>
      <c r="AB3" s="4">
        <v>1</v>
      </c>
      <c r="AC3" s="4">
        <v>0</v>
      </c>
      <c r="AD3" s="4">
        <v>1</v>
      </c>
      <c r="AE3" s="4">
        <v>0</v>
      </c>
      <c r="AF3" s="4">
        <v>0</v>
      </c>
      <c r="AG3" s="4">
        <v>1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1</v>
      </c>
      <c r="AT3" s="4">
        <v>0</v>
      </c>
      <c r="AU3" s="4">
        <v>0</v>
      </c>
      <c r="AV3" s="4">
        <v>0</v>
      </c>
      <c r="AW3" s="4">
        <v>1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1</v>
      </c>
      <c r="BD3" s="4">
        <v>1</v>
      </c>
    </row>
    <row r="4" spans="1:56" x14ac:dyDescent="0.3">
      <c r="A4" s="4" t="s">
        <v>106</v>
      </c>
      <c r="B4" s="4">
        <v>0</v>
      </c>
      <c r="C4" s="4">
        <v>188</v>
      </c>
      <c r="D4" s="4">
        <v>0</v>
      </c>
      <c r="E4" s="4">
        <v>0</v>
      </c>
      <c r="F4" s="4">
        <v>0</v>
      </c>
      <c r="G4" s="4">
        <v>15.67</v>
      </c>
      <c r="H4" s="4">
        <v>3</v>
      </c>
      <c r="I4" s="4">
        <v>2</v>
      </c>
      <c r="J4" s="4">
        <v>1</v>
      </c>
      <c r="K4" s="4">
        <v>0</v>
      </c>
      <c r="L4" s="4">
        <v>30</v>
      </c>
      <c r="M4" s="4">
        <v>6.46</v>
      </c>
      <c r="N4" s="4">
        <v>11.4</v>
      </c>
      <c r="O4" s="4">
        <v>54.4</v>
      </c>
      <c r="P4" s="4">
        <v>2.1021000000000001</v>
      </c>
      <c r="Q4" s="4">
        <v>0</v>
      </c>
      <c r="R4" s="4">
        <v>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</v>
      </c>
      <c r="Z4" s="4">
        <v>1</v>
      </c>
      <c r="AA4" s="4">
        <v>0</v>
      </c>
      <c r="AB4" s="4">
        <v>1</v>
      </c>
      <c r="AC4" s="4">
        <v>0</v>
      </c>
      <c r="AD4" s="4">
        <v>1</v>
      </c>
      <c r="AE4" s="4">
        <v>0</v>
      </c>
      <c r="AF4" s="4">
        <v>1</v>
      </c>
      <c r="AG4" s="4">
        <v>0</v>
      </c>
      <c r="AH4" s="4">
        <v>1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1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1</v>
      </c>
      <c r="BD4" s="4">
        <v>1</v>
      </c>
    </row>
    <row r="5" spans="1:56" x14ac:dyDescent="0.3">
      <c r="A5" s="4" t="s">
        <v>113</v>
      </c>
      <c r="B5" s="4">
        <v>0</v>
      </c>
      <c r="C5" s="4">
        <v>200</v>
      </c>
      <c r="D5" s="4">
        <v>1</v>
      </c>
      <c r="E5" s="4">
        <v>1</v>
      </c>
      <c r="F5" s="4">
        <v>0</v>
      </c>
      <c r="G5" s="4">
        <v>16.670000000000002</v>
      </c>
      <c r="H5" s="4">
        <v>3</v>
      </c>
      <c r="I5" s="4">
        <v>3</v>
      </c>
      <c r="J5" s="4">
        <v>1</v>
      </c>
      <c r="K5" s="4">
        <v>0</v>
      </c>
      <c r="L5" s="4">
        <v>23</v>
      </c>
      <c r="M5" s="4">
        <v>5.57</v>
      </c>
      <c r="N5" s="4">
        <v>7.3</v>
      </c>
      <c r="O5" s="4">
        <v>54.4</v>
      </c>
      <c r="P5" s="4">
        <v>2.4165999999999999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</v>
      </c>
      <c r="Z5" s="4">
        <v>0</v>
      </c>
      <c r="AA5" s="4">
        <v>0</v>
      </c>
      <c r="AB5" s="4">
        <v>0</v>
      </c>
      <c r="AC5" s="4">
        <v>0</v>
      </c>
      <c r="AD5" s="4">
        <v>1</v>
      </c>
      <c r="AE5" s="4">
        <v>1</v>
      </c>
      <c r="AF5" s="4">
        <v>0</v>
      </c>
      <c r="AG5" s="4">
        <v>1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1</v>
      </c>
      <c r="AT5" s="4">
        <v>0</v>
      </c>
      <c r="AU5" s="4">
        <v>0</v>
      </c>
      <c r="AV5" s="4">
        <v>0</v>
      </c>
      <c r="AW5" s="4">
        <v>1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1</v>
      </c>
      <c r="BD5" s="4">
        <v>1</v>
      </c>
    </row>
    <row r="6" spans="1:56" x14ac:dyDescent="0.3">
      <c r="A6" s="4" t="s">
        <v>119</v>
      </c>
      <c r="B6" s="4">
        <v>0</v>
      </c>
      <c r="C6" s="4">
        <v>68</v>
      </c>
      <c r="D6" s="4">
        <v>0</v>
      </c>
      <c r="E6" s="4">
        <v>0</v>
      </c>
      <c r="F6" s="4">
        <v>0</v>
      </c>
      <c r="G6" s="4">
        <v>5.67</v>
      </c>
      <c r="H6" s="4">
        <v>3</v>
      </c>
      <c r="I6" s="4">
        <v>2</v>
      </c>
      <c r="J6" s="4">
        <v>1</v>
      </c>
      <c r="K6" s="4">
        <v>0</v>
      </c>
      <c r="L6" s="4">
        <v>20</v>
      </c>
      <c r="M6" s="4">
        <v>6.94</v>
      </c>
      <c r="N6" s="4">
        <v>5.55</v>
      </c>
      <c r="O6" s="4">
        <v>54.4</v>
      </c>
      <c r="P6" s="4">
        <v>2.5453000000000001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0</v>
      </c>
      <c r="AA6" s="4">
        <v>0</v>
      </c>
      <c r="AB6" s="4">
        <v>1</v>
      </c>
      <c r="AC6" s="4">
        <v>0</v>
      </c>
      <c r="AD6" s="4">
        <v>1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1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1</v>
      </c>
      <c r="BD6" s="4">
        <v>1</v>
      </c>
    </row>
    <row r="7" spans="1:56" x14ac:dyDescent="0.3">
      <c r="A7" s="4" t="s">
        <v>123</v>
      </c>
      <c r="B7" s="4">
        <v>0</v>
      </c>
      <c r="C7" s="4">
        <v>128</v>
      </c>
      <c r="D7" s="4">
        <v>1</v>
      </c>
      <c r="E7" s="4">
        <v>1</v>
      </c>
      <c r="F7" s="4">
        <v>0</v>
      </c>
      <c r="G7" s="4">
        <v>10.67</v>
      </c>
      <c r="H7" s="4">
        <v>3</v>
      </c>
      <c r="I7" s="4">
        <v>2</v>
      </c>
      <c r="J7" s="4">
        <v>2</v>
      </c>
      <c r="K7" s="4">
        <v>0.5</v>
      </c>
      <c r="L7" s="4">
        <v>25</v>
      </c>
      <c r="M7" s="4">
        <v>7.11</v>
      </c>
      <c r="N7" s="4">
        <v>5.51</v>
      </c>
      <c r="O7" s="4">
        <v>54.4</v>
      </c>
      <c r="P7" s="4">
        <v>2.1789999999999998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</v>
      </c>
      <c r="Z7" s="4">
        <v>0</v>
      </c>
      <c r="AA7" s="4">
        <v>0</v>
      </c>
      <c r="AB7" s="4">
        <v>1</v>
      </c>
      <c r="AC7" s="4">
        <v>0</v>
      </c>
      <c r="AD7" s="4">
        <v>1</v>
      </c>
      <c r="AE7" s="4">
        <v>1</v>
      </c>
      <c r="AF7" s="4">
        <v>0</v>
      </c>
      <c r="AG7" s="4">
        <v>1</v>
      </c>
      <c r="AH7" s="4">
        <v>0</v>
      </c>
      <c r="AI7" s="4">
        <v>1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1</v>
      </c>
      <c r="AT7" s="4">
        <v>0</v>
      </c>
      <c r="AU7" s="4">
        <v>0</v>
      </c>
      <c r="AV7" s="4">
        <v>0</v>
      </c>
      <c r="AW7" s="4">
        <v>1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1</v>
      </c>
      <c r="BD7" s="4">
        <v>1</v>
      </c>
    </row>
    <row r="8" spans="1:56" x14ac:dyDescent="0.3">
      <c r="A8" s="4" t="s">
        <v>127</v>
      </c>
      <c r="B8" s="4">
        <v>0</v>
      </c>
      <c r="C8" s="4">
        <v>166</v>
      </c>
      <c r="D8" s="4"/>
      <c r="E8" s="4"/>
      <c r="F8" s="4">
        <v>1</v>
      </c>
      <c r="G8" s="4">
        <v>13.83</v>
      </c>
      <c r="H8" s="4">
        <v>3</v>
      </c>
      <c r="I8" s="4">
        <v>0</v>
      </c>
      <c r="J8" s="4">
        <v>2</v>
      </c>
      <c r="K8" s="4">
        <v>0</v>
      </c>
      <c r="L8" s="4">
        <v>15</v>
      </c>
      <c r="M8" s="4">
        <v>6.52</v>
      </c>
      <c r="N8" s="4">
        <v>6.22</v>
      </c>
      <c r="O8" s="4">
        <v>54.4</v>
      </c>
      <c r="P8" s="4">
        <v>2.3031999999999999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</v>
      </c>
      <c r="Z8" s="4">
        <v>0</v>
      </c>
      <c r="AA8" s="4">
        <v>0</v>
      </c>
      <c r="AB8" s="4">
        <v>1</v>
      </c>
      <c r="AC8" s="4">
        <v>0</v>
      </c>
      <c r="AD8" s="4">
        <v>0</v>
      </c>
      <c r="AE8" s="4">
        <v>0</v>
      </c>
      <c r="AF8" s="4">
        <v>0</v>
      </c>
      <c r="AG8" s="4">
        <v>1</v>
      </c>
      <c r="AH8" s="4">
        <v>0</v>
      </c>
      <c r="AI8" s="4">
        <v>0</v>
      </c>
      <c r="AJ8" s="4">
        <v>0</v>
      </c>
      <c r="AK8" s="4">
        <v>0</v>
      </c>
      <c r="AL8" s="4">
        <v>1</v>
      </c>
      <c r="AM8" s="4">
        <v>1</v>
      </c>
      <c r="AN8" s="4">
        <v>1</v>
      </c>
      <c r="AO8" s="4">
        <v>0</v>
      </c>
      <c r="AP8" s="4">
        <v>0</v>
      </c>
      <c r="AQ8" s="4">
        <v>1</v>
      </c>
      <c r="AR8" s="4">
        <v>0</v>
      </c>
      <c r="AS8" s="4">
        <v>1</v>
      </c>
      <c r="AT8" s="4">
        <v>0</v>
      </c>
      <c r="AU8" s="4">
        <v>0</v>
      </c>
      <c r="AV8" s="4">
        <v>0</v>
      </c>
      <c r="AW8" s="4">
        <v>1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1</v>
      </c>
      <c r="BD8" s="4">
        <v>0</v>
      </c>
    </row>
    <row r="9" spans="1:56" x14ac:dyDescent="0.3">
      <c r="A9" s="4" t="s">
        <v>121</v>
      </c>
      <c r="B9" s="4">
        <v>1</v>
      </c>
      <c r="C9" s="4">
        <v>102</v>
      </c>
      <c r="D9" s="4">
        <v>0</v>
      </c>
      <c r="E9" s="4">
        <v>0</v>
      </c>
      <c r="F9" s="4">
        <v>0</v>
      </c>
      <c r="G9" s="4">
        <v>13.67</v>
      </c>
      <c r="H9" s="4">
        <v>3</v>
      </c>
      <c r="I9" s="4">
        <v>2</v>
      </c>
      <c r="J9" s="4">
        <v>1</v>
      </c>
      <c r="K9" s="4">
        <v>0</v>
      </c>
      <c r="L9" s="4">
        <v>13</v>
      </c>
      <c r="M9" s="4">
        <v>6.01</v>
      </c>
      <c r="N9" s="4">
        <v>7.53</v>
      </c>
      <c r="O9" s="4">
        <v>54.4</v>
      </c>
      <c r="P9" s="4">
        <v>2.1789999999999998</v>
      </c>
      <c r="Q9" s="4">
        <v>0</v>
      </c>
      <c r="R9" s="4">
        <v>0</v>
      </c>
      <c r="S9" s="4">
        <v>1</v>
      </c>
      <c r="T9" s="4">
        <v>0</v>
      </c>
      <c r="U9" s="4">
        <v>1</v>
      </c>
      <c r="V9" s="4">
        <v>1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1</v>
      </c>
      <c r="AG9" s="4">
        <v>0</v>
      </c>
      <c r="AH9" s="4">
        <v>1</v>
      </c>
      <c r="AI9" s="4">
        <v>0</v>
      </c>
      <c r="AJ9" s="4">
        <v>1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1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1</v>
      </c>
      <c r="BD9" s="4">
        <v>1</v>
      </c>
    </row>
    <row r="10" spans="1:56" x14ac:dyDescent="0.3">
      <c r="A10" s="4" t="s">
        <v>140</v>
      </c>
      <c r="B10" s="4">
        <v>0</v>
      </c>
      <c r="C10" s="4">
        <v>140</v>
      </c>
      <c r="D10" s="4">
        <v>1</v>
      </c>
      <c r="E10" s="4">
        <v>1</v>
      </c>
      <c r="F10" s="4">
        <v>1</v>
      </c>
      <c r="G10" s="4">
        <v>11.67</v>
      </c>
      <c r="H10" s="4">
        <v>3</v>
      </c>
      <c r="I10" s="4">
        <v>1</v>
      </c>
      <c r="J10" s="4">
        <v>1</v>
      </c>
      <c r="K10" s="4">
        <v>0</v>
      </c>
      <c r="L10" s="4">
        <v>10</v>
      </c>
      <c r="M10" s="4">
        <v>6.55</v>
      </c>
      <c r="N10" s="4">
        <v>6.4</v>
      </c>
      <c r="O10" s="4">
        <v>54.4</v>
      </c>
      <c r="P10" s="4">
        <v>2.0043000000000002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1</v>
      </c>
      <c r="Z10" s="4">
        <v>0</v>
      </c>
      <c r="AA10" s="4">
        <v>0</v>
      </c>
      <c r="AB10" s="4">
        <v>1</v>
      </c>
      <c r="AC10" s="4">
        <v>0</v>
      </c>
      <c r="AD10" s="4">
        <v>1</v>
      </c>
      <c r="AE10" s="4">
        <v>1</v>
      </c>
      <c r="AF10" s="4">
        <v>0</v>
      </c>
      <c r="AG10" s="4">
        <v>1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1</v>
      </c>
      <c r="AT10" s="4">
        <v>0</v>
      </c>
      <c r="AU10" s="4">
        <v>0</v>
      </c>
      <c r="AV10" s="4">
        <v>0</v>
      </c>
      <c r="AW10" s="4">
        <v>1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1</v>
      </c>
      <c r="BD10" s="4">
        <v>1</v>
      </c>
    </row>
    <row r="11" spans="1:56" x14ac:dyDescent="0.3">
      <c r="A11" s="4" t="s">
        <v>146</v>
      </c>
      <c r="B11" s="4">
        <v>0</v>
      </c>
      <c r="C11" s="4">
        <v>200</v>
      </c>
      <c r="D11" s="4">
        <v>0</v>
      </c>
      <c r="E11" s="4">
        <v>0</v>
      </c>
      <c r="F11" s="4">
        <v>0</v>
      </c>
      <c r="G11" s="4">
        <v>16.670000000000002</v>
      </c>
      <c r="H11" s="4">
        <v>3</v>
      </c>
      <c r="I11" s="4">
        <v>2</v>
      </c>
      <c r="J11" s="4">
        <v>1</v>
      </c>
      <c r="K11" s="4">
        <v>0</v>
      </c>
      <c r="L11" s="4">
        <v>25</v>
      </c>
      <c r="M11" s="4">
        <v>5.57</v>
      </c>
      <c r="N11" s="4">
        <v>7.3</v>
      </c>
      <c r="O11" s="4">
        <v>54.4</v>
      </c>
      <c r="P11" s="4">
        <v>2.4409000000000001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</v>
      </c>
      <c r="Z11" s="4">
        <v>0</v>
      </c>
      <c r="AA11" s="4">
        <v>0</v>
      </c>
      <c r="AB11" s="4">
        <v>1</v>
      </c>
      <c r="AC11" s="4">
        <v>0</v>
      </c>
      <c r="AD11" s="4">
        <v>1</v>
      </c>
      <c r="AE11" s="4">
        <v>1</v>
      </c>
      <c r="AF11" s="4">
        <v>0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1</v>
      </c>
      <c r="AT11" s="4">
        <v>0</v>
      </c>
      <c r="AU11" s="4">
        <v>0</v>
      </c>
      <c r="AV11" s="4">
        <v>0</v>
      </c>
      <c r="AW11" s="4">
        <v>1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1</v>
      </c>
      <c r="BD11" s="4">
        <v>1</v>
      </c>
    </row>
    <row r="12" spans="1:56" x14ac:dyDescent="0.3">
      <c r="A12" s="4" t="s">
        <v>148</v>
      </c>
      <c r="B12" s="4">
        <v>0</v>
      </c>
      <c r="C12" s="4"/>
      <c r="D12" s="4">
        <v>1</v>
      </c>
      <c r="E12" s="4">
        <v>1</v>
      </c>
      <c r="F12" s="4">
        <v>0</v>
      </c>
      <c r="G12" s="4">
        <v>9.7100000000000009</v>
      </c>
      <c r="H12" s="4">
        <v>3</v>
      </c>
      <c r="I12" s="4">
        <v>2</v>
      </c>
      <c r="J12" s="4">
        <v>1</v>
      </c>
      <c r="K12" s="4">
        <v>0</v>
      </c>
      <c r="L12" s="4">
        <v>17</v>
      </c>
      <c r="M12" s="4">
        <v>6.55</v>
      </c>
      <c r="N12" s="4">
        <v>5.7</v>
      </c>
      <c r="O12" s="4">
        <v>54.4</v>
      </c>
      <c r="P12" s="4">
        <v>0.81289999999999996</v>
      </c>
      <c r="Q12" s="4">
        <v>1</v>
      </c>
      <c r="R12" s="4">
        <v>0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0</v>
      </c>
      <c r="AA12" s="4">
        <v>0</v>
      </c>
      <c r="AB12" s="4">
        <v>0</v>
      </c>
      <c r="AC12" s="4">
        <v>0</v>
      </c>
      <c r="AD12" s="4">
        <v>1</v>
      </c>
      <c r="AE12" s="4">
        <v>0</v>
      </c>
      <c r="AF12" s="4">
        <v>1</v>
      </c>
      <c r="AG12" s="4">
        <v>1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1</v>
      </c>
      <c r="AR12" s="4">
        <v>0</v>
      </c>
      <c r="AS12" s="4">
        <v>1</v>
      </c>
      <c r="AT12" s="4">
        <v>0</v>
      </c>
      <c r="AU12" s="4">
        <v>0</v>
      </c>
      <c r="AV12" s="4">
        <v>0</v>
      </c>
      <c r="AW12" s="4">
        <v>1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1</v>
      </c>
    </row>
    <row r="13" spans="1:56" x14ac:dyDescent="0.3">
      <c r="A13" s="4" t="s">
        <v>152</v>
      </c>
      <c r="B13" s="4">
        <v>0</v>
      </c>
      <c r="C13" s="4">
        <v>49</v>
      </c>
      <c r="D13" s="4"/>
      <c r="E13" s="4"/>
      <c r="F13" s="4">
        <v>0</v>
      </c>
      <c r="G13" s="4">
        <v>4.08</v>
      </c>
      <c r="H13" s="4">
        <v>3</v>
      </c>
      <c r="I13" s="4">
        <v>3</v>
      </c>
      <c r="J13" s="4">
        <v>3</v>
      </c>
      <c r="K13" s="4">
        <v>0</v>
      </c>
      <c r="L13" s="4">
        <v>20</v>
      </c>
      <c r="M13" s="4">
        <v>7.1</v>
      </c>
      <c r="N13" s="4">
        <v>7.7</v>
      </c>
      <c r="O13" s="4">
        <v>54.4</v>
      </c>
      <c r="P13" s="4">
        <v>1.4983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1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1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1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0</v>
      </c>
      <c r="AU13" s="4">
        <v>0</v>
      </c>
      <c r="AV13" s="4">
        <v>0</v>
      </c>
      <c r="AW13" s="4">
        <v>1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1</v>
      </c>
      <c r="BD13" s="4">
        <v>0</v>
      </c>
    </row>
    <row r="14" spans="1:56" x14ac:dyDescent="0.3">
      <c r="A14" s="4" t="s">
        <v>158</v>
      </c>
      <c r="B14" s="4">
        <v>0</v>
      </c>
      <c r="C14" s="4">
        <v>156</v>
      </c>
      <c r="D14" s="4">
        <v>1</v>
      </c>
      <c r="E14" s="4">
        <v>1</v>
      </c>
      <c r="F14" s="4">
        <v>0</v>
      </c>
      <c r="G14" s="4">
        <v>13</v>
      </c>
      <c r="H14" s="4">
        <v>3</v>
      </c>
      <c r="I14" s="4">
        <v>2</v>
      </c>
      <c r="J14" s="4">
        <v>3</v>
      </c>
      <c r="K14" s="4">
        <v>0</v>
      </c>
      <c r="L14" s="4">
        <v>10</v>
      </c>
      <c r="M14" s="4">
        <v>6.01</v>
      </c>
      <c r="N14" s="4">
        <v>7.53</v>
      </c>
      <c r="O14" s="4">
        <v>54.4</v>
      </c>
      <c r="P14" s="4">
        <v>3.1905000000000001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</v>
      </c>
      <c r="Z14" s="4">
        <v>0</v>
      </c>
      <c r="AA14" s="4">
        <v>1</v>
      </c>
      <c r="AB14" s="4">
        <v>0</v>
      </c>
      <c r="AC14" s="4">
        <v>0</v>
      </c>
      <c r="AD14" s="4">
        <v>1</v>
      </c>
      <c r="AE14" s="4">
        <v>1</v>
      </c>
      <c r="AF14" s="4">
        <v>0</v>
      </c>
      <c r="AG14" s="4">
        <v>1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1</v>
      </c>
      <c r="AT14" s="4">
        <v>0</v>
      </c>
      <c r="AU14" s="4">
        <v>1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1</v>
      </c>
      <c r="BD14" s="4">
        <v>1</v>
      </c>
    </row>
    <row r="15" spans="1:56" x14ac:dyDescent="0.3">
      <c r="A15" s="4" t="s">
        <v>164</v>
      </c>
      <c r="B15" s="4">
        <v>0</v>
      </c>
      <c r="C15" s="4">
        <v>176</v>
      </c>
      <c r="D15" s="4">
        <v>1</v>
      </c>
      <c r="E15" s="4"/>
      <c r="F15" s="4">
        <v>1</v>
      </c>
      <c r="G15" s="4">
        <v>14.67</v>
      </c>
      <c r="H15" s="4">
        <v>3</v>
      </c>
      <c r="I15" s="4">
        <v>2</v>
      </c>
      <c r="J15" s="4">
        <v>2</v>
      </c>
      <c r="K15" s="4">
        <v>0</v>
      </c>
      <c r="L15" s="4">
        <v>13</v>
      </c>
      <c r="M15" s="4">
        <v>6.52</v>
      </c>
      <c r="N15" s="4">
        <v>6.22</v>
      </c>
      <c r="O15" s="4">
        <v>54.4</v>
      </c>
      <c r="P15" s="4">
        <v>3.0004</v>
      </c>
      <c r="Q15" s="4">
        <v>0</v>
      </c>
      <c r="R15" s="4">
        <v>0</v>
      </c>
      <c r="S15" s="4">
        <v>1</v>
      </c>
      <c r="T15" s="4">
        <v>0</v>
      </c>
      <c r="U15" s="4">
        <v>1</v>
      </c>
      <c r="V15" s="4">
        <v>1</v>
      </c>
      <c r="W15" s="4">
        <v>0</v>
      </c>
      <c r="X15" s="4">
        <v>0</v>
      </c>
      <c r="Y15" s="4">
        <v>1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1</v>
      </c>
      <c r="AG15" s="4">
        <v>0</v>
      </c>
      <c r="AH15" s="4">
        <v>1</v>
      </c>
      <c r="AI15" s="4">
        <v>0</v>
      </c>
      <c r="AJ15" s="4">
        <v>1</v>
      </c>
      <c r="AK15" s="4">
        <v>0</v>
      </c>
      <c r="AL15" s="4">
        <v>0</v>
      </c>
      <c r="AM15" s="4">
        <v>0</v>
      </c>
      <c r="AN15" s="4">
        <v>1</v>
      </c>
      <c r="AO15" s="4">
        <v>0</v>
      </c>
      <c r="AP15" s="4">
        <v>0</v>
      </c>
      <c r="AQ15" s="4">
        <v>0</v>
      </c>
      <c r="AR15" s="4">
        <v>0</v>
      </c>
      <c r="AS15" s="4">
        <v>1</v>
      </c>
      <c r="AT15" s="4">
        <v>0</v>
      </c>
      <c r="AU15" s="4">
        <v>1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1</v>
      </c>
      <c r="BD15" s="4">
        <v>1</v>
      </c>
    </row>
    <row r="16" spans="1:56" x14ac:dyDescent="0.3">
      <c r="A16" s="4" t="s">
        <v>169</v>
      </c>
      <c r="B16" s="4">
        <v>0</v>
      </c>
      <c r="C16" s="4">
        <v>188</v>
      </c>
      <c r="D16" s="4"/>
      <c r="E16" s="4"/>
      <c r="F16" s="4">
        <v>0</v>
      </c>
      <c r="G16" s="4">
        <v>15.67</v>
      </c>
      <c r="H16" s="4">
        <v>3</v>
      </c>
      <c r="I16" s="4">
        <v>2</v>
      </c>
      <c r="J16" s="4">
        <v>1</v>
      </c>
      <c r="K16" s="4">
        <v>0</v>
      </c>
      <c r="L16" s="4">
        <v>25</v>
      </c>
      <c r="M16" s="4">
        <v>6.46</v>
      </c>
      <c r="N16" s="4">
        <v>11.4</v>
      </c>
      <c r="O16" s="4">
        <v>54.4</v>
      </c>
      <c r="P16" s="4">
        <v>1.8808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1</v>
      </c>
      <c r="Z16" s="4">
        <v>0</v>
      </c>
      <c r="AA16" s="4">
        <v>0</v>
      </c>
      <c r="AB16" s="4">
        <v>1</v>
      </c>
      <c r="AC16" s="4">
        <v>0</v>
      </c>
      <c r="AD16" s="4">
        <v>1</v>
      </c>
      <c r="AE16" s="4">
        <v>0</v>
      </c>
      <c r="AF16" s="4">
        <v>0</v>
      </c>
      <c r="AG16" s="4">
        <v>1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1</v>
      </c>
      <c r="AN16" s="4">
        <v>1</v>
      </c>
      <c r="AO16" s="4">
        <v>0</v>
      </c>
      <c r="AP16" s="4">
        <v>0</v>
      </c>
      <c r="AQ16" s="4">
        <v>0</v>
      </c>
      <c r="AR16" s="4">
        <v>0</v>
      </c>
      <c r="AS16" s="4">
        <v>1</v>
      </c>
      <c r="AT16" s="4">
        <v>0</v>
      </c>
      <c r="AU16" s="4">
        <v>1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1</v>
      </c>
      <c r="BD16" s="4">
        <v>0</v>
      </c>
    </row>
    <row r="17" spans="1:56" x14ac:dyDescent="0.3">
      <c r="A17" s="4" t="s">
        <v>172</v>
      </c>
      <c r="B17" s="4">
        <v>0</v>
      </c>
      <c r="C17" s="4">
        <v>176</v>
      </c>
      <c r="D17" s="4">
        <v>0</v>
      </c>
      <c r="E17" s="4">
        <v>0</v>
      </c>
      <c r="F17" s="4">
        <v>0</v>
      </c>
      <c r="G17" s="4">
        <v>14.67</v>
      </c>
      <c r="H17" s="4">
        <v>3</v>
      </c>
      <c r="I17" s="4">
        <v>2</v>
      </c>
      <c r="J17" s="4">
        <v>5</v>
      </c>
      <c r="K17" s="4">
        <v>0</v>
      </c>
      <c r="L17" s="4">
        <v>10</v>
      </c>
      <c r="M17" s="4">
        <v>6.52</v>
      </c>
      <c r="N17" s="4">
        <v>6.22</v>
      </c>
      <c r="O17" s="4">
        <v>54.4</v>
      </c>
      <c r="P17" s="4">
        <v>2.1789999999999998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</v>
      </c>
      <c r="Z17" s="4">
        <v>0</v>
      </c>
      <c r="AA17" s="4">
        <v>0</v>
      </c>
      <c r="AB17" s="4">
        <v>0</v>
      </c>
      <c r="AC17" s="4">
        <v>0</v>
      </c>
      <c r="AD17" s="4">
        <v>1</v>
      </c>
      <c r="AE17" s="4">
        <v>1</v>
      </c>
      <c r="AF17" s="4">
        <v>0</v>
      </c>
      <c r="AG17" s="4">
        <v>1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1</v>
      </c>
      <c r="AT17" s="4">
        <v>0</v>
      </c>
      <c r="AU17" s="4">
        <v>1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1</v>
      </c>
      <c r="BD17" s="4">
        <v>1</v>
      </c>
    </row>
    <row r="18" spans="1:56" x14ac:dyDescent="0.3">
      <c r="A18" s="4" t="s">
        <v>176</v>
      </c>
      <c r="B18" s="4">
        <v>0</v>
      </c>
      <c r="C18" s="4">
        <v>176</v>
      </c>
      <c r="D18" s="4">
        <v>1</v>
      </c>
      <c r="E18" s="4">
        <v>1</v>
      </c>
      <c r="F18" s="4">
        <v>1</v>
      </c>
      <c r="G18" s="4">
        <v>14.67</v>
      </c>
      <c r="H18" s="4">
        <v>3</v>
      </c>
      <c r="I18" s="4">
        <v>1</v>
      </c>
      <c r="J18" s="4">
        <v>1</v>
      </c>
      <c r="K18" s="4">
        <v>1</v>
      </c>
      <c r="L18" s="4">
        <v>13</v>
      </c>
      <c r="M18" s="4">
        <v>6.52</v>
      </c>
      <c r="N18" s="4">
        <v>6.22</v>
      </c>
      <c r="O18" s="4">
        <v>54.4</v>
      </c>
      <c r="P18" s="4">
        <v>2.6314000000000002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</v>
      </c>
      <c r="Z18" s="4">
        <v>0</v>
      </c>
      <c r="AA18" s="4">
        <v>0</v>
      </c>
      <c r="AB18" s="4">
        <v>0</v>
      </c>
      <c r="AC18" s="4">
        <v>0</v>
      </c>
      <c r="AD18" s="4">
        <v>1</v>
      </c>
      <c r="AE18" s="4">
        <v>0</v>
      </c>
      <c r="AF18" s="4">
        <v>0</v>
      </c>
      <c r="AG18" s="4">
        <v>0</v>
      </c>
      <c r="AH18" s="4">
        <v>0</v>
      </c>
      <c r="AI18" s="4">
        <v>1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1</v>
      </c>
      <c r="AT18" s="4">
        <v>0</v>
      </c>
      <c r="AU18" s="4">
        <v>1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1</v>
      </c>
      <c r="BD18" s="4">
        <v>1</v>
      </c>
    </row>
    <row r="19" spans="1:56" x14ac:dyDescent="0.3">
      <c r="A19" s="4" t="s">
        <v>181</v>
      </c>
      <c r="B19" s="4">
        <v>0</v>
      </c>
      <c r="C19" s="4">
        <v>128</v>
      </c>
      <c r="D19" s="4">
        <v>1</v>
      </c>
      <c r="E19" s="4">
        <v>1</v>
      </c>
      <c r="F19" s="4">
        <v>0</v>
      </c>
      <c r="G19" s="4">
        <v>10.67</v>
      </c>
      <c r="H19" s="4">
        <v>3</v>
      </c>
      <c r="I19" s="4">
        <v>2</v>
      </c>
      <c r="J19" s="4">
        <v>1</v>
      </c>
      <c r="K19" s="4">
        <v>0</v>
      </c>
      <c r="L19" s="4">
        <v>13</v>
      </c>
      <c r="M19" s="4">
        <v>7.11</v>
      </c>
      <c r="N19" s="4">
        <v>5.51</v>
      </c>
      <c r="O19" s="4">
        <v>54.4</v>
      </c>
      <c r="P19" s="4">
        <v>2.1789999999999998</v>
      </c>
      <c r="Q19" s="4">
        <v>0</v>
      </c>
      <c r="R19" s="4">
        <v>0</v>
      </c>
      <c r="S19" s="4">
        <v>1</v>
      </c>
      <c r="T19" s="4">
        <v>0</v>
      </c>
      <c r="U19" s="4">
        <v>0</v>
      </c>
      <c r="V19" s="4">
        <v>1</v>
      </c>
      <c r="W19" s="4">
        <v>0</v>
      </c>
      <c r="X19" s="4">
        <v>0</v>
      </c>
      <c r="Y19" s="4">
        <v>1</v>
      </c>
      <c r="Z19" s="4">
        <v>0</v>
      </c>
      <c r="AA19" s="4">
        <v>0</v>
      </c>
      <c r="AB19" s="4">
        <v>0</v>
      </c>
      <c r="AC19" s="4">
        <v>0</v>
      </c>
      <c r="AD19" s="4">
        <v>1</v>
      </c>
      <c r="AE19" s="4">
        <v>0</v>
      </c>
      <c r="AF19" s="4">
        <v>1</v>
      </c>
      <c r="AG19" s="4">
        <v>0</v>
      </c>
      <c r="AH19" s="4">
        <v>1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1</v>
      </c>
      <c r="AT19" s="4">
        <v>0</v>
      </c>
      <c r="AU19" s="4">
        <v>1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1</v>
      </c>
      <c r="BD19" s="4">
        <v>1</v>
      </c>
    </row>
    <row r="20" spans="1:56" x14ac:dyDescent="0.3">
      <c r="A20" s="4" t="s">
        <v>185</v>
      </c>
      <c r="B20" s="4">
        <v>0</v>
      </c>
      <c r="C20" s="4">
        <v>68</v>
      </c>
      <c r="D20" s="4">
        <v>1</v>
      </c>
      <c r="E20" s="4">
        <v>1</v>
      </c>
      <c r="F20" s="4">
        <v>0</v>
      </c>
      <c r="G20" s="4">
        <v>5.67</v>
      </c>
      <c r="H20" s="4">
        <v>3</v>
      </c>
      <c r="I20" s="4">
        <v>2</v>
      </c>
      <c r="J20" s="4">
        <v>2</v>
      </c>
      <c r="K20" s="4">
        <v>0.5</v>
      </c>
      <c r="L20" s="4">
        <v>20</v>
      </c>
      <c r="M20" s="4">
        <v>6.94</v>
      </c>
      <c r="N20" s="4">
        <v>5.55</v>
      </c>
      <c r="O20" s="4">
        <v>54.4</v>
      </c>
      <c r="P20" s="4">
        <v>2.1789999999999998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0</v>
      </c>
      <c r="AF20" s="4">
        <v>0</v>
      </c>
      <c r="AG20" s="4">
        <v>1</v>
      </c>
      <c r="AH20" s="4">
        <v>0</v>
      </c>
      <c r="AI20" s="4">
        <v>1</v>
      </c>
      <c r="AJ20" s="4">
        <v>0</v>
      </c>
      <c r="AK20" s="4">
        <v>0</v>
      </c>
      <c r="AL20" s="4">
        <v>1</v>
      </c>
      <c r="AM20" s="4">
        <v>0</v>
      </c>
      <c r="AN20" s="4">
        <v>1</v>
      </c>
      <c r="AO20" s="4">
        <v>0</v>
      </c>
      <c r="AP20" s="4">
        <v>0</v>
      </c>
      <c r="AQ20" s="4">
        <v>0</v>
      </c>
      <c r="AR20" s="4">
        <v>0</v>
      </c>
      <c r="AS20" s="4">
        <v>1</v>
      </c>
      <c r="AT20" s="4">
        <v>0</v>
      </c>
      <c r="AU20" s="4">
        <v>1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1</v>
      </c>
      <c r="BD20" s="4">
        <v>1</v>
      </c>
    </row>
    <row r="21" spans="1:56" x14ac:dyDescent="0.3">
      <c r="A21" s="4" t="s">
        <v>189</v>
      </c>
      <c r="B21" s="4">
        <v>0</v>
      </c>
      <c r="C21" s="4">
        <v>140</v>
      </c>
      <c r="D21" s="4">
        <v>1</v>
      </c>
      <c r="E21" s="4">
        <v>1</v>
      </c>
      <c r="F21" s="4">
        <v>0</v>
      </c>
      <c r="G21" s="4">
        <v>11.67</v>
      </c>
      <c r="H21" s="4">
        <v>3</v>
      </c>
      <c r="I21" s="4">
        <v>2</v>
      </c>
      <c r="J21" s="4">
        <v>1</v>
      </c>
      <c r="K21" s="4">
        <v>0</v>
      </c>
      <c r="L21" s="4">
        <v>19</v>
      </c>
      <c r="M21" s="4">
        <v>6.55</v>
      </c>
      <c r="N21" s="4">
        <v>6.4</v>
      </c>
      <c r="O21" s="4">
        <v>54.4</v>
      </c>
      <c r="P21" s="4">
        <v>2.2454999999999998</v>
      </c>
      <c r="Q21" s="4">
        <v>0</v>
      </c>
      <c r="R21" s="4">
        <v>0</v>
      </c>
      <c r="S21" s="4">
        <v>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</v>
      </c>
      <c r="Z21" s="4">
        <v>0</v>
      </c>
      <c r="AA21" s="4">
        <v>0</v>
      </c>
      <c r="AB21" s="4">
        <v>1</v>
      </c>
      <c r="AC21" s="4">
        <v>0</v>
      </c>
      <c r="AD21" s="4">
        <v>1</v>
      </c>
      <c r="AE21" s="4">
        <v>0</v>
      </c>
      <c r="AF21" s="4">
        <v>1</v>
      </c>
      <c r="AG21" s="4">
        <v>1</v>
      </c>
      <c r="AH21" s="4">
        <v>0</v>
      </c>
      <c r="AI21" s="4">
        <v>0</v>
      </c>
      <c r="AJ21" s="4">
        <v>0</v>
      </c>
      <c r="AK21" s="4">
        <v>0</v>
      </c>
      <c r="AL21" s="4">
        <v>1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1</v>
      </c>
      <c r="AT21" s="4">
        <v>0</v>
      </c>
      <c r="AU21" s="4">
        <v>1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1</v>
      </c>
      <c r="BD21" s="4">
        <v>1</v>
      </c>
    </row>
    <row r="22" spans="1:56" x14ac:dyDescent="0.3">
      <c r="A22" s="4" t="s">
        <v>193</v>
      </c>
      <c r="B22" s="4">
        <v>0</v>
      </c>
      <c r="C22" s="4">
        <v>164</v>
      </c>
      <c r="D22" s="4">
        <v>1</v>
      </c>
      <c r="E22" s="4">
        <v>1</v>
      </c>
      <c r="F22" s="4">
        <v>0</v>
      </c>
      <c r="G22" s="4">
        <v>13.67</v>
      </c>
      <c r="H22" s="4">
        <v>3</v>
      </c>
      <c r="I22" s="4">
        <v>1</v>
      </c>
      <c r="J22" s="4">
        <v>3</v>
      </c>
      <c r="K22" s="4">
        <v>0.5</v>
      </c>
      <c r="L22" s="4">
        <v>10</v>
      </c>
      <c r="M22" s="4">
        <v>6.01</v>
      </c>
      <c r="N22" s="4">
        <v>7.53</v>
      </c>
      <c r="O22" s="4">
        <v>54.4</v>
      </c>
      <c r="P22" s="4">
        <v>2.1021000000000001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1</v>
      </c>
      <c r="Z22" s="4">
        <v>1</v>
      </c>
      <c r="AA22" s="4">
        <v>1</v>
      </c>
      <c r="AB22" s="4">
        <v>0</v>
      </c>
      <c r="AC22" s="4">
        <v>0</v>
      </c>
      <c r="AD22" s="4">
        <v>1</v>
      </c>
      <c r="AE22" s="4">
        <v>1</v>
      </c>
      <c r="AF22" s="4">
        <v>0</v>
      </c>
      <c r="AG22" s="4">
        <v>0</v>
      </c>
      <c r="AH22" s="4">
        <v>0</v>
      </c>
      <c r="AI22" s="4">
        <v>1</v>
      </c>
      <c r="AJ22" s="4">
        <v>0</v>
      </c>
      <c r="AK22" s="4">
        <v>0</v>
      </c>
      <c r="AL22" s="4">
        <v>0</v>
      </c>
      <c r="AM22" s="4">
        <v>1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1</v>
      </c>
      <c r="AT22" s="4">
        <v>0</v>
      </c>
      <c r="AU22" s="4">
        <v>1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1</v>
      </c>
      <c r="BD22" s="4">
        <v>1</v>
      </c>
    </row>
    <row r="23" spans="1:56" x14ac:dyDescent="0.3">
      <c r="A23" s="4" t="s">
        <v>199</v>
      </c>
      <c r="B23" s="4">
        <v>0</v>
      </c>
      <c r="C23" s="4">
        <v>140</v>
      </c>
      <c r="D23" s="4">
        <v>0</v>
      </c>
      <c r="E23" s="4">
        <v>0</v>
      </c>
      <c r="F23" s="4">
        <v>0</v>
      </c>
      <c r="G23" s="4">
        <v>11.67</v>
      </c>
      <c r="H23" s="4">
        <v>3</v>
      </c>
      <c r="I23" s="4">
        <v>2</v>
      </c>
      <c r="J23" s="4">
        <v>3</v>
      </c>
      <c r="K23" s="4">
        <v>0</v>
      </c>
      <c r="L23" s="4">
        <v>13</v>
      </c>
      <c r="M23" s="4">
        <v>6.55</v>
      </c>
      <c r="N23" s="4">
        <v>6.4</v>
      </c>
      <c r="O23" s="4">
        <v>54.4</v>
      </c>
      <c r="P23" s="4">
        <v>2.1021000000000001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1</v>
      </c>
      <c r="W23" s="4">
        <v>0</v>
      </c>
      <c r="X23" s="4">
        <v>0</v>
      </c>
      <c r="Y23" s="4">
        <v>1</v>
      </c>
      <c r="Z23" s="4">
        <v>1</v>
      </c>
      <c r="AA23" s="4">
        <v>0</v>
      </c>
      <c r="AB23" s="4">
        <v>1</v>
      </c>
      <c r="AC23" s="4">
        <v>0</v>
      </c>
      <c r="AD23" s="4">
        <v>1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1</v>
      </c>
      <c r="AT23" s="4">
        <v>0</v>
      </c>
      <c r="AU23" s="4">
        <v>1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1</v>
      </c>
      <c r="BD23" s="4">
        <v>1</v>
      </c>
    </row>
    <row r="24" spans="1:56" x14ac:dyDescent="0.3">
      <c r="A24" s="4" t="s">
        <v>203</v>
      </c>
      <c r="B24" s="4">
        <v>0</v>
      </c>
      <c r="C24" s="4">
        <v>140</v>
      </c>
      <c r="D24" s="4">
        <v>1</v>
      </c>
      <c r="E24" s="4">
        <v>1</v>
      </c>
      <c r="F24" s="4">
        <v>0</v>
      </c>
      <c r="G24" s="4">
        <v>11.67</v>
      </c>
      <c r="H24" s="4">
        <v>3</v>
      </c>
      <c r="I24" s="4">
        <v>2</v>
      </c>
      <c r="J24" s="4">
        <v>3</v>
      </c>
      <c r="K24" s="4">
        <v>0</v>
      </c>
      <c r="L24" s="4">
        <v>4</v>
      </c>
      <c r="M24" s="4">
        <v>6.55</v>
      </c>
      <c r="N24" s="4">
        <v>6.4</v>
      </c>
      <c r="O24" s="4">
        <v>54.4</v>
      </c>
      <c r="P24" s="4">
        <v>2.1021000000000001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1</v>
      </c>
      <c r="Z24" s="4">
        <v>1</v>
      </c>
      <c r="AA24" s="4">
        <v>0</v>
      </c>
      <c r="AB24" s="4">
        <v>1</v>
      </c>
      <c r="AC24" s="4">
        <v>0</v>
      </c>
      <c r="AD24" s="4">
        <v>1</v>
      </c>
      <c r="AE24" s="4">
        <v>1</v>
      </c>
      <c r="AF24" s="4">
        <v>0</v>
      </c>
      <c r="AG24" s="4">
        <v>1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1</v>
      </c>
      <c r="AO24" s="4">
        <v>0</v>
      </c>
      <c r="AP24" s="4">
        <v>0</v>
      </c>
      <c r="AQ24" s="4">
        <v>0</v>
      </c>
      <c r="AR24" s="4">
        <v>0</v>
      </c>
      <c r="AS24" s="4">
        <v>1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1</v>
      </c>
      <c r="BA24" s="4">
        <v>0</v>
      </c>
      <c r="BB24" s="4">
        <v>0</v>
      </c>
      <c r="BC24" s="4">
        <v>1</v>
      </c>
      <c r="BD24" s="4">
        <v>1</v>
      </c>
    </row>
    <row r="25" spans="1:56" x14ac:dyDescent="0.3">
      <c r="A25" s="4" t="s">
        <v>208</v>
      </c>
      <c r="B25" s="4">
        <v>0</v>
      </c>
      <c r="C25" s="4">
        <v>152</v>
      </c>
      <c r="D25" s="4">
        <v>1</v>
      </c>
      <c r="E25" s="4">
        <v>1</v>
      </c>
      <c r="F25" s="4">
        <v>0</v>
      </c>
      <c r="G25" s="4">
        <v>12.67</v>
      </c>
      <c r="H25" s="4">
        <v>3</v>
      </c>
      <c r="I25" s="4">
        <v>2</v>
      </c>
      <c r="J25" s="4">
        <v>1</v>
      </c>
      <c r="K25" s="4">
        <v>1</v>
      </c>
      <c r="L25" s="4">
        <v>13.5</v>
      </c>
      <c r="M25" s="4">
        <v>6.06</v>
      </c>
      <c r="N25" s="4">
        <v>6.99</v>
      </c>
      <c r="O25" s="4">
        <v>54.4</v>
      </c>
      <c r="P25" s="4">
        <v>2.1021000000000001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1</v>
      </c>
      <c r="Z25" s="4">
        <v>1</v>
      </c>
      <c r="AA25" s="4">
        <v>0</v>
      </c>
      <c r="AB25" s="4">
        <v>1</v>
      </c>
      <c r="AC25" s="4">
        <v>0</v>
      </c>
      <c r="AD25" s="4">
        <v>1</v>
      </c>
      <c r="AE25" s="4">
        <v>1</v>
      </c>
      <c r="AF25" s="4">
        <v>0</v>
      </c>
      <c r="AG25" s="4">
        <v>0</v>
      </c>
      <c r="AH25" s="4">
        <v>0</v>
      </c>
      <c r="AI25" s="4">
        <v>1</v>
      </c>
      <c r="AJ25" s="4">
        <v>0</v>
      </c>
      <c r="AK25" s="4">
        <v>0</v>
      </c>
      <c r="AL25" s="4">
        <v>0</v>
      </c>
      <c r="AM25" s="4">
        <v>1</v>
      </c>
      <c r="AN25" s="4">
        <v>1</v>
      </c>
      <c r="AO25" s="4">
        <v>0</v>
      </c>
      <c r="AP25" s="4">
        <v>0</v>
      </c>
      <c r="AQ25" s="4">
        <v>0</v>
      </c>
      <c r="AR25" s="4">
        <v>0</v>
      </c>
      <c r="AS25" s="4">
        <v>1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1</v>
      </c>
      <c r="BA25" s="4">
        <v>0</v>
      </c>
      <c r="BB25" s="4">
        <v>0</v>
      </c>
      <c r="BC25" s="4">
        <v>1</v>
      </c>
      <c r="BD25" s="4">
        <v>1</v>
      </c>
    </row>
    <row r="26" spans="1:56" x14ac:dyDescent="0.3">
      <c r="A26" s="4" t="s">
        <v>212</v>
      </c>
      <c r="B26" s="4">
        <v>0</v>
      </c>
      <c r="C26" s="4">
        <v>152</v>
      </c>
      <c r="D26" s="4">
        <v>1</v>
      </c>
      <c r="E26" s="4">
        <v>1</v>
      </c>
      <c r="F26" s="4">
        <v>0</v>
      </c>
      <c r="G26" s="4">
        <v>12.67</v>
      </c>
      <c r="H26" s="4">
        <v>3</v>
      </c>
      <c r="I26" s="4">
        <v>2</v>
      </c>
      <c r="J26" s="4">
        <v>1</v>
      </c>
      <c r="K26" s="4">
        <v>0</v>
      </c>
      <c r="L26" s="4">
        <v>6</v>
      </c>
      <c r="M26" s="4">
        <v>6.06</v>
      </c>
      <c r="N26" s="4">
        <v>6.99</v>
      </c>
      <c r="O26" s="4">
        <v>54.4</v>
      </c>
      <c r="P26" s="4">
        <v>2.1021000000000001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1</v>
      </c>
      <c r="Z26" s="4">
        <v>1</v>
      </c>
      <c r="AA26" s="4">
        <v>0</v>
      </c>
      <c r="AB26" s="4">
        <v>1</v>
      </c>
      <c r="AC26" s="4">
        <v>0</v>
      </c>
      <c r="AD26" s="4">
        <v>1</v>
      </c>
      <c r="AE26" s="4">
        <v>1</v>
      </c>
      <c r="AF26" s="4">
        <v>0</v>
      </c>
      <c r="AG26" s="4">
        <v>1</v>
      </c>
      <c r="AH26" s="4">
        <v>0</v>
      </c>
      <c r="AI26" s="4">
        <v>0</v>
      </c>
      <c r="AJ26" s="4">
        <v>0</v>
      </c>
      <c r="AK26" s="4">
        <v>0</v>
      </c>
      <c r="AL26" s="4">
        <v>1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1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1</v>
      </c>
      <c r="BA26" s="4">
        <v>0</v>
      </c>
      <c r="BB26" s="4">
        <v>0</v>
      </c>
      <c r="BC26" s="4">
        <v>1</v>
      </c>
      <c r="BD26" s="4">
        <v>1</v>
      </c>
    </row>
    <row r="27" spans="1:56" x14ac:dyDescent="0.3">
      <c r="A27" s="4" t="s">
        <v>216</v>
      </c>
      <c r="B27" s="4">
        <v>0</v>
      </c>
      <c r="C27" s="4">
        <v>116</v>
      </c>
      <c r="D27" s="4">
        <v>1</v>
      </c>
      <c r="E27" s="4">
        <v>1</v>
      </c>
      <c r="F27" s="4">
        <v>0</v>
      </c>
      <c r="G27" s="4">
        <v>9.67</v>
      </c>
      <c r="H27" s="4">
        <v>3</v>
      </c>
      <c r="I27" s="4">
        <v>1</v>
      </c>
      <c r="J27" s="4">
        <v>2</v>
      </c>
      <c r="K27" s="4">
        <v>0</v>
      </c>
      <c r="L27" s="4">
        <v>14</v>
      </c>
      <c r="M27" s="4">
        <v>6.59</v>
      </c>
      <c r="N27" s="4">
        <v>5.7</v>
      </c>
      <c r="O27" s="4">
        <v>54.4</v>
      </c>
      <c r="P27" s="4">
        <v>2.1021000000000001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1</v>
      </c>
      <c r="Z27" s="4">
        <v>1</v>
      </c>
      <c r="AA27" s="4">
        <v>0</v>
      </c>
      <c r="AB27" s="4">
        <v>1</v>
      </c>
      <c r="AC27" s="4">
        <v>0</v>
      </c>
      <c r="AD27" s="4">
        <v>1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1</v>
      </c>
      <c r="AM27" s="4">
        <v>1</v>
      </c>
      <c r="AN27" s="4">
        <v>1</v>
      </c>
      <c r="AO27" s="4">
        <v>0</v>
      </c>
      <c r="AP27" s="4">
        <v>0</v>
      </c>
      <c r="AQ27" s="4">
        <v>0</v>
      </c>
      <c r="AR27" s="4">
        <v>0</v>
      </c>
      <c r="AS27" s="4">
        <v>1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1</v>
      </c>
      <c r="BA27" s="4">
        <v>0</v>
      </c>
      <c r="BB27" s="4">
        <v>0</v>
      </c>
      <c r="BC27" s="4">
        <v>1</v>
      </c>
      <c r="BD27" s="4">
        <v>1</v>
      </c>
    </row>
    <row r="28" spans="1:56" x14ac:dyDescent="0.3">
      <c r="A28" s="4" t="s">
        <v>220</v>
      </c>
      <c r="B28" s="4">
        <v>0</v>
      </c>
      <c r="C28" s="4">
        <v>92</v>
      </c>
      <c r="D28" s="4">
        <v>1</v>
      </c>
      <c r="E28" s="4">
        <v>1</v>
      </c>
      <c r="F28" s="4">
        <v>0</v>
      </c>
      <c r="G28" s="4">
        <v>7.67</v>
      </c>
      <c r="H28" s="4">
        <v>3</v>
      </c>
      <c r="I28" s="4">
        <v>2</v>
      </c>
      <c r="J28" s="4">
        <v>3</v>
      </c>
      <c r="K28" s="4">
        <v>0</v>
      </c>
      <c r="L28" s="4">
        <v>13</v>
      </c>
      <c r="M28" s="4">
        <v>7.88</v>
      </c>
      <c r="N28" s="4">
        <v>5.5</v>
      </c>
      <c r="O28" s="4">
        <v>54.4</v>
      </c>
      <c r="P28" s="4">
        <v>2.1021000000000001</v>
      </c>
      <c r="Q28" s="4">
        <v>0</v>
      </c>
      <c r="R28" s="4">
        <v>0</v>
      </c>
      <c r="S28" s="4">
        <v>1</v>
      </c>
      <c r="T28" s="4">
        <v>0</v>
      </c>
      <c r="U28" s="4">
        <v>0</v>
      </c>
      <c r="V28" s="4">
        <v>1</v>
      </c>
      <c r="W28" s="4">
        <v>0</v>
      </c>
      <c r="X28" s="4">
        <v>0</v>
      </c>
      <c r="Y28" s="4">
        <v>1</v>
      </c>
      <c r="Z28" s="4">
        <v>1</v>
      </c>
      <c r="AA28" s="4">
        <v>0</v>
      </c>
      <c r="AB28" s="4">
        <v>1</v>
      </c>
      <c r="AC28" s="4">
        <v>0</v>
      </c>
      <c r="AD28" s="4">
        <v>1</v>
      </c>
      <c r="AE28" s="4">
        <v>0</v>
      </c>
      <c r="AF28" s="4">
        <v>1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1</v>
      </c>
      <c r="AM28" s="4">
        <v>1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1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1</v>
      </c>
      <c r="BA28" s="4">
        <v>0</v>
      </c>
      <c r="BB28" s="4">
        <v>0</v>
      </c>
      <c r="BC28" s="4">
        <v>1</v>
      </c>
      <c r="BD28" s="4">
        <v>1</v>
      </c>
    </row>
    <row r="29" spans="1:56" x14ac:dyDescent="0.3">
      <c r="A29" s="4" t="s">
        <v>224</v>
      </c>
      <c r="B29" s="4">
        <v>0</v>
      </c>
      <c r="C29" s="4">
        <v>104</v>
      </c>
      <c r="D29" s="4">
        <v>1</v>
      </c>
      <c r="E29" s="4">
        <v>1</v>
      </c>
      <c r="F29" s="4">
        <v>0</v>
      </c>
      <c r="G29" s="4">
        <v>8.67</v>
      </c>
      <c r="H29" s="4">
        <v>3</v>
      </c>
      <c r="I29" s="4">
        <v>1</v>
      </c>
      <c r="J29" s="4">
        <v>3</v>
      </c>
      <c r="K29" s="4">
        <v>0</v>
      </c>
      <c r="L29" s="4">
        <v>2</v>
      </c>
      <c r="M29" s="4">
        <v>7.32</v>
      </c>
      <c r="N29" s="4">
        <v>5.54</v>
      </c>
      <c r="O29" s="4">
        <v>54.4</v>
      </c>
      <c r="P29" s="4">
        <v>2.1021000000000001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1</v>
      </c>
      <c r="Z29" s="4">
        <v>1</v>
      </c>
      <c r="AA29" s="4">
        <v>1</v>
      </c>
      <c r="AB29" s="4">
        <v>0</v>
      </c>
      <c r="AC29" s="4">
        <v>0</v>
      </c>
      <c r="AD29" s="4">
        <v>1</v>
      </c>
      <c r="AE29" s="4">
        <v>1</v>
      </c>
      <c r="AF29" s="4">
        <v>0</v>
      </c>
      <c r="AG29" s="4">
        <v>1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1</v>
      </c>
      <c r="AO29" s="4">
        <v>0</v>
      </c>
      <c r="AP29" s="4">
        <v>0</v>
      </c>
      <c r="AQ29" s="4">
        <v>0</v>
      </c>
      <c r="AR29" s="4">
        <v>0</v>
      </c>
      <c r="AS29" s="4">
        <v>1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1</v>
      </c>
      <c r="BA29" s="4">
        <v>0</v>
      </c>
      <c r="BB29" s="4">
        <v>0</v>
      </c>
      <c r="BC29" s="4">
        <v>1</v>
      </c>
      <c r="BD29" s="4">
        <v>1</v>
      </c>
    </row>
    <row r="30" spans="1:56" x14ac:dyDescent="0.3">
      <c r="A30" s="4" t="s">
        <v>229</v>
      </c>
      <c r="B30" s="4">
        <v>0</v>
      </c>
      <c r="C30" s="4">
        <v>128</v>
      </c>
      <c r="D30" s="4">
        <v>1</v>
      </c>
      <c r="E30" s="4">
        <v>1</v>
      </c>
      <c r="F30" s="4">
        <v>0</v>
      </c>
      <c r="G30" s="4">
        <v>10.67</v>
      </c>
      <c r="H30" s="4">
        <v>3</v>
      </c>
      <c r="I30" s="4">
        <v>2</v>
      </c>
      <c r="J30" s="4">
        <v>4</v>
      </c>
      <c r="K30" s="4">
        <v>0</v>
      </c>
      <c r="L30" s="4">
        <v>13</v>
      </c>
      <c r="M30" s="4">
        <v>7.11</v>
      </c>
      <c r="N30" s="4">
        <v>5.51</v>
      </c>
      <c r="O30" s="4">
        <v>54.4</v>
      </c>
      <c r="P30" s="4">
        <v>2.1021000000000001</v>
      </c>
      <c r="Q30" s="4">
        <v>0</v>
      </c>
      <c r="R30" s="4">
        <v>0</v>
      </c>
      <c r="S30" s="4">
        <v>1</v>
      </c>
      <c r="T30" s="4">
        <v>0</v>
      </c>
      <c r="U30" s="4">
        <v>0</v>
      </c>
      <c r="V30" s="4">
        <v>1</v>
      </c>
      <c r="W30" s="4">
        <v>0</v>
      </c>
      <c r="X30" s="4">
        <v>0</v>
      </c>
      <c r="Y30" s="4">
        <v>1</v>
      </c>
      <c r="Z30" s="4">
        <v>1</v>
      </c>
      <c r="AA30" s="4">
        <v>0</v>
      </c>
      <c r="AB30" s="4">
        <v>1</v>
      </c>
      <c r="AC30" s="4">
        <v>0</v>
      </c>
      <c r="AD30" s="4">
        <v>1</v>
      </c>
      <c r="AE30" s="4">
        <v>0</v>
      </c>
      <c r="AF30" s="4">
        <v>1</v>
      </c>
      <c r="AG30" s="4">
        <v>0</v>
      </c>
      <c r="AH30" s="4">
        <v>1</v>
      </c>
      <c r="AI30" s="4">
        <v>0</v>
      </c>
      <c r="AJ30" s="4">
        <v>0</v>
      </c>
      <c r="AK30" s="4">
        <v>0</v>
      </c>
      <c r="AL30" s="4">
        <v>1</v>
      </c>
      <c r="AM30" s="4">
        <v>1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1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1</v>
      </c>
      <c r="BA30" s="4">
        <v>0</v>
      </c>
      <c r="BB30" s="4">
        <v>0</v>
      </c>
      <c r="BC30" s="4">
        <v>1</v>
      </c>
      <c r="BD30" s="4">
        <v>1</v>
      </c>
    </row>
    <row r="31" spans="1:56" x14ac:dyDescent="0.3">
      <c r="A31" s="4" t="s">
        <v>233</v>
      </c>
      <c r="B31" s="4">
        <v>0</v>
      </c>
      <c r="C31" s="4">
        <v>116</v>
      </c>
      <c r="D31" s="4">
        <v>1</v>
      </c>
      <c r="E31" s="4">
        <v>1</v>
      </c>
      <c r="F31" s="4">
        <v>0</v>
      </c>
      <c r="G31" s="4">
        <v>9.67</v>
      </c>
      <c r="H31" s="4">
        <v>3</v>
      </c>
      <c r="I31" s="4">
        <v>2</v>
      </c>
      <c r="J31" s="4">
        <v>2</v>
      </c>
      <c r="K31" s="4">
        <v>0</v>
      </c>
      <c r="L31" s="4">
        <v>13</v>
      </c>
      <c r="M31" s="4">
        <v>6.59</v>
      </c>
      <c r="N31" s="4">
        <v>5.7</v>
      </c>
      <c r="O31" s="4">
        <v>54.4</v>
      </c>
      <c r="P31" s="4">
        <v>2.1021000000000001</v>
      </c>
      <c r="Q31" s="4">
        <v>0</v>
      </c>
      <c r="R31" s="4">
        <v>0</v>
      </c>
      <c r="S31" s="4">
        <v>1</v>
      </c>
      <c r="T31" s="4">
        <v>0</v>
      </c>
      <c r="U31" s="4">
        <v>0</v>
      </c>
      <c r="V31" s="4">
        <v>1</v>
      </c>
      <c r="W31" s="4">
        <v>0</v>
      </c>
      <c r="X31" s="4">
        <v>0</v>
      </c>
      <c r="Y31" s="4">
        <v>1</v>
      </c>
      <c r="Z31" s="4">
        <v>1</v>
      </c>
      <c r="AA31" s="4">
        <v>1</v>
      </c>
      <c r="AB31" s="4">
        <v>0</v>
      </c>
      <c r="AC31" s="4">
        <v>0</v>
      </c>
      <c r="AD31" s="4">
        <v>1</v>
      </c>
      <c r="AE31" s="4">
        <v>0</v>
      </c>
      <c r="AF31" s="4">
        <v>1</v>
      </c>
      <c r="AG31" s="4">
        <v>0</v>
      </c>
      <c r="AH31" s="4">
        <v>1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1</v>
      </c>
      <c r="AO31" s="4">
        <v>0</v>
      </c>
      <c r="AP31" s="4">
        <v>0</v>
      </c>
      <c r="AQ31" s="4">
        <v>0</v>
      </c>
      <c r="AR31" s="4">
        <v>0</v>
      </c>
      <c r="AS31" s="4">
        <v>1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1</v>
      </c>
      <c r="BA31" s="4">
        <v>0</v>
      </c>
      <c r="BB31" s="4">
        <v>0</v>
      </c>
      <c r="BC31" s="4">
        <v>1</v>
      </c>
      <c r="BD31" s="4">
        <v>1</v>
      </c>
    </row>
    <row r="32" spans="1:56" x14ac:dyDescent="0.3">
      <c r="A32" s="4" t="s">
        <v>237</v>
      </c>
      <c r="B32" s="4">
        <v>1</v>
      </c>
      <c r="C32" s="4">
        <v>126</v>
      </c>
      <c r="D32" s="4">
        <v>0</v>
      </c>
      <c r="E32" s="4">
        <v>0</v>
      </c>
      <c r="F32" s="4">
        <v>1</v>
      </c>
      <c r="G32" s="4">
        <v>13.67</v>
      </c>
      <c r="H32" s="4">
        <v>3</v>
      </c>
      <c r="I32" s="4">
        <v>2</v>
      </c>
      <c r="J32" s="4">
        <v>3</v>
      </c>
      <c r="K32" s="4">
        <v>0</v>
      </c>
      <c r="L32" s="4">
        <v>13</v>
      </c>
      <c r="M32" s="4">
        <v>6.01</v>
      </c>
      <c r="N32" s="4">
        <v>7.53</v>
      </c>
      <c r="O32" s="4">
        <v>54.4</v>
      </c>
      <c r="P32" s="4">
        <v>2.1021000000000001</v>
      </c>
      <c r="Q32" s="4">
        <v>0</v>
      </c>
      <c r="R32" s="4">
        <v>0</v>
      </c>
      <c r="S32" s="4">
        <v>1</v>
      </c>
      <c r="T32" s="4">
        <v>0</v>
      </c>
      <c r="U32" s="4">
        <v>0</v>
      </c>
      <c r="V32" s="4">
        <v>1</v>
      </c>
      <c r="W32" s="4">
        <v>0</v>
      </c>
      <c r="X32" s="4">
        <v>0</v>
      </c>
      <c r="Y32" s="4">
        <v>1</v>
      </c>
      <c r="Z32" s="4">
        <v>1</v>
      </c>
      <c r="AA32" s="4">
        <v>0</v>
      </c>
      <c r="AB32" s="4">
        <v>1</v>
      </c>
      <c r="AC32" s="4">
        <v>0</v>
      </c>
      <c r="AD32" s="4">
        <v>1</v>
      </c>
      <c r="AE32" s="4">
        <v>0</v>
      </c>
      <c r="AF32" s="4">
        <v>1</v>
      </c>
      <c r="AG32" s="4">
        <v>0</v>
      </c>
      <c r="AH32" s="4">
        <v>1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1</v>
      </c>
      <c r="AO32" s="4">
        <v>0</v>
      </c>
      <c r="AP32" s="4">
        <v>0</v>
      </c>
      <c r="AQ32" s="4">
        <v>0</v>
      </c>
      <c r="AR32" s="4">
        <v>0</v>
      </c>
      <c r="AS32" s="4">
        <v>1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1</v>
      </c>
      <c r="BA32" s="4">
        <v>0</v>
      </c>
      <c r="BB32" s="4">
        <v>0</v>
      </c>
      <c r="BC32" s="4">
        <v>1</v>
      </c>
      <c r="BD32" s="4">
        <v>1</v>
      </c>
    </row>
    <row r="33" spans="1:56" x14ac:dyDescent="0.3">
      <c r="A33" s="4" t="s">
        <v>243</v>
      </c>
      <c r="B33" s="4">
        <v>0</v>
      </c>
      <c r="C33" s="4">
        <v>164</v>
      </c>
      <c r="D33" s="4">
        <v>1</v>
      </c>
      <c r="E33" s="4"/>
      <c r="F33" s="4">
        <v>1</v>
      </c>
      <c r="G33" s="4">
        <v>13.67</v>
      </c>
      <c r="H33" s="4">
        <v>3</v>
      </c>
      <c r="I33" s="4">
        <v>2</v>
      </c>
      <c r="J33" s="4">
        <v>2</v>
      </c>
      <c r="K33" s="4">
        <v>0.5</v>
      </c>
      <c r="L33" s="4">
        <v>13</v>
      </c>
      <c r="M33" s="4">
        <v>6.01</v>
      </c>
      <c r="N33" s="4">
        <v>7.53</v>
      </c>
      <c r="O33" s="4">
        <v>54.4</v>
      </c>
      <c r="P33" s="4">
        <v>2.1021000000000001</v>
      </c>
      <c r="Q33" s="4">
        <v>0</v>
      </c>
      <c r="R33" s="4">
        <v>0</v>
      </c>
      <c r="S33" s="4">
        <v>1</v>
      </c>
      <c r="T33" s="4">
        <v>0</v>
      </c>
      <c r="U33" s="4">
        <v>0</v>
      </c>
      <c r="V33" s="4">
        <v>1</v>
      </c>
      <c r="W33" s="4">
        <v>0</v>
      </c>
      <c r="X33" s="4">
        <v>0</v>
      </c>
      <c r="Y33" s="4">
        <v>1</v>
      </c>
      <c r="Z33" s="4">
        <v>1</v>
      </c>
      <c r="AA33" s="4">
        <v>0</v>
      </c>
      <c r="AB33" s="4">
        <v>1</v>
      </c>
      <c r="AC33" s="4">
        <v>0</v>
      </c>
      <c r="AD33" s="4">
        <v>1</v>
      </c>
      <c r="AE33" s="4">
        <v>0</v>
      </c>
      <c r="AF33" s="4">
        <v>1</v>
      </c>
      <c r="AG33" s="4">
        <v>0</v>
      </c>
      <c r="AH33" s="4">
        <v>1</v>
      </c>
      <c r="AI33" s="4">
        <v>1</v>
      </c>
      <c r="AJ33" s="4">
        <v>0</v>
      </c>
      <c r="AK33" s="4">
        <v>0</v>
      </c>
      <c r="AL33" s="4">
        <v>0</v>
      </c>
      <c r="AM33" s="4">
        <v>0</v>
      </c>
      <c r="AN33" s="4">
        <v>1</v>
      </c>
      <c r="AO33" s="4">
        <v>0</v>
      </c>
      <c r="AP33" s="4">
        <v>0</v>
      </c>
      <c r="AQ33" s="4">
        <v>0</v>
      </c>
      <c r="AR33" s="4">
        <v>0</v>
      </c>
      <c r="AS33" s="4">
        <v>1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1</v>
      </c>
      <c r="BA33" s="4">
        <v>0</v>
      </c>
      <c r="BB33" s="4">
        <v>0</v>
      </c>
      <c r="BC33" s="4">
        <v>1</v>
      </c>
      <c r="BD33" s="4">
        <v>1</v>
      </c>
    </row>
    <row r="34" spans="1:56" x14ac:dyDescent="0.3">
      <c r="A34" s="4" t="s">
        <v>246</v>
      </c>
      <c r="B34" s="4">
        <v>0</v>
      </c>
      <c r="C34" s="4">
        <v>116</v>
      </c>
      <c r="D34" s="4">
        <v>1</v>
      </c>
      <c r="E34" s="4">
        <v>1</v>
      </c>
      <c r="F34" s="4">
        <v>0</v>
      </c>
      <c r="G34" s="4">
        <v>9.67</v>
      </c>
      <c r="H34" s="4">
        <v>3</v>
      </c>
      <c r="I34" s="4">
        <v>1</v>
      </c>
      <c r="J34" s="4">
        <v>1</v>
      </c>
      <c r="K34" s="4">
        <v>0</v>
      </c>
      <c r="L34" s="4">
        <v>9</v>
      </c>
      <c r="M34" s="4">
        <v>6.59</v>
      </c>
      <c r="N34" s="4">
        <v>5.7</v>
      </c>
      <c r="O34" s="4">
        <v>54.4</v>
      </c>
      <c r="P34" s="4">
        <v>2.1021000000000001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1</v>
      </c>
      <c r="Z34" s="4">
        <v>1</v>
      </c>
      <c r="AA34" s="4">
        <v>0</v>
      </c>
      <c r="AB34" s="4">
        <v>1</v>
      </c>
      <c r="AC34" s="4">
        <v>0</v>
      </c>
      <c r="AD34" s="4">
        <v>1</v>
      </c>
      <c r="AE34" s="4">
        <v>1</v>
      </c>
      <c r="AF34" s="4">
        <v>0</v>
      </c>
      <c r="AG34" s="4">
        <v>1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1</v>
      </c>
      <c r="AO34" s="4">
        <v>0</v>
      </c>
      <c r="AP34" s="4">
        <v>0</v>
      </c>
      <c r="AQ34" s="4">
        <v>0</v>
      </c>
      <c r="AR34" s="4">
        <v>0</v>
      </c>
      <c r="AS34" s="4">
        <v>1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1</v>
      </c>
      <c r="BA34" s="4">
        <v>0</v>
      </c>
      <c r="BB34" s="4">
        <v>0</v>
      </c>
      <c r="BC34" s="4">
        <v>1</v>
      </c>
      <c r="BD34" s="4">
        <v>1</v>
      </c>
    </row>
    <row r="35" spans="1:56" x14ac:dyDescent="0.3">
      <c r="A35" s="4" t="s">
        <v>250</v>
      </c>
      <c r="B35" s="4">
        <v>0</v>
      </c>
      <c r="C35" s="4">
        <v>152</v>
      </c>
      <c r="D35" s="4">
        <v>1</v>
      </c>
      <c r="E35" s="4">
        <v>1</v>
      </c>
      <c r="F35" s="4">
        <v>0</v>
      </c>
      <c r="G35" s="4">
        <v>12.67</v>
      </c>
      <c r="H35" s="4">
        <v>3</v>
      </c>
      <c r="I35" s="4">
        <v>1</v>
      </c>
      <c r="J35" s="4">
        <v>2</v>
      </c>
      <c r="K35" s="4">
        <v>0.5</v>
      </c>
      <c r="L35" s="4">
        <v>10</v>
      </c>
      <c r="M35" s="4">
        <v>6.06</v>
      </c>
      <c r="N35" s="4">
        <v>6.99</v>
      </c>
      <c r="O35" s="4">
        <v>54.4</v>
      </c>
      <c r="P35" s="4">
        <v>2.1021000000000001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1</v>
      </c>
      <c r="Z35" s="4">
        <v>1</v>
      </c>
      <c r="AA35" s="4">
        <v>0</v>
      </c>
      <c r="AB35" s="4">
        <v>1</v>
      </c>
      <c r="AC35" s="4">
        <v>0</v>
      </c>
      <c r="AD35" s="4">
        <v>1</v>
      </c>
      <c r="AE35" s="4">
        <v>0</v>
      </c>
      <c r="AF35" s="4">
        <v>0</v>
      </c>
      <c r="AG35" s="4">
        <v>0</v>
      </c>
      <c r="AH35" s="4">
        <v>0</v>
      </c>
      <c r="AI35" s="4">
        <v>1</v>
      </c>
      <c r="AJ35" s="4">
        <v>0</v>
      </c>
      <c r="AK35" s="4">
        <v>0</v>
      </c>
      <c r="AL35" s="4">
        <v>0</v>
      </c>
      <c r="AM35" s="4">
        <v>0</v>
      </c>
      <c r="AN35" s="4">
        <v>1</v>
      </c>
      <c r="AO35" s="4">
        <v>0</v>
      </c>
      <c r="AP35" s="4">
        <v>0</v>
      </c>
      <c r="AQ35" s="4">
        <v>0</v>
      </c>
      <c r="AR35" s="4">
        <v>0</v>
      </c>
      <c r="AS35" s="4">
        <v>1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1</v>
      </c>
      <c r="BA35" s="4">
        <v>0</v>
      </c>
      <c r="BB35" s="4">
        <v>0</v>
      </c>
      <c r="BC35" s="4">
        <v>1</v>
      </c>
      <c r="BD35" s="4">
        <v>1</v>
      </c>
    </row>
    <row r="36" spans="1:56" x14ac:dyDescent="0.3">
      <c r="A36" s="4" t="s">
        <v>252</v>
      </c>
      <c r="B36" s="4"/>
      <c r="C36" s="4"/>
      <c r="D36" s="4">
        <v>1</v>
      </c>
      <c r="E36" s="4"/>
      <c r="F36" s="4">
        <v>1</v>
      </c>
      <c r="G36" s="4">
        <v>10.67</v>
      </c>
      <c r="H36" s="4">
        <v>3</v>
      </c>
      <c r="I36" s="4">
        <v>2</v>
      </c>
      <c r="J36" s="4">
        <v>1</v>
      </c>
      <c r="K36" s="4">
        <v>0</v>
      </c>
      <c r="L36" s="4">
        <v>13</v>
      </c>
      <c r="M36" s="4">
        <v>7.11</v>
      </c>
      <c r="N36" s="4">
        <v>5.51</v>
      </c>
      <c r="O36" s="4">
        <v>54.4</v>
      </c>
      <c r="P36" s="4">
        <v>2.1021000000000001</v>
      </c>
      <c r="Q36" s="4">
        <v>0</v>
      </c>
      <c r="R36" s="4">
        <v>1</v>
      </c>
      <c r="S36" s="4">
        <v>1</v>
      </c>
      <c r="T36" s="4">
        <v>0</v>
      </c>
      <c r="U36" s="4">
        <v>0</v>
      </c>
      <c r="V36" s="4">
        <v>1</v>
      </c>
      <c r="W36" s="4">
        <v>0</v>
      </c>
      <c r="X36" s="4">
        <v>0</v>
      </c>
      <c r="Y36" s="4">
        <v>1</v>
      </c>
      <c r="Z36" s="4">
        <v>1</v>
      </c>
      <c r="AA36" s="4">
        <v>0</v>
      </c>
      <c r="AB36" s="4">
        <v>1</v>
      </c>
      <c r="AC36" s="4">
        <v>0</v>
      </c>
      <c r="AD36" s="4">
        <v>1</v>
      </c>
      <c r="AE36" s="4">
        <v>0</v>
      </c>
      <c r="AF36" s="4">
        <v>1</v>
      </c>
      <c r="AG36" s="4">
        <v>0</v>
      </c>
      <c r="AH36" s="4">
        <v>1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1</v>
      </c>
      <c r="AO36" s="4">
        <v>0</v>
      </c>
      <c r="AP36" s="4">
        <v>0</v>
      </c>
      <c r="AQ36" s="4">
        <v>0</v>
      </c>
      <c r="AR36" s="4">
        <v>0</v>
      </c>
      <c r="AS36" s="4">
        <v>1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1</v>
      </c>
      <c r="BC36" s="4">
        <v>0</v>
      </c>
      <c r="BD36" s="4">
        <v>1</v>
      </c>
    </row>
    <row r="37" spans="1:56" x14ac:dyDescent="0.3">
      <c r="A37" s="4" t="s">
        <v>261</v>
      </c>
      <c r="B37" s="4">
        <v>0</v>
      </c>
      <c r="C37" s="4">
        <v>140</v>
      </c>
      <c r="D37" s="4">
        <v>1</v>
      </c>
      <c r="E37" s="4">
        <v>1</v>
      </c>
      <c r="F37" s="4">
        <v>0</v>
      </c>
      <c r="G37" s="4">
        <v>11.67</v>
      </c>
      <c r="H37" s="4">
        <v>3</v>
      </c>
      <c r="I37" s="4">
        <v>1</v>
      </c>
      <c r="J37" s="4">
        <v>1</v>
      </c>
      <c r="K37" s="4">
        <v>0</v>
      </c>
      <c r="L37" s="4">
        <v>0</v>
      </c>
      <c r="M37" s="4">
        <v>6.55</v>
      </c>
      <c r="N37" s="4">
        <v>6.4</v>
      </c>
      <c r="O37" s="4">
        <v>54.4</v>
      </c>
      <c r="P37" s="4">
        <v>2.1021000000000001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1</v>
      </c>
      <c r="Z37" s="4">
        <v>1</v>
      </c>
      <c r="AA37" s="4">
        <v>1</v>
      </c>
      <c r="AB37" s="4">
        <v>0</v>
      </c>
      <c r="AC37" s="4">
        <v>0</v>
      </c>
      <c r="AD37" s="4">
        <v>1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</v>
      </c>
      <c r="AN37" s="4">
        <v>0</v>
      </c>
      <c r="AO37" s="4">
        <v>1</v>
      </c>
      <c r="AP37" s="4">
        <v>0</v>
      </c>
      <c r="AQ37" s="4">
        <v>0</v>
      </c>
      <c r="AR37" s="4">
        <v>0</v>
      </c>
      <c r="AS37" s="4">
        <v>1</v>
      </c>
      <c r="AT37" s="4">
        <v>0</v>
      </c>
      <c r="AU37" s="4">
        <v>0</v>
      </c>
      <c r="AV37" s="4">
        <v>1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1</v>
      </c>
      <c r="BD37" s="4">
        <v>1</v>
      </c>
    </row>
    <row r="38" spans="1:56" x14ac:dyDescent="0.3">
      <c r="A38" s="4" t="s">
        <v>266</v>
      </c>
      <c r="B38" s="4">
        <v>0</v>
      </c>
      <c r="C38" s="4">
        <v>92</v>
      </c>
      <c r="D38" s="4">
        <v>1</v>
      </c>
      <c r="E38" s="4">
        <v>1</v>
      </c>
      <c r="F38" s="4">
        <v>0</v>
      </c>
      <c r="G38" s="4">
        <v>7.67</v>
      </c>
      <c r="H38" s="4">
        <v>3</v>
      </c>
      <c r="I38" s="4">
        <v>1</v>
      </c>
      <c r="J38" s="4">
        <v>2</v>
      </c>
      <c r="K38" s="4">
        <v>0</v>
      </c>
      <c r="L38" s="4">
        <v>10</v>
      </c>
      <c r="M38" s="4">
        <v>7.88</v>
      </c>
      <c r="N38" s="4">
        <v>5.5</v>
      </c>
      <c r="O38" s="4">
        <v>54.4</v>
      </c>
      <c r="P38" s="4">
        <v>2.1021000000000001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1</v>
      </c>
      <c r="Z38" s="4">
        <v>1</v>
      </c>
      <c r="AA38" s="4">
        <v>0</v>
      </c>
      <c r="AB38" s="4">
        <v>1</v>
      </c>
      <c r="AC38" s="4">
        <v>0</v>
      </c>
      <c r="AD38" s="4">
        <v>1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1</v>
      </c>
      <c r="AN38" s="4">
        <v>0</v>
      </c>
      <c r="AO38" s="4">
        <v>1</v>
      </c>
      <c r="AP38" s="4">
        <v>0</v>
      </c>
      <c r="AQ38" s="4">
        <v>0</v>
      </c>
      <c r="AR38" s="4">
        <v>0</v>
      </c>
      <c r="AS38" s="4">
        <v>1</v>
      </c>
      <c r="AT38" s="4">
        <v>0</v>
      </c>
      <c r="AU38" s="4">
        <v>0</v>
      </c>
      <c r="AV38" s="4">
        <v>1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1</v>
      </c>
      <c r="BD38" s="4">
        <v>1</v>
      </c>
    </row>
    <row r="39" spans="1:56" x14ac:dyDescent="0.3">
      <c r="A39" s="4" t="s">
        <v>268</v>
      </c>
      <c r="B39" s="4">
        <v>0</v>
      </c>
      <c r="C39" s="4">
        <v>128</v>
      </c>
      <c r="D39" s="4"/>
      <c r="E39" s="4"/>
      <c r="F39" s="4">
        <v>1</v>
      </c>
      <c r="G39" s="4">
        <v>10.67</v>
      </c>
      <c r="H39" s="4">
        <v>3</v>
      </c>
      <c r="I39" s="4">
        <v>2</v>
      </c>
      <c r="J39" s="4">
        <v>2</v>
      </c>
      <c r="K39" s="4">
        <v>0</v>
      </c>
      <c r="L39" s="4">
        <v>13</v>
      </c>
      <c r="M39" s="4">
        <v>7.11</v>
      </c>
      <c r="N39" s="4">
        <v>5.51</v>
      </c>
      <c r="O39" s="4">
        <v>54.4</v>
      </c>
      <c r="P39" s="4">
        <v>2.1021000000000001</v>
      </c>
      <c r="Q39" s="4">
        <v>0</v>
      </c>
      <c r="R39" s="4">
        <v>0</v>
      </c>
      <c r="S39" s="4">
        <v>1</v>
      </c>
      <c r="T39" s="4">
        <v>0</v>
      </c>
      <c r="U39" s="4">
        <v>0</v>
      </c>
      <c r="V39" s="4">
        <v>1</v>
      </c>
      <c r="W39" s="4">
        <v>0</v>
      </c>
      <c r="X39" s="4">
        <v>0</v>
      </c>
      <c r="Y39" s="4">
        <v>1</v>
      </c>
      <c r="Z39" s="4">
        <v>1</v>
      </c>
      <c r="AA39" s="4">
        <v>0</v>
      </c>
      <c r="AB39" s="4">
        <v>1</v>
      </c>
      <c r="AC39" s="4">
        <v>0</v>
      </c>
      <c r="AD39" s="4">
        <v>1</v>
      </c>
      <c r="AE39" s="4">
        <v>0</v>
      </c>
      <c r="AF39" s="4">
        <v>1</v>
      </c>
      <c r="AG39" s="4">
        <v>0</v>
      </c>
      <c r="AH39" s="4">
        <v>1</v>
      </c>
      <c r="AI39" s="4">
        <v>0</v>
      </c>
      <c r="AJ39" s="4">
        <v>0</v>
      </c>
      <c r="AK39" s="4">
        <v>0</v>
      </c>
      <c r="AL39" s="4">
        <v>0</v>
      </c>
      <c r="AM39" s="4">
        <v>1</v>
      </c>
      <c r="AN39" s="4">
        <v>1</v>
      </c>
      <c r="AO39" s="4">
        <v>0</v>
      </c>
      <c r="AP39" s="4">
        <v>0</v>
      </c>
      <c r="AQ39" s="4">
        <v>0</v>
      </c>
      <c r="AR39" s="4">
        <v>0</v>
      </c>
      <c r="AS39" s="4">
        <v>1</v>
      </c>
      <c r="AT39" s="4">
        <v>0</v>
      </c>
      <c r="AU39" s="4">
        <v>0</v>
      </c>
      <c r="AV39" s="4">
        <v>1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1</v>
      </c>
      <c r="BD39" s="4">
        <v>0</v>
      </c>
    </row>
    <row r="40" spans="1:56" x14ac:dyDescent="0.3">
      <c r="A40" s="4" t="s">
        <v>271</v>
      </c>
      <c r="B40" s="4">
        <v>0</v>
      </c>
      <c r="C40" s="4">
        <v>92</v>
      </c>
      <c r="D40" s="4">
        <v>1</v>
      </c>
      <c r="E40" s="4">
        <v>1</v>
      </c>
      <c r="F40" s="4">
        <v>0</v>
      </c>
      <c r="G40" s="4">
        <v>7.67</v>
      </c>
      <c r="H40" s="4">
        <v>3</v>
      </c>
      <c r="I40" s="4">
        <v>2</v>
      </c>
      <c r="J40" s="4">
        <v>1</v>
      </c>
      <c r="K40" s="4">
        <v>0</v>
      </c>
      <c r="L40" s="4">
        <v>13</v>
      </c>
      <c r="M40" s="4">
        <v>7.88</v>
      </c>
      <c r="N40" s="4">
        <v>5.5</v>
      </c>
      <c r="O40" s="4">
        <v>54.4</v>
      </c>
      <c r="P40" s="4">
        <v>2.1021000000000001</v>
      </c>
      <c r="Q40" s="4">
        <v>0</v>
      </c>
      <c r="R40" s="4">
        <v>0</v>
      </c>
      <c r="S40" s="4">
        <v>1</v>
      </c>
      <c r="T40" s="4">
        <v>0</v>
      </c>
      <c r="U40" s="4">
        <v>0</v>
      </c>
      <c r="V40" s="4">
        <v>1</v>
      </c>
      <c r="W40" s="4">
        <v>0</v>
      </c>
      <c r="X40" s="4">
        <v>0</v>
      </c>
      <c r="Y40" s="4">
        <v>1</v>
      </c>
      <c r="Z40" s="4">
        <v>1</v>
      </c>
      <c r="AA40" s="4">
        <v>1</v>
      </c>
      <c r="AB40" s="4">
        <v>0</v>
      </c>
      <c r="AC40" s="4">
        <v>0</v>
      </c>
      <c r="AD40" s="4">
        <v>1</v>
      </c>
      <c r="AE40" s="4">
        <v>0</v>
      </c>
      <c r="AF40" s="4">
        <v>1</v>
      </c>
      <c r="AG40" s="4">
        <v>0</v>
      </c>
      <c r="AH40" s="4">
        <v>1</v>
      </c>
      <c r="AI40" s="4">
        <v>0</v>
      </c>
      <c r="AJ40" s="4">
        <v>0</v>
      </c>
      <c r="AK40" s="4">
        <v>0</v>
      </c>
      <c r="AL40" s="4">
        <v>1</v>
      </c>
      <c r="AM40" s="4">
        <v>1</v>
      </c>
      <c r="AN40" s="4">
        <v>0</v>
      </c>
      <c r="AO40" s="4">
        <v>1</v>
      </c>
      <c r="AP40" s="4">
        <v>0</v>
      </c>
      <c r="AQ40" s="4">
        <v>0</v>
      </c>
      <c r="AR40" s="4">
        <v>0</v>
      </c>
      <c r="AS40" s="4">
        <v>1</v>
      </c>
      <c r="AT40" s="4">
        <v>0</v>
      </c>
      <c r="AU40" s="4">
        <v>0</v>
      </c>
      <c r="AV40" s="4">
        <v>1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1</v>
      </c>
      <c r="BD40" s="4">
        <v>1</v>
      </c>
    </row>
    <row r="41" spans="1:56" x14ac:dyDescent="0.3">
      <c r="A41" s="4" t="s">
        <v>275</v>
      </c>
      <c r="B41" s="4"/>
      <c r="C41" s="4"/>
      <c r="D41" s="4"/>
      <c r="E41" s="4"/>
      <c r="F41" s="4"/>
      <c r="G41" s="4">
        <v>9.7100000000000009</v>
      </c>
      <c r="H41" s="4">
        <v>3</v>
      </c>
      <c r="I41" s="4">
        <v>2</v>
      </c>
      <c r="J41" s="4">
        <v>1</v>
      </c>
      <c r="K41" s="4">
        <v>0</v>
      </c>
      <c r="L41" s="4">
        <v>13</v>
      </c>
      <c r="M41" s="4">
        <v>6.55</v>
      </c>
      <c r="N41" s="4">
        <v>5.7</v>
      </c>
      <c r="O41" s="4">
        <v>54.4</v>
      </c>
      <c r="P41" s="4">
        <v>2.1021000000000001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0</v>
      </c>
      <c r="AB41" s="4">
        <v>1</v>
      </c>
      <c r="AC41" s="4">
        <v>0</v>
      </c>
      <c r="AD41" s="4">
        <v>1</v>
      </c>
      <c r="AE41" s="4">
        <v>0</v>
      </c>
      <c r="AF41" s="4">
        <v>1</v>
      </c>
      <c r="AG41" s="4">
        <v>0</v>
      </c>
      <c r="AH41" s="4">
        <v>1</v>
      </c>
      <c r="AI41" s="4">
        <v>0</v>
      </c>
      <c r="AJ41" s="4">
        <v>0</v>
      </c>
      <c r="AK41" s="4">
        <v>0</v>
      </c>
      <c r="AL41" s="4">
        <v>0</v>
      </c>
      <c r="AM41" s="4">
        <v>1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1</v>
      </c>
      <c r="AT41" s="4">
        <v>0</v>
      </c>
      <c r="AU41" s="4">
        <v>0</v>
      </c>
      <c r="AV41" s="4">
        <v>1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</row>
    <row r="42" spans="1:56" x14ac:dyDescent="0.3">
      <c r="A42" s="4" t="s">
        <v>280</v>
      </c>
      <c r="B42" s="4">
        <v>0</v>
      </c>
      <c r="C42" s="4">
        <v>104</v>
      </c>
      <c r="D42" s="4">
        <v>1</v>
      </c>
      <c r="E42" s="4">
        <v>1</v>
      </c>
      <c r="F42" s="4">
        <v>0</v>
      </c>
      <c r="G42" s="4">
        <v>8.67</v>
      </c>
      <c r="H42" s="4">
        <v>3</v>
      </c>
      <c r="I42" s="4">
        <v>2</v>
      </c>
      <c r="J42" s="4">
        <v>3</v>
      </c>
      <c r="K42" s="4">
        <v>0</v>
      </c>
      <c r="L42" s="4">
        <v>13</v>
      </c>
      <c r="M42" s="4">
        <v>7.32</v>
      </c>
      <c r="N42" s="4">
        <v>5.54</v>
      </c>
      <c r="O42" s="4">
        <v>54.4</v>
      </c>
      <c r="P42" s="4">
        <v>2.1021000000000001</v>
      </c>
      <c r="Q42" s="4">
        <v>0</v>
      </c>
      <c r="R42" s="4">
        <v>0</v>
      </c>
      <c r="S42" s="4">
        <v>1</v>
      </c>
      <c r="T42" s="4">
        <v>0</v>
      </c>
      <c r="U42" s="4">
        <v>0</v>
      </c>
      <c r="V42" s="4">
        <v>1</v>
      </c>
      <c r="W42" s="4">
        <v>0</v>
      </c>
      <c r="X42" s="4">
        <v>0</v>
      </c>
      <c r="Y42" s="4">
        <v>1</v>
      </c>
      <c r="Z42" s="4">
        <v>1</v>
      </c>
      <c r="AA42" s="4">
        <v>1</v>
      </c>
      <c r="AB42" s="4">
        <v>0</v>
      </c>
      <c r="AC42" s="4">
        <v>0</v>
      </c>
      <c r="AD42" s="4">
        <v>1</v>
      </c>
      <c r="AE42" s="4">
        <v>0</v>
      </c>
      <c r="AF42" s="4">
        <v>1</v>
      </c>
      <c r="AG42" s="4">
        <v>0</v>
      </c>
      <c r="AH42" s="4">
        <v>1</v>
      </c>
      <c r="AI42" s="4">
        <v>0</v>
      </c>
      <c r="AJ42" s="4">
        <v>0</v>
      </c>
      <c r="AK42" s="4">
        <v>0</v>
      </c>
      <c r="AL42" s="4">
        <v>1</v>
      </c>
      <c r="AM42" s="4">
        <v>1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1</v>
      </c>
      <c r="AT42" s="4">
        <v>0</v>
      </c>
      <c r="AU42" s="4">
        <v>0</v>
      </c>
      <c r="AV42" s="4">
        <v>1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1</v>
      </c>
      <c r="BD42" s="4">
        <v>1</v>
      </c>
    </row>
    <row r="43" spans="1:56" x14ac:dyDescent="0.3">
      <c r="A43" s="4" t="s">
        <v>285</v>
      </c>
      <c r="B43" s="4">
        <v>0</v>
      </c>
      <c r="C43" s="4">
        <v>80</v>
      </c>
      <c r="D43" s="4">
        <v>1</v>
      </c>
      <c r="E43" s="4">
        <v>1</v>
      </c>
      <c r="F43" s="4">
        <v>0</v>
      </c>
      <c r="G43" s="4">
        <v>6.67</v>
      </c>
      <c r="H43" s="4">
        <v>3</v>
      </c>
      <c r="I43" s="4">
        <v>2</v>
      </c>
      <c r="J43" s="4">
        <v>2</v>
      </c>
      <c r="K43" s="4">
        <v>0.5</v>
      </c>
      <c r="L43" s="4">
        <v>13</v>
      </c>
      <c r="M43" s="4">
        <v>3.45</v>
      </c>
      <c r="N43" s="4">
        <v>5.69</v>
      </c>
      <c r="O43" s="4">
        <v>54.4</v>
      </c>
      <c r="P43" s="4">
        <v>2.1021000000000001</v>
      </c>
      <c r="Q43" s="4">
        <v>0</v>
      </c>
      <c r="R43" s="4">
        <v>0</v>
      </c>
      <c r="S43" s="4">
        <v>1</v>
      </c>
      <c r="T43" s="4">
        <v>0</v>
      </c>
      <c r="U43" s="4">
        <v>0</v>
      </c>
      <c r="V43" s="4">
        <v>1</v>
      </c>
      <c r="W43" s="4">
        <v>0</v>
      </c>
      <c r="X43" s="4">
        <v>0</v>
      </c>
      <c r="Y43" s="4">
        <v>1</v>
      </c>
      <c r="Z43" s="4">
        <v>1</v>
      </c>
      <c r="AA43" s="4">
        <v>1</v>
      </c>
      <c r="AB43" s="4">
        <v>0</v>
      </c>
      <c r="AC43" s="4">
        <v>1</v>
      </c>
      <c r="AD43" s="4">
        <v>0</v>
      </c>
      <c r="AE43" s="4">
        <v>0</v>
      </c>
      <c r="AF43" s="4">
        <v>1</v>
      </c>
      <c r="AG43" s="4">
        <v>0</v>
      </c>
      <c r="AH43" s="4">
        <v>1</v>
      </c>
      <c r="AI43" s="4">
        <v>1</v>
      </c>
      <c r="AJ43" s="4">
        <v>0</v>
      </c>
      <c r="AK43" s="4">
        <v>11.512935464920201</v>
      </c>
      <c r="AL43" s="4">
        <v>0</v>
      </c>
      <c r="AM43" s="4">
        <v>1</v>
      </c>
      <c r="AN43" s="4">
        <v>0</v>
      </c>
      <c r="AO43" s="4">
        <v>1</v>
      </c>
      <c r="AP43" s="4">
        <v>0</v>
      </c>
      <c r="AQ43" s="4">
        <v>0</v>
      </c>
      <c r="AR43" s="4">
        <v>0</v>
      </c>
      <c r="AS43" s="4">
        <v>1</v>
      </c>
      <c r="AT43" s="4">
        <v>0</v>
      </c>
      <c r="AU43" s="4">
        <v>0</v>
      </c>
      <c r="AV43" s="4">
        <v>1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1</v>
      </c>
      <c r="BD43" s="4">
        <v>1</v>
      </c>
    </row>
    <row r="44" spans="1:56" x14ac:dyDescent="0.3">
      <c r="A44" s="4" t="s">
        <v>291</v>
      </c>
      <c r="B44" s="4">
        <v>0</v>
      </c>
      <c r="C44" s="4">
        <v>92</v>
      </c>
      <c r="D44" s="4">
        <v>1</v>
      </c>
      <c r="E44" s="4">
        <v>1</v>
      </c>
      <c r="F44" s="4">
        <v>0</v>
      </c>
      <c r="G44" s="4">
        <v>7.67</v>
      </c>
      <c r="H44" s="4">
        <v>3</v>
      </c>
      <c r="I44" s="4">
        <v>2</v>
      </c>
      <c r="J44" s="4">
        <v>1</v>
      </c>
      <c r="K44" s="4">
        <v>0</v>
      </c>
      <c r="L44" s="4">
        <v>13</v>
      </c>
      <c r="M44" s="4">
        <v>7.88</v>
      </c>
      <c r="N44" s="4">
        <v>5.5</v>
      </c>
      <c r="O44" s="4">
        <v>54.4</v>
      </c>
      <c r="P44" s="4">
        <v>2.1021000000000001</v>
      </c>
      <c r="Q44" s="4">
        <v>0</v>
      </c>
      <c r="R44" s="4">
        <v>0</v>
      </c>
      <c r="S44" s="4">
        <v>1</v>
      </c>
      <c r="T44" s="4">
        <v>0</v>
      </c>
      <c r="U44" s="4">
        <v>0</v>
      </c>
      <c r="V44" s="4">
        <v>1</v>
      </c>
      <c r="W44" s="4">
        <v>0</v>
      </c>
      <c r="X44" s="4">
        <v>0</v>
      </c>
      <c r="Y44" s="4">
        <v>1</v>
      </c>
      <c r="Z44" s="4">
        <v>1</v>
      </c>
      <c r="AA44" s="4">
        <v>1</v>
      </c>
      <c r="AB44" s="4">
        <v>0</v>
      </c>
      <c r="AC44" s="4">
        <v>0</v>
      </c>
      <c r="AD44" s="4">
        <v>1</v>
      </c>
      <c r="AE44" s="4">
        <v>0</v>
      </c>
      <c r="AF44" s="4">
        <v>1</v>
      </c>
      <c r="AG44" s="4">
        <v>0</v>
      </c>
      <c r="AH44" s="4">
        <v>1</v>
      </c>
      <c r="AI44" s="4">
        <v>0</v>
      </c>
      <c r="AJ44" s="4">
        <v>0</v>
      </c>
      <c r="AK44" s="4">
        <v>0</v>
      </c>
      <c r="AL44" s="4">
        <v>0</v>
      </c>
      <c r="AM44" s="4">
        <v>1</v>
      </c>
      <c r="AN44" s="4">
        <v>1</v>
      </c>
      <c r="AO44" s="4">
        <v>0</v>
      </c>
      <c r="AP44" s="4">
        <v>0</v>
      </c>
      <c r="AQ44" s="4">
        <v>0</v>
      </c>
      <c r="AR44" s="4">
        <v>0</v>
      </c>
      <c r="AS44" s="4">
        <v>1</v>
      </c>
      <c r="AT44" s="4">
        <v>0</v>
      </c>
      <c r="AU44" s="4">
        <v>0</v>
      </c>
      <c r="AV44" s="4">
        <v>1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1</v>
      </c>
      <c r="BD44" s="4">
        <v>1</v>
      </c>
    </row>
    <row r="45" spans="1:56" x14ac:dyDescent="0.3">
      <c r="A45" s="4" t="s">
        <v>295</v>
      </c>
      <c r="B45" s="4">
        <v>0</v>
      </c>
      <c r="C45" s="4">
        <v>92</v>
      </c>
      <c r="D45" s="4"/>
      <c r="E45" s="4"/>
      <c r="F45" s="4">
        <v>0</v>
      </c>
      <c r="G45" s="4">
        <v>7.67</v>
      </c>
      <c r="H45" s="4">
        <v>3</v>
      </c>
      <c r="I45" s="4">
        <v>2</v>
      </c>
      <c r="J45" s="4">
        <v>1</v>
      </c>
      <c r="K45" s="4">
        <v>0</v>
      </c>
      <c r="L45" s="4">
        <v>13</v>
      </c>
      <c r="M45" s="4">
        <v>7.88</v>
      </c>
      <c r="N45" s="4">
        <v>5.5</v>
      </c>
      <c r="O45" s="4">
        <v>54.4</v>
      </c>
      <c r="P45" s="4">
        <v>2.1021000000000001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1</v>
      </c>
      <c r="W45" s="4">
        <v>0</v>
      </c>
      <c r="X45" s="4">
        <v>0</v>
      </c>
      <c r="Y45" s="4">
        <v>1</v>
      </c>
      <c r="Z45" s="4">
        <v>1</v>
      </c>
      <c r="AA45" s="4">
        <v>0</v>
      </c>
      <c r="AB45" s="4">
        <v>1</v>
      </c>
      <c r="AC45" s="4">
        <v>0</v>
      </c>
      <c r="AD45" s="4">
        <v>1</v>
      </c>
      <c r="AE45" s="4">
        <v>1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</v>
      </c>
      <c r="AN45" s="4">
        <v>0</v>
      </c>
      <c r="AO45" s="4">
        <v>1</v>
      </c>
      <c r="AP45" s="4">
        <v>0</v>
      </c>
      <c r="AQ45" s="4">
        <v>0</v>
      </c>
      <c r="AR45" s="4">
        <v>0</v>
      </c>
      <c r="AS45" s="4">
        <v>1</v>
      </c>
      <c r="AT45" s="4">
        <v>0</v>
      </c>
      <c r="AU45" s="4">
        <v>0</v>
      </c>
      <c r="AV45" s="4">
        <v>1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1</v>
      </c>
      <c r="BD45" s="4">
        <v>0</v>
      </c>
    </row>
    <row r="46" spans="1:56" x14ac:dyDescent="0.3">
      <c r="A46" s="4" t="s">
        <v>298</v>
      </c>
      <c r="B46" s="4">
        <v>0</v>
      </c>
      <c r="C46" s="4">
        <v>104</v>
      </c>
      <c r="D46" s="4">
        <v>1</v>
      </c>
      <c r="E46" s="4">
        <v>1</v>
      </c>
      <c r="F46" s="4">
        <v>0</v>
      </c>
      <c r="G46" s="4">
        <v>8.67</v>
      </c>
      <c r="H46" s="4">
        <v>3</v>
      </c>
      <c r="I46" s="4">
        <v>1</v>
      </c>
      <c r="J46" s="4">
        <v>1</v>
      </c>
      <c r="K46" s="4">
        <v>0</v>
      </c>
      <c r="L46" s="4">
        <v>13</v>
      </c>
      <c r="M46" s="4">
        <v>7.32</v>
      </c>
      <c r="N46" s="4">
        <v>5.54</v>
      </c>
      <c r="O46" s="4">
        <v>54.4</v>
      </c>
      <c r="P46" s="4">
        <v>2.1021000000000001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1</v>
      </c>
      <c r="W46" s="4">
        <v>0</v>
      </c>
      <c r="X46" s="4">
        <v>0</v>
      </c>
      <c r="Y46" s="4">
        <v>1</v>
      </c>
      <c r="Z46" s="4">
        <v>1</v>
      </c>
      <c r="AA46" s="4">
        <v>1</v>
      </c>
      <c r="AB46" s="4">
        <v>0</v>
      </c>
      <c r="AC46" s="4">
        <v>1</v>
      </c>
      <c r="AD46" s="4">
        <v>0</v>
      </c>
      <c r="AE46" s="4">
        <v>1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1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1</v>
      </c>
      <c r="AT46" s="4">
        <v>0</v>
      </c>
      <c r="AU46" s="4">
        <v>0</v>
      </c>
      <c r="AV46" s="4">
        <v>1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1</v>
      </c>
      <c r="BD46" s="4">
        <v>1</v>
      </c>
    </row>
    <row r="47" spans="1:56" x14ac:dyDescent="0.3">
      <c r="A47" s="4" t="s">
        <v>303</v>
      </c>
      <c r="B47" s="4">
        <v>0</v>
      </c>
      <c r="C47" s="4">
        <v>152</v>
      </c>
      <c r="D47" s="4"/>
      <c r="E47" s="4"/>
      <c r="F47" s="4">
        <v>0</v>
      </c>
      <c r="G47" s="4">
        <v>12.67</v>
      </c>
      <c r="H47" s="4">
        <v>3</v>
      </c>
      <c r="I47" s="4">
        <v>2</v>
      </c>
      <c r="J47" s="4">
        <v>1</v>
      </c>
      <c r="K47" s="4">
        <v>0</v>
      </c>
      <c r="L47" s="4">
        <v>13</v>
      </c>
      <c r="M47" s="4">
        <v>6.06</v>
      </c>
      <c r="N47" s="4">
        <v>6.99</v>
      </c>
      <c r="O47" s="4">
        <v>54.4</v>
      </c>
      <c r="P47" s="4">
        <v>2.1021000000000001</v>
      </c>
      <c r="Q47" s="4">
        <v>0</v>
      </c>
      <c r="R47" s="4">
        <v>0</v>
      </c>
      <c r="S47" s="4">
        <v>1</v>
      </c>
      <c r="T47" s="4">
        <v>0</v>
      </c>
      <c r="U47" s="4">
        <v>0</v>
      </c>
      <c r="V47" s="4">
        <v>1</v>
      </c>
      <c r="W47" s="4">
        <v>0</v>
      </c>
      <c r="X47" s="4">
        <v>0</v>
      </c>
      <c r="Y47" s="4">
        <v>1</v>
      </c>
      <c r="Z47" s="4">
        <v>1</v>
      </c>
      <c r="AA47" s="4">
        <v>0</v>
      </c>
      <c r="AB47" s="4">
        <v>1</v>
      </c>
      <c r="AC47" s="4">
        <v>0</v>
      </c>
      <c r="AD47" s="4">
        <v>1</v>
      </c>
      <c r="AE47" s="4">
        <v>0</v>
      </c>
      <c r="AF47" s="4">
        <v>1</v>
      </c>
      <c r="AG47" s="4">
        <v>0</v>
      </c>
      <c r="AH47" s="4">
        <v>1</v>
      </c>
      <c r="AI47" s="4">
        <v>0</v>
      </c>
      <c r="AJ47" s="4">
        <v>0</v>
      </c>
      <c r="AK47" s="4">
        <v>0</v>
      </c>
      <c r="AL47" s="4">
        <v>0</v>
      </c>
      <c r="AM47" s="4">
        <v>1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1</v>
      </c>
      <c r="AT47" s="4">
        <v>0</v>
      </c>
      <c r="AU47" s="4">
        <v>0</v>
      </c>
      <c r="AV47" s="4">
        <v>1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1</v>
      </c>
      <c r="BD47" s="4">
        <v>0</v>
      </c>
    </row>
    <row r="48" spans="1:56" x14ac:dyDescent="0.3">
      <c r="A48" s="4" t="s">
        <v>306</v>
      </c>
      <c r="B48" s="4">
        <v>0</v>
      </c>
      <c r="C48" s="4">
        <v>140</v>
      </c>
      <c r="D48" s="4">
        <v>1</v>
      </c>
      <c r="E48" s="4"/>
      <c r="F48" s="4">
        <v>0</v>
      </c>
      <c r="G48" s="4">
        <v>11.67</v>
      </c>
      <c r="H48" s="4">
        <v>3</v>
      </c>
      <c r="I48" s="4">
        <v>0</v>
      </c>
      <c r="J48" s="4">
        <v>1</v>
      </c>
      <c r="K48" s="4">
        <v>0</v>
      </c>
      <c r="L48" s="4">
        <v>13</v>
      </c>
      <c r="M48" s="4">
        <v>6.55</v>
      </c>
      <c r="N48" s="4">
        <v>6.4</v>
      </c>
      <c r="O48" s="4">
        <v>54.4</v>
      </c>
      <c r="P48" s="4">
        <v>2.1021000000000001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1</v>
      </c>
      <c r="W48" s="4">
        <v>0</v>
      </c>
      <c r="X48" s="4">
        <v>0</v>
      </c>
      <c r="Y48" s="4">
        <v>1</v>
      </c>
      <c r="Z48" s="4">
        <v>1</v>
      </c>
      <c r="AA48" s="4">
        <v>1</v>
      </c>
      <c r="AB48" s="4">
        <v>0</v>
      </c>
      <c r="AC48" s="4">
        <v>0</v>
      </c>
      <c r="AD48" s="4">
        <v>1</v>
      </c>
      <c r="AE48" s="4">
        <v>1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1</v>
      </c>
      <c r="AN48" s="4">
        <v>1</v>
      </c>
      <c r="AO48" s="4">
        <v>0</v>
      </c>
      <c r="AP48" s="4">
        <v>0</v>
      </c>
      <c r="AQ48" s="4">
        <v>0</v>
      </c>
      <c r="AR48" s="4">
        <v>0</v>
      </c>
      <c r="AS48" s="4">
        <v>1</v>
      </c>
      <c r="AT48" s="4">
        <v>0</v>
      </c>
      <c r="AU48" s="4">
        <v>0</v>
      </c>
      <c r="AV48" s="4">
        <v>1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1</v>
      </c>
      <c r="BD48" s="4">
        <v>1</v>
      </c>
    </row>
    <row r="49" spans="1:56" x14ac:dyDescent="0.3">
      <c r="A49" s="4" t="s">
        <v>310</v>
      </c>
      <c r="B49" s="4">
        <v>0</v>
      </c>
      <c r="C49" s="4">
        <v>80</v>
      </c>
      <c r="D49" s="4">
        <v>1</v>
      </c>
      <c r="E49" s="4">
        <v>1</v>
      </c>
      <c r="F49" s="4">
        <v>0</v>
      </c>
      <c r="G49" s="4">
        <v>6.67</v>
      </c>
      <c r="H49" s="4">
        <v>3</v>
      </c>
      <c r="I49" s="4">
        <v>1</v>
      </c>
      <c r="J49" s="4">
        <v>3</v>
      </c>
      <c r="K49" s="4">
        <v>0</v>
      </c>
      <c r="L49" s="4">
        <v>13</v>
      </c>
      <c r="M49" s="4">
        <v>3.45</v>
      </c>
      <c r="N49" s="4">
        <v>5.69</v>
      </c>
      <c r="O49" s="4">
        <v>54.4</v>
      </c>
      <c r="P49" s="4">
        <v>2.1021000000000001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1</v>
      </c>
      <c r="W49" s="4">
        <v>0</v>
      </c>
      <c r="X49" s="4">
        <v>0</v>
      </c>
      <c r="Y49" s="4">
        <v>1</v>
      </c>
      <c r="Z49" s="4">
        <v>1</v>
      </c>
      <c r="AA49" s="4">
        <v>1</v>
      </c>
      <c r="AB49" s="4">
        <v>0</v>
      </c>
      <c r="AC49" s="4">
        <v>0</v>
      </c>
      <c r="AD49" s="4">
        <v>1</v>
      </c>
      <c r="AE49" s="4">
        <v>1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1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1</v>
      </c>
      <c r="AT49" s="4">
        <v>0</v>
      </c>
      <c r="AU49" s="4">
        <v>0</v>
      </c>
      <c r="AV49" s="4">
        <v>1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1</v>
      </c>
      <c r="BD49" s="4">
        <v>1</v>
      </c>
    </row>
    <row r="50" spans="1:56" x14ac:dyDescent="0.3">
      <c r="A50" s="4" t="s">
        <v>314</v>
      </c>
      <c r="B50" s="4">
        <v>0</v>
      </c>
      <c r="C50" s="4">
        <v>176</v>
      </c>
      <c r="D50" s="4"/>
      <c r="E50" s="4"/>
      <c r="F50" s="4">
        <v>0</v>
      </c>
      <c r="G50" s="4">
        <v>14.67</v>
      </c>
      <c r="H50" s="4">
        <v>3</v>
      </c>
      <c r="I50" s="4">
        <v>2</v>
      </c>
      <c r="J50" s="4">
        <v>1</v>
      </c>
      <c r="K50" s="4">
        <v>0</v>
      </c>
      <c r="L50" s="4">
        <v>13</v>
      </c>
      <c r="M50" s="4">
        <v>6.52</v>
      </c>
      <c r="N50" s="4">
        <v>6.22</v>
      </c>
      <c r="O50" s="4">
        <v>54.4</v>
      </c>
      <c r="P50" s="4">
        <v>2.1021000000000001</v>
      </c>
      <c r="Q50" s="4">
        <v>0</v>
      </c>
      <c r="R50" s="4">
        <v>0</v>
      </c>
      <c r="S50" s="4">
        <v>1</v>
      </c>
      <c r="T50" s="4">
        <v>0</v>
      </c>
      <c r="U50" s="4">
        <v>0</v>
      </c>
      <c r="V50" s="4">
        <v>1</v>
      </c>
      <c r="W50" s="4">
        <v>0</v>
      </c>
      <c r="X50" s="4">
        <v>0</v>
      </c>
      <c r="Y50" s="4">
        <v>1</v>
      </c>
      <c r="Z50" s="4">
        <v>1</v>
      </c>
      <c r="AA50" s="4">
        <v>0</v>
      </c>
      <c r="AB50" s="4">
        <v>1</v>
      </c>
      <c r="AC50" s="4">
        <v>0</v>
      </c>
      <c r="AD50" s="4">
        <v>1</v>
      </c>
      <c r="AE50" s="4">
        <v>0</v>
      </c>
      <c r="AF50" s="4">
        <v>1</v>
      </c>
      <c r="AG50" s="4">
        <v>1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1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1</v>
      </c>
      <c r="AT50" s="4">
        <v>0</v>
      </c>
      <c r="AU50" s="4">
        <v>0</v>
      </c>
      <c r="AV50" s="4">
        <v>1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1</v>
      </c>
      <c r="BD50" s="4">
        <v>0</v>
      </c>
    </row>
    <row r="51" spans="1:56" x14ac:dyDescent="0.3">
      <c r="A51" s="4" t="s">
        <v>317</v>
      </c>
      <c r="B51" s="4">
        <v>0</v>
      </c>
      <c r="C51" s="4">
        <v>152</v>
      </c>
      <c r="D51" s="4"/>
      <c r="E51" s="4"/>
      <c r="F51" s="4">
        <v>0</v>
      </c>
      <c r="G51" s="4">
        <v>12.67</v>
      </c>
      <c r="H51" s="4">
        <v>3</v>
      </c>
      <c r="I51" s="4">
        <v>2</v>
      </c>
      <c r="J51" s="4">
        <v>2</v>
      </c>
      <c r="K51" s="4">
        <v>0</v>
      </c>
      <c r="L51" s="4">
        <v>13</v>
      </c>
      <c r="M51" s="4">
        <v>6.06</v>
      </c>
      <c r="N51" s="4">
        <v>6.99</v>
      </c>
      <c r="O51" s="4">
        <v>54.4</v>
      </c>
      <c r="P51" s="4">
        <v>2.1021000000000001</v>
      </c>
      <c r="Q51" s="4">
        <v>0</v>
      </c>
      <c r="R51" s="4">
        <v>0</v>
      </c>
      <c r="S51" s="4">
        <v>1</v>
      </c>
      <c r="T51" s="4">
        <v>1</v>
      </c>
      <c r="U51" s="4">
        <v>1</v>
      </c>
      <c r="V51" s="4">
        <v>1</v>
      </c>
      <c r="W51" s="4">
        <v>0</v>
      </c>
      <c r="X51" s="4">
        <v>0</v>
      </c>
      <c r="Y51" s="4">
        <v>1</v>
      </c>
      <c r="Z51" s="4">
        <v>1</v>
      </c>
      <c r="AA51" s="4">
        <v>0</v>
      </c>
      <c r="AB51" s="4">
        <v>1</v>
      </c>
      <c r="AC51" s="4">
        <v>0</v>
      </c>
      <c r="AD51" s="4">
        <v>1</v>
      </c>
      <c r="AE51" s="4">
        <v>0</v>
      </c>
      <c r="AF51" s="4">
        <v>1</v>
      </c>
      <c r="AG51" s="4">
        <v>0</v>
      </c>
      <c r="AH51" s="4">
        <v>1</v>
      </c>
      <c r="AI51" s="4">
        <v>0</v>
      </c>
      <c r="AJ51" s="4">
        <v>1</v>
      </c>
      <c r="AK51" s="4">
        <v>0</v>
      </c>
      <c r="AL51" s="4">
        <v>0</v>
      </c>
      <c r="AM51" s="4">
        <v>1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1</v>
      </c>
      <c r="AT51" s="4">
        <v>0</v>
      </c>
      <c r="AU51" s="4">
        <v>0</v>
      </c>
      <c r="AV51" s="4">
        <v>1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1</v>
      </c>
      <c r="BD51" s="4">
        <v>0</v>
      </c>
    </row>
    <row r="52" spans="1:56" x14ac:dyDescent="0.3">
      <c r="A52" s="4" t="s">
        <v>321</v>
      </c>
      <c r="B52" s="4">
        <v>0</v>
      </c>
      <c r="C52" s="4">
        <v>104</v>
      </c>
      <c r="D52" s="4">
        <v>1</v>
      </c>
      <c r="E52" s="4">
        <v>1</v>
      </c>
      <c r="F52" s="4">
        <v>0</v>
      </c>
      <c r="G52" s="4">
        <v>8.67</v>
      </c>
      <c r="H52" s="4">
        <v>3</v>
      </c>
      <c r="I52" s="4">
        <v>2</v>
      </c>
      <c r="J52" s="4">
        <v>1</v>
      </c>
      <c r="K52" s="4">
        <v>1</v>
      </c>
      <c r="L52" s="4">
        <v>20</v>
      </c>
      <c r="M52" s="4">
        <v>7.32</v>
      </c>
      <c r="N52" s="4">
        <v>5.54</v>
      </c>
      <c r="O52" s="4">
        <v>54.4</v>
      </c>
      <c r="P52" s="4">
        <v>2.1021000000000001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1</v>
      </c>
      <c r="Z52" s="4">
        <v>1</v>
      </c>
      <c r="AA52" s="4">
        <v>0</v>
      </c>
      <c r="AB52" s="4">
        <v>0</v>
      </c>
      <c r="AC52" s="4">
        <v>0</v>
      </c>
      <c r="AD52" s="4">
        <v>1</v>
      </c>
      <c r="AE52" s="4">
        <v>0</v>
      </c>
      <c r="AF52" s="4">
        <v>0</v>
      </c>
      <c r="AG52" s="4">
        <v>0</v>
      </c>
      <c r="AH52" s="4">
        <v>0</v>
      </c>
      <c r="AI52" s="4">
        <v>1</v>
      </c>
      <c r="AJ52" s="4">
        <v>0</v>
      </c>
      <c r="AK52" s="4">
        <v>0</v>
      </c>
      <c r="AL52" s="4">
        <v>0</v>
      </c>
      <c r="AM52" s="4">
        <v>1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1</v>
      </c>
      <c r="AT52" s="4">
        <v>0</v>
      </c>
      <c r="AU52" s="4">
        <v>0</v>
      </c>
      <c r="AV52" s="4">
        <v>0</v>
      </c>
      <c r="AW52" s="4">
        <v>0</v>
      </c>
      <c r="AX52" s="4">
        <v>1</v>
      </c>
      <c r="AY52" s="4">
        <v>0</v>
      </c>
      <c r="AZ52" s="4">
        <v>0</v>
      </c>
      <c r="BA52" s="4">
        <v>0</v>
      </c>
      <c r="BB52" s="4">
        <v>0</v>
      </c>
      <c r="BC52" s="4">
        <v>1</v>
      </c>
      <c r="BD52" s="4">
        <v>1</v>
      </c>
    </row>
    <row r="53" spans="1:56" x14ac:dyDescent="0.3">
      <c r="A53" s="4" t="s">
        <v>326</v>
      </c>
      <c r="B53" s="4">
        <v>0</v>
      </c>
      <c r="C53" s="4">
        <v>80</v>
      </c>
      <c r="D53" s="4">
        <v>1</v>
      </c>
      <c r="E53" s="4"/>
      <c r="F53" s="4">
        <v>0</v>
      </c>
      <c r="G53" s="4">
        <v>6.67</v>
      </c>
      <c r="H53" s="4">
        <v>3</v>
      </c>
      <c r="I53" s="4">
        <v>2</v>
      </c>
      <c r="J53" s="4">
        <v>2</v>
      </c>
      <c r="K53" s="4">
        <v>0</v>
      </c>
      <c r="L53" s="4">
        <v>13</v>
      </c>
      <c r="M53" s="4">
        <v>3.45</v>
      </c>
      <c r="N53" s="4">
        <v>5.69</v>
      </c>
      <c r="O53" s="4">
        <v>54.4</v>
      </c>
      <c r="P53" s="4">
        <v>0.84509999999999996</v>
      </c>
      <c r="Q53" s="4">
        <v>0</v>
      </c>
      <c r="R53" s="4">
        <v>0</v>
      </c>
      <c r="S53" s="4">
        <v>1</v>
      </c>
      <c r="T53" s="4">
        <v>0</v>
      </c>
      <c r="U53" s="4">
        <v>0</v>
      </c>
      <c r="V53" s="4">
        <v>1</v>
      </c>
      <c r="W53" s="4">
        <v>0</v>
      </c>
      <c r="X53" s="4">
        <v>0</v>
      </c>
      <c r="Y53" s="4">
        <v>1</v>
      </c>
      <c r="Z53" s="4">
        <v>0</v>
      </c>
      <c r="AA53" s="4">
        <v>1</v>
      </c>
      <c r="AB53" s="4">
        <v>0</v>
      </c>
      <c r="AC53" s="4">
        <v>0</v>
      </c>
      <c r="AD53" s="4">
        <v>1</v>
      </c>
      <c r="AE53" s="4">
        <v>0</v>
      </c>
      <c r="AF53" s="4">
        <v>1</v>
      </c>
      <c r="AG53" s="4">
        <v>1</v>
      </c>
      <c r="AH53" s="4">
        <v>0</v>
      </c>
      <c r="AI53" s="4">
        <v>0</v>
      </c>
      <c r="AJ53" s="4">
        <v>0</v>
      </c>
      <c r="AK53" s="4">
        <v>0</v>
      </c>
      <c r="AL53" s="4">
        <v>1</v>
      </c>
      <c r="AM53" s="4">
        <v>1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1</v>
      </c>
      <c r="AT53" s="4">
        <v>0</v>
      </c>
      <c r="AU53" s="4">
        <v>0</v>
      </c>
      <c r="AV53" s="4">
        <v>0</v>
      </c>
      <c r="AW53" s="4">
        <v>0</v>
      </c>
      <c r="AX53" s="4">
        <v>1</v>
      </c>
      <c r="AY53" s="4">
        <v>0</v>
      </c>
      <c r="AZ53" s="4">
        <v>0</v>
      </c>
      <c r="BA53" s="4">
        <v>0</v>
      </c>
      <c r="BB53" s="4">
        <v>0</v>
      </c>
      <c r="BC53" s="4">
        <v>1</v>
      </c>
      <c r="BD53" s="4">
        <v>1</v>
      </c>
    </row>
    <row r="54" spans="1:56" x14ac:dyDescent="0.3">
      <c r="A54" s="4" t="s">
        <v>330</v>
      </c>
      <c r="B54" s="4">
        <v>0</v>
      </c>
      <c r="C54" s="4">
        <v>80</v>
      </c>
      <c r="D54" s="4">
        <v>1</v>
      </c>
      <c r="E54" s="4">
        <v>1</v>
      </c>
      <c r="F54" s="4">
        <v>0</v>
      </c>
      <c r="G54" s="4">
        <v>6.67</v>
      </c>
      <c r="H54" s="4">
        <v>3</v>
      </c>
      <c r="I54" s="4">
        <v>2</v>
      </c>
      <c r="J54" s="4">
        <v>4</v>
      </c>
      <c r="K54" s="4">
        <v>0.25</v>
      </c>
      <c r="L54" s="4">
        <v>10</v>
      </c>
      <c r="M54" s="4">
        <v>3.45</v>
      </c>
      <c r="N54" s="4">
        <v>5.69</v>
      </c>
      <c r="O54" s="4">
        <v>54.4</v>
      </c>
      <c r="P54" s="4">
        <v>2.1021000000000001</v>
      </c>
      <c r="Q54" s="4">
        <v>0</v>
      </c>
      <c r="R54" s="4">
        <v>0</v>
      </c>
      <c r="S54" s="4">
        <v>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1</v>
      </c>
      <c r="Z54" s="4">
        <v>1</v>
      </c>
      <c r="AA54" s="4">
        <v>1</v>
      </c>
      <c r="AB54" s="4">
        <v>0</v>
      </c>
      <c r="AC54" s="4">
        <v>0</v>
      </c>
      <c r="AD54" s="4">
        <v>1</v>
      </c>
      <c r="AE54" s="4">
        <v>0</v>
      </c>
      <c r="AF54" s="4">
        <v>0</v>
      </c>
      <c r="AG54" s="4">
        <v>1</v>
      </c>
      <c r="AH54" s="4">
        <v>0</v>
      </c>
      <c r="AI54" s="4">
        <v>1</v>
      </c>
      <c r="AJ54" s="4">
        <v>0</v>
      </c>
      <c r="AK54" s="4">
        <v>0</v>
      </c>
      <c r="AL54" s="4">
        <v>0</v>
      </c>
      <c r="AM54" s="4">
        <v>1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1</v>
      </c>
      <c r="AT54" s="4">
        <v>0</v>
      </c>
      <c r="AU54" s="4">
        <v>0</v>
      </c>
      <c r="AV54" s="4">
        <v>0</v>
      </c>
      <c r="AW54" s="4">
        <v>0</v>
      </c>
      <c r="AX54" s="4">
        <v>1</v>
      </c>
      <c r="AY54" s="4">
        <v>0</v>
      </c>
      <c r="AZ54" s="4">
        <v>0</v>
      </c>
      <c r="BA54" s="4">
        <v>0</v>
      </c>
      <c r="BB54" s="4">
        <v>0</v>
      </c>
      <c r="BC54" s="4">
        <v>1</v>
      </c>
      <c r="BD54" s="4">
        <v>1</v>
      </c>
    </row>
    <row r="55" spans="1:56" x14ac:dyDescent="0.3">
      <c r="A55" s="4" t="s">
        <v>335</v>
      </c>
      <c r="B55" s="4">
        <v>0</v>
      </c>
      <c r="C55" s="4">
        <v>128</v>
      </c>
      <c r="D55" s="4">
        <v>1</v>
      </c>
      <c r="E55" s="4">
        <v>1</v>
      </c>
      <c r="F55" s="4">
        <v>0</v>
      </c>
      <c r="G55" s="4">
        <v>10.67</v>
      </c>
      <c r="H55" s="4">
        <v>3</v>
      </c>
      <c r="I55" s="4">
        <v>2</v>
      </c>
      <c r="J55" s="4">
        <v>1</v>
      </c>
      <c r="K55" s="4">
        <v>1</v>
      </c>
      <c r="L55" s="4">
        <v>13</v>
      </c>
      <c r="M55" s="4">
        <v>7.11</v>
      </c>
      <c r="N55" s="4">
        <v>5.51</v>
      </c>
      <c r="O55" s="4">
        <v>54.4</v>
      </c>
      <c r="P55" s="4">
        <v>1.4983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1</v>
      </c>
      <c r="Z55" s="4">
        <v>0</v>
      </c>
      <c r="AA55" s="4">
        <v>1</v>
      </c>
      <c r="AB55" s="4">
        <v>0</v>
      </c>
      <c r="AC55" s="4">
        <v>1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1</v>
      </c>
      <c r="AJ55" s="4">
        <v>0</v>
      </c>
      <c r="AK55" s="4">
        <v>11.589895765322799</v>
      </c>
      <c r="AL55" s="4">
        <v>1</v>
      </c>
      <c r="AM55" s="4">
        <v>1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1</v>
      </c>
      <c r="AT55" s="4">
        <v>0</v>
      </c>
      <c r="AU55" s="4">
        <v>0</v>
      </c>
      <c r="AV55" s="4">
        <v>0</v>
      </c>
      <c r="AW55" s="4">
        <v>0</v>
      </c>
      <c r="AX55" s="4">
        <v>1</v>
      </c>
      <c r="AY55" s="4">
        <v>0</v>
      </c>
      <c r="AZ55" s="4">
        <v>0</v>
      </c>
      <c r="BA55" s="4">
        <v>0</v>
      </c>
      <c r="BB55" s="4">
        <v>0</v>
      </c>
      <c r="BC55" s="4">
        <v>1</v>
      </c>
      <c r="BD55" s="4">
        <v>1</v>
      </c>
    </row>
    <row r="56" spans="1:56" x14ac:dyDescent="0.3">
      <c r="A56" s="4" t="s">
        <v>340</v>
      </c>
      <c r="B56" s="4">
        <v>0</v>
      </c>
      <c r="C56" s="4">
        <v>140</v>
      </c>
      <c r="D56" s="4">
        <v>1</v>
      </c>
      <c r="E56" s="4">
        <v>1</v>
      </c>
      <c r="F56" s="4">
        <v>0</v>
      </c>
      <c r="G56" s="4">
        <v>11.67</v>
      </c>
      <c r="H56" s="4">
        <v>3</v>
      </c>
      <c r="I56" s="4">
        <v>1</v>
      </c>
      <c r="J56" s="4">
        <v>1</v>
      </c>
      <c r="K56" s="4">
        <v>1</v>
      </c>
      <c r="L56" s="4">
        <v>13</v>
      </c>
      <c r="M56" s="4">
        <v>6.55</v>
      </c>
      <c r="N56" s="4">
        <v>6.4</v>
      </c>
      <c r="O56" s="4">
        <v>54.4</v>
      </c>
      <c r="P56" s="4">
        <v>2.1021000000000001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1</v>
      </c>
      <c r="W56" s="4">
        <v>0</v>
      </c>
      <c r="X56" s="4">
        <v>0</v>
      </c>
      <c r="Y56" s="4">
        <v>1</v>
      </c>
      <c r="Z56" s="4">
        <v>1</v>
      </c>
      <c r="AA56" s="4">
        <v>1</v>
      </c>
      <c r="AB56" s="4">
        <v>0</v>
      </c>
      <c r="AC56" s="4">
        <v>1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1</v>
      </c>
      <c r="AJ56" s="4">
        <v>0</v>
      </c>
      <c r="AK56" s="4">
        <v>0</v>
      </c>
      <c r="AL56" s="4">
        <v>1</v>
      </c>
      <c r="AM56" s="4">
        <v>1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1</v>
      </c>
      <c r="AT56" s="4">
        <v>0</v>
      </c>
      <c r="AU56" s="4">
        <v>0</v>
      </c>
      <c r="AV56" s="4">
        <v>0</v>
      </c>
      <c r="AW56" s="4">
        <v>0</v>
      </c>
      <c r="AX56" s="4">
        <v>1</v>
      </c>
      <c r="AY56" s="4">
        <v>0</v>
      </c>
      <c r="AZ56" s="4">
        <v>0</v>
      </c>
      <c r="BA56" s="4">
        <v>0</v>
      </c>
      <c r="BB56" s="4">
        <v>0</v>
      </c>
      <c r="BC56" s="4">
        <v>1</v>
      </c>
      <c r="BD56" s="4">
        <v>1</v>
      </c>
    </row>
    <row r="57" spans="1:56" x14ac:dyDescent="0.3">
      <c r="A57" s="4" t="s">
        <v>345</v>
      </c>
      <c r="B57" s="4">
        <v>0</v>
      </c>
      <c r="C57" s="4">
        <v>152</v>
      </c>
      <c r="D57" s="4">
        <v>1</v>
      </c>
      <c r="E57" s="4">
        <v>1</v>
      </c>
      <c r="F57" s="4">
        <v>0</v>
      </c>
      <c r="G57" s="4">
        <v>12.67</v>
      </c>
      <c r="H57" s="4">
        <v>3</v>
      </c>
      <c r="I57" s="4">
        <v>2</v>
      </c>
      <c r="J57" s="4">
        <v>1</v>
      </c>
      <c r="K57" s="4">
        <v>0</v>
      </c>
      <c r="L57" s="4">
        <v>6.5</v>
      </c>
      <c r="M57" s="4">
        <v>6.06</v>
      </c>
      <c r="N57" s="4">
        <v>6.99</v>
      </c>
      <c r="O57" s="4">
        <v>54.4</v>
      </c>
      <c r="P57" s="4">
        <v>0.84509999999999996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1</v>
      </c>
      <c r="Z57" s="4">
        <v>0</v>
      </c>
      <c r="AA57" s="4">
        <v>1</v>
      </c>
      <c r="AB57" s="4">
        <v>0</v>
      </c>
      <c r="AC57" s="4">
        <v>1</v>
      </c>
      <c r="AD57" s="4">
        <v>0</v>
      </c>
      <c r="AE57" s="4">
        <v>1</v>
      </c>
      <c r="AF57" s="4">
        <v>0</v>
      </c>
      <c r="AG57" s="4">
        <v>1</v>
      </c>
      <c r="AH57" s="4">
        <v>0</v>
      </c>
      <c r="AI57" s="4">
        <v>0</v>
      </c>
      <c r="AJ57" s="4">
        <v>0</v>
      </c>
      <c r="AK57" s="4">
        <v>0</v>
      </c>
      <c r="AL57" s="4">
        <v>1</v>
      </c>
      <c r="AM57" s="4">
        <v>0</v>
      </c>
      <c r="AN57" s="4">
        <v>1</v>
      </c>
      <c r="AO57" s="4">
        <v>0</v>
      </c>
      <c r="AP57" s="4">
        <v>0</v>
      </c>
      <c r="AQ57" s="4">
        <v>0</v>
      </c>
      <c r="AR57" s="4">
        <v>0</v>
      </c>
      <c r="AS57" s="4">
        <v>1</v>
      </c>
      <c r="AT57" s="4">
        <v>0</v>
      </c>
      <c r="AU57" s="4">
        <v>0</v>
      </c>
      <c r="AV57" s="4">
        <v>0</v>
      </c>
      <c r="AW57" s="4">
        <v>0</v>
      </c>
      <c r="AX57" s="4">
        <v>1</v>
      </c>
      <c r="AY57" s="4">
        <v>0</v>
      </c>
      <c r="AZ57" s="4">
        <v>0</v>
      </c>
      <c r="BA57" s="4">
        <v>0</v>
      </c>
      <c r="BB57" s="4">
        <v>0</v>
      </c>
      <c r="BC57" s="4">
        <v>1</v>
      </c>
      <c r="BD57" s="4">
        <v>1</v>
      </c>
    </row>
    <row r="58" spans="1:56" x14ac:dyDescent="0.3">
      <c r="A58" s="4" t="s">
        <v>350</v>
      </c>
      <c r="B58" s="4">
        <v>0</v>
      </c>
      <c r="C58" s="4">
        <v>80</v>
      </c>
      <c r="D58" s="4">
        <v>1</v>
      </c>
      <c r="E58" s="4">
        <v>1</v>
      </c>
      <c r="F58" s="4">
        <v>0</v>
      </c>
      <c r="G58" s="4">
        <v>6.67</v>
      </c>
      <c r="H58" s="4">
        <v>3</v>
      </c>
      <c r="I58" s="4">
        <v>2</v>
      </c>
      <c r="J58" s="4">
        <v>1</v>
      </c>
      <c r="K58" s="4">
        <v>0</v>
      </c>
      <c r="L58" s="4">
        <v>13</v>
      </c>
      <c r="M58" s="4">
        <v>3.45</v>
      </c>
      <c r="N58" s="4">
        <v>5.69</v>
      </c>
      <c r="O58" s="4">
        <v>54.4</v>
      </c>
      <c r="P58" s="4">
        <v>2.1021000000000001</v>
      </c>
      <c r="Q58" s="4">
        <v>0</v>
      </c>
      <c r="R58" s="4">
        <v>0</v>
      </c>
      <c r="S58" s="4">
        <v>1</v>
      </c>
      <c r="T58" s="4">
        <v>0</v>
      </c>
      <c r="U58" s="4">
        <v>0</v>
      </c>
      <c r="V58" s="4">
        <v>1</v>
      </c>
      <c r="W58" s="4">
        <v>0</v>
      </c>
      <c r="X58" s="4">
        <v>0</v>
      </c>
      <c r="Y58" s="4">
        <v>1</v>
      </c>
      <c r="Z58" s="4">
        <v>1</v>
      </c>
      <c r="AA58" s="4">
        <v>1</v>
      </c>
      <c r="AB58" s="4">
        <v>0</v>
      </c>
      <c r="AC58" s="4">
        <v>1</v>
      </c>
      <c r="AD58" s="4">
        <v>0</v>
      </c>
      <c r="AE58" s="4">
        <v>0</v>
      </c>
      <c r="AF58" s="4">
        <v>1</v>
      </c>
      <c r="AG58" s="4">
        <v>0</v>
      </c>
      <c r="AH58" s="4">
        <v>1</v>
      </c>
      <c r="AI58" s="4">
        <v>0</v>
      </c>
      <c r="AJ58" s="4">
        <v>0</v>
      </c>
      <c r="AK58" s="4">
        <v>0</v>
      </c>
      <c r="AL58" s="4">
        <v>0</v>
      </c>
      <c r="AM58" s="4">
        <v>1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1</v>
      </c>
      <c r="AT58" s="4">
        <v>0</v>
      </c>
      <c r="AU58" s="4">
        <v>0</v>
      </c>
      <c r="AV58" s="4">
        <v>0</v>
      </c>
      <c r="AW58" s="4">
        <v>0</v>
      </c>
      <c r="AX58" s="4">
        <v>1</v>
      </c>
      <c r="AY58" s="4">
        <v>0</v>
      </c>
      <c r="AZ58" s="4">
        <v>0</v>
      </c>
      <c r="BA58" s="4">
        <v>0</v>
      </c>
      <c r="BB58" s="4">
        <v>0</v>
      </c>
      <c r="BC58" s="4">
        <v>1</v>
      </c>
      <c r="BD58" s="4">
        <v>1</v>
      </c>
    </row>
    <row r="59" spans="1:56" x14ac:dyDescent="0.3">
      <c r="A59" s="4" t="s">
        <v>355</v>
      </c>
      <c r="B59" s="4">
        <v>0</v>
      </c>
      <c r="C59" s="4">
        <v>140</v>
      </c>
      <c r="D59" s="4">
        <v>1</v>
      </c>
      <c r="E59" s="4">
        <v>1</v>
      </c>
      <c r="F59" s="4">
        <v>0</v>
      </c>
      <c r="G59" s="4">
        <v>11.67</v>
      </c>
      <c r="H59" s="4">
        <v>3</v>
      </c>
      <c r="I59" s="4">
        <v>2</v>
      </c>
      <c r="J59" s="4">
        <v>1</v>
      </c>
      <c r="K59" s="4">
        <v>0</v>
      </c>
      <c r="L59" s="4">
        <v>13</v>
      </c>
      <c r="M59" s="4">
        <v>6.55</v>
      </c>
      <c r="N59" s="4">
        <v>6.4</v>
      </c>
      <c r="O59" s="4">
        <v>54.4</v>
      </c>
      <c r="P59" s="4">
        <v>2.1021000000000001</v>
      </c>
      <c r="Q59" s="4">
        <v>0</v>
      </c>
      <c r="R59" s="4">
        <v>0</v>
      </c>
      <c r="S59" s="4">
        <v>1</v>
      </c>
      <c r="T59" s="4">
        <v>0</v>
      </c>
      <c r="U59" s="4">
        <v>0</v>
      </c>
      <c r="V59" s="4">
        <v>1</v>
      </c>
      <c r="W59" s="4">
        <v>0</v>
      </c>
      <c r="X59" s="4">
        <v>0</v>
      </c>
      <c r="Y59" s="4">
        <v>1</v>
      </c>
      <c r="Z59" s="4">
        <v>1</v>
      </c>
      <c r="AA59" s="4">
        <v>0</v>
      </c>
      <c r="AB59" s="4">
        <v>1</v>
      </c>
      <c r="AC59" s="4">
        <v>0</v>
      </c>
      <c r="AD59" s="4">
        <v>1</v>
      </c>
      <c r="AE59" s="4">
        <v>1</v>
      </c>
      <c r="AF59" s="4">
        <v>0</v>
      </c>
      <c r="AG59" s="4">
        <v>1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1</v>
      </c>
      <c r="AN59" s="4">
        <v>1</v>
      </c>
      <c r="AO59" s="4">
        <v>0</v>
      </c>
      <c r="AP59" s="4">
        <v>0</v>
      </c>
      <c r="AQ59" s="4">
        <v>0</v>
      </c>
      <c r="AR59" s="4">
        <v>0</v>
      </c>
      <c r="AS59" s="4">
        <v>1</v>
      </c>
      <c r="AT59" s="4">
        <v>0</v>
      </c>
      <c r="AU59" s="4">
        <v>0</v>
      </c>
      <c r="AV59" s="4">
        <v>0</v>
      </c>
      <c r="AW59" s="4">
        <v>0</v>
      </c>
      <c r="AX59" s="4">
        <v>1</v>
      </c>
      <c r="AY59" s="4">
        <v>0</v>
      </c>
      <c r="AZ59" s="4">
        <v>0</v>
      </c>
      <c r="BA59" s="4">
        <v>0</v>
      </c>
      <c r="BB59" s="4">
        <v>0</v>
      </c>
      <c r="BC59" s="4">
        <v>1</v>
      </c>
      <c r="BD59" s="4">
        <v>1</v>
      </c>
    </row>
    <row r="60" spans="1:56" x14ac:dyDescent="0.3">
      <c r="A60" s="4" t="s">
        <v>358</v>
      </c>
      <c r="B60" s="4">
        <v>0</v>
      </c>
      <c r="C60" s="4">
        <v>116</v>
      </c>
      <c r="D60" s="4">
        <v>1</v>
      </c>
      <c r="E60" s="4">
        <v>1</v>
      </c>
      <c r="F60" s="4">
        <v>0</v>
      </c>
      <c r="G60" s="4">
        <v>9.67</v>
      </c>
      <c r="H60" s="4">
        <v>3</v>
      </c>
      <c r="I60" s="4">
        <v>2</v>
      </c>
      <c r="J60" s="4">
        <v>2</v>
      </c>
      <c r="K60" s="4">
        <v>0</v>
      </c>
      <c r="L60" s="4">
        <v>13</v>
      </c>
      <c r="M60" s="4">
        <v>6.59</v>
      </c>
      <c r="N60" s="4">
        <v>5.7</v>
      </c>
      <c r="O60" s="4">
        <v>54.4</v>
      </c>
      <c r="P60" s="4">
        <v>2.1021000000000001</v>
      </c>
      <c r="Q60" s="4">
        <v>0</v>
      </c>
      <c r="R60" s="4">
        <v>0</v>
      </c>
      <c r="S60" s="4">
        <v>1</v>
      </c>
      <c r="T60" s="4">
        <v>0</v>
      </c>
      <c r="U60" s="4">
        <v>0</v>
      </c>
      <c r="V60" s="4">
        <v>1</v>
      </c>
      <c r="W60" s="4">
        <v>0</v>
      </c>
      <c r="X60" s="4">
        <v>0</v>
      </c>
      <c r="Y60" s="4">
        <v>1</v>
      </c>
      <c r="Z60" s="4">
        <v>1</v>
      </c>
      <c r="AA60" s="4">
        <v>1</v>
      </c>
      <c r="AB60" s="4">
        <v>0</v>
      </c>
      <c r="AC60" s="4">
        <v>0</v>
      </c>
      <c r="AD60" s="4">
        <v>1</v>
      </c>
      <c r="AE60" s="4">
        <v>0</v>
      </c>
      <c r="AF60" s="4">
        <v>1</v>
      </c>
      <c r="AG60" s="4">
        <v>0</v>
      </c>
      <c r="AH60" s="4">
        <v>1</v>
      </c>
      <c r="AI60" s="4">
        <v>0</v>
      </c>
      <c r="AJ60" s="4">
        <v>0</v>
      </c>
      <c r="AK60" s="4">
        <v>0</v>
      </c>
      <c r="AL60" s="4">
        <v>1</v>
      </c>
      <c r="AM60" s="4">
        <v>1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1</v>
      </c>
      <c r="AT60" s="4">
        <v>0</v>
      </c>
      <c r="AU60" s="4">
        <v>0</v>
      </c>
      <c r="AV60" s="4">
        <v>0</v>
      </c>
      <c r="AW60" s="4">
        <v>0</v>
      </c>
      <c r="AX60" s="4">
        <v>1</v>
      </c>
      <c r="AY60" s="4">
        <v>0</v>
      </c>
      <c r="AZ60" s="4">
        <v>0</v>
      </c>
      <c r="BA60" s="4">
        <v>0</v>
      </c>
      <c r="BB60" s="4">
        <v>0</v>
      </c>
      <c r="BC60" s="4">
        <v>1</v>
      </c>
      <c r="BD60" s="4">
        <v>1</v>
      </c>
    </row>
    <row r="61" spans="1:56" x14ac:dyDescent="0.3">
      <c r="A61" s="4" t="s">
        <v>361</v>
      </c>
      <c r="B61" s="4">
        <v>0</v>
      </c>
      <c r="C61" s="4">
        <v>104</v>
      </c>
      <c r="D61" s="4"/>
      <c r="E61" s="4"/>
      <c r="F61" s="4">
        <v>0</v>
      </c>
      <c r="G61" s="4">
        <v>8.67</v>
      </c>
      <c r="H61" s="4">
        <v>3</v>
      </c>
      <c r="I61" s="4">
        <v>2</v>
      </c>
      <c r="J61" s="4">
        <v>2</v>
      </c>
      <c r="K61" s="4">
        <v>0</v>
      </c>
      <c r="L61" s="4">
        <v>13</v>
      </c>
      <c r="M61" s="4">
        <v>7.32</v>
      </c>
      <c r="N61" s="4">
        <v>5.54</v>
      </c>
      <c r="O61" s="4">
        <v>54.4</v>
      </c>
      <c r="P61" s="4">
        <v>2.1021000000000001</v>
      </c>
      <c r="Q61" s="4">
        <v>0</v>
      </c>
      <c r="R61" s="4">
        <v>0</v>
      </c>
      <c r="S61" s="4">
        <v>1</v>
      </c>
      <c r="T61" s="4">
        <v>1</v>
      </c>
      <c r="U61" s="4">
        <v>1</v>
      </c>
      <c r="V61" s="4">
        <v>1</v>
      </c>
      <c r="W61" s="4">
        <v>0</v>
      </c>
      <c r="X61" s="4">
        <v>0</v>
      </c>
      <c r="Y61" s="4">
        <v>1</v>
      </c>
      <c r="Z61" s="4">
        <v>1</v>
      </c>
      <c r="AA61" s="4">
        <v>0</v>
      </c>
      <c r="AB61" s="4">
        <v>1</v>
      </c>
      <c r="AC61" s="4">
        <v>0</v>
      </c>
      <c r="AD61" s="4">
        <v>1</v>
      </c>
      <c r="AE61" s="4">
        <v>0</v>
      </c>
      <c r="AF61" s="4">
        <v>1</v>
      </c>
      <c r="AG61" s="4">
        <v>0</v>
      </c>
      <c r="AH61" s="4">
        <v>1</v>
      </c>
      <c r="AI61" s="4">
        <v>0</v>
      </c>
      <c r="AJ61" s="4">
        <v>1</v>
      </c>
      <c r="AK61" s="4">
        <v>0</v>
      </c>
      <c r="AL61" s="4">
        <v>1</v>
      </c>
      <c r="AM61" s="4">
        <v>1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1</v>
      </c>
      <c r="AT61" s="4">
        <v>0</v>
      </c>
      <c r="AU61" s="4">
        <v>0</v>
      </c>
      <c r="AV61" s="4">
        <v>0</v>
      </c>
      <c r="AW61" s="4">
        <v>0</v>
      </c>
      <c r="AX61" s="4">
        <v>1</v>
      </c>
      <c r="AY61" s="4">
        <v>0</v>
      </c>
      <c r="AZ61" s="4">
        <v>0</v>
      </c>
      <c r="BA61" s="4">
        <v>0</v>
      </c>
      <c r="BB61" s="4">
        <v>0</v>
      </c>
      <c r="BC61" s="4">
        <v>1</v>
      </c>
      <c r="BD61" s="4">
        <v>0</v>
      </c>
    </row>
    <row r="62" spans="1:56" x14ac:dyDescent="0.3">
      <c r="A62" s="4" t="s">
        <v>363</v>
      </c>
      <c r="B62" s="4">
        <v>1</v>
      </c>
      <c r="C62" s="4">
        <v>29</v>
      </c>
      <c r="D62" s="4">
        <v>1</v>
      </c>
      <c r="E62" s="4">
        <v>1</v>
      </c>
      <c r="F62" s="4">
        <v>0</v>
      </c>
      <c r="G62" s="4">
        <v>2.58</v>
      </c>
      <c r="H62" s="4">
        <v>2</v>
      </c>
      <c r="I62" s="4">
        <v>1</v>
      </c>
      <c r="J62" s="4">
        <v>1</v>
      </c>
      <c r="K62" s="4">
        <v>1</v>
      </c>
      <c r="L62" s="4">
        <v>7</v>
      </c>
      <c r="M62" s="4">
        <v>4.22</v>
      </c>
      <c r="N62" s="4">
        <v>9.6999999999999993</v>
      </c>
      <c r="O62" s="4">
        <v>26.8</v>
      </c>
      <c r="P62" s="4">
        <v>2.1021000000000001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1</v>
      </c>
      <c r="AA62" s="4">
        <v>1</v>
      </c>
      <c r="AB62" s="4">
        <v>0</v>
      </c>
      <c r="AC62" s="4">
        <v>0</v>
      </c>
      <c r="AD62" s="4">
        <v>1</v>
      </c>
      <c r="AE62" s="4">
        <v>1</v>
      </c>
      <c r="AF62" s="4">
        <v>0</v>
      </c>
      <c r="AG62" s="4">
        <v>1</v>
      </c>
      <c r="AH62" s="4">
        <v>0</v>
      </c>
      <c r="AI62" s="4">
        <v>1</v>
      </c>
      <c r="AJ62" s="4">
        <v>0</v>
      </c>
      <c r="AK62" s="4">
        <v>0</v>
      </c>
      <c r="AL62" s="4">
        <v>0</v>
      </c>
      <c r="AM62" s="4">
        <v>1</v>
      </c>
      <c r="AN62" s="4">
        <v>1</v>
      </c>
      <c r="AO62" s="4">
        <v>0</v>
      </c>
      <c r="AP62" s="4">
        <v>0</v>
      </c>
      <c r="AQ62" s="4">
        <v>0</v>
      </c>
      <c r="AR62" s="4">
        <v>0</v>
      </c>
      <c r="AS62" s="4">
        <v>1</v>
      </c>
      <c r="AT62" s="4">
        <v>0</v>
      </c>
      <c r="AU62" s="4">
        <v>0</v>
      </c>
      <c r="AV62" s="4">
        <v>0</v>
      </c>
      <c r="AW62" s="4">
        <v>0</v>
      </c>
      <c r="AX62" s="4">
        <v>1</v>
      </c>
      <c r="AY62" s="4">
        <v>0</v>
      </c>
      <c r="AZ62" s="4">
        <v>0</v>
      </c>
      <c r="BA62" s="4">
        <v>0</v>
      </c>
      <c r="BB62" s="4">
        <v>0</v>
      </c>
      <c r="BC62" s="4">
        <v>1</v>
      </c>
      <c r="BD62" s="4">
        <v>1</v>
      </c>
    </row>
    <row r="63" spans="1:56" x14ac:dyDescent="0.3">
      <c r="A63" s="4" t="s">
        <v>369</v>
      </c>
      <c r="B63" s="4">
        <v>0</v>
      </c>
      <c r="C63" s="4">
        <v>38</v>
      </c>
      <c r="D63" s="4">
        <v>0</v>
      </c>
      <c r="E63" s="4">
        <v>0</v>
      </c>
      <c r="F63" s="4">
        <v>0</v>
      </c>
      <c r="G63" s="4">
        <v>3.17</v>
      </c>
      <c r="H63" s="4">
        <v>1</v>
      </c>
      <c r="I63" s="4">
        <v>2</v>
      </c>
      <c r="J63" s="4">
        <v>1</v>
      </c>
      <c r="K63" s="4">
        <v>0</v>
      </c>
      <c r="L63" s="4">
        <v>5</v>
      </c>
      <c r="M63" s="4">
        <v>5.78</v>
      </c>
      <c r="N63" s="4">
        <v>9.02</v>
      </c>
      <c r="O63" s="4">
        <v>47.5</v>
      </c>
      <c r="P63" s="4">
        <v>2.1021000000000001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1</v>
      </c>
      <c r="AA63" s="4">
        <v>1</v>
      </c>
      <c r="AB63" s="4">
        <v>0</v>
      </c>
      <c r="AC63" s="4">
        <v>0</v>
      </c>
      <c r="AD63" s="4">
        <v>1</v>
      </c>
      <c r="AE63" s="4">
        <v>1</v>
      </c>
      <c r="AF63" s="4">
        <v>0</v>
      </c>
      <c r="AG63" s="4">
        <v>1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1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1</v>
      </c>
      <c r="AT63" s="4">
        <v>0</v>
      </c>
      <c r="AU63" s="4">
        <v>0</v>
      </c>
      <c r="AV63" s="4">
        <v>0</v>
      </c>
      <c r="AW63" s="4">
        <v>0</v>
      </c>
      <c r="AX63" s="4">
        <v>1</v>
      </c>
      <c r="AY63" s="4">
        <v>0</v>
      </c>
      <c r="AZ63" s="4">
        <v>0</v>
      </c>
      <c r="BA63" s="4">
        <v>0</v>
      </c>
      <c r="BB63" s="4">
        <v>0</v>
      </c>
      <c r="BC63" s="4">
        <v>1</v>
      </c>
      <c r="BD63" s="4">
        <v>1</v>
      </c>
    </row>
    <row r="64" spans="1:56" x14ac:dyDescent="0.3">
      <c r="A64" s="4" t="s">
        <v>375</v>
      </c>
      <c r="B64" s="4">
        <v>0</v>
      </c>
      <c r="C64" s="4">
        <v>104</v>
      </c>
      <c r="D64" s="4">
        <v>1</v>
      </c>
      <c r="E64" s="4">
        <v>1</v>
      </c>
      <c r="F64" s="4">
        <v>0</v>
      </c>
      <c r="G64" s="4">
        <v>8.67</v>
      </c>
      <c r="H64" s="4">
        <v>3</v>
      </c>
      <c r="I64" s="4">
        <v>2</v>
      </c>
      <c r="J64" s="4">
        <v>2</v>
      </c>
      <c r="K64" s="4">
        <v>1</v>
      </c>
      <c r="L64" s="4">
        <v>30</v>
      </c>
      <c r="M64" s="4">
        <v>7.32</v>
      </c>
      <c r="N64" s="4">
        <v>5.54</v>
      </c>
      <c r="O64" s="4">
        <v>33.299999999999997</v>
      </c>
      <c r="P64" s="4">
        <v>1.4983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1</v>
      </c>
      <c r="AC64" s="4">
        <v>0</v>
      </c>
      <c r="AD64" s="4">
        <v>1</v>
      </c>
      <c r="AE64" s="4">
        <v>1</v>
      </c>
      <c r="AF64" s="4">
        <v>0</v>
      </c>
      <c r="AG64" s="4">
        <v>1</v>
      </c>
      <c r="AH64" s="4">
        <v>0</v>
      </c>
      <c r="AI64" s="4">
        <v>1</v>
      </c>
      <c r="AJ64" s="4">
        <v>0</v>
      </c>
      <c r="AK64" s="4">
        <v>0</v>
      </c>
      <c r="AL64" s="4">
        <v>1</v>
      </c>
      <c r="AM64" s="4">
        <v>1</v>
      </c>
      <c r="AN64" s="4">
        <v>0</v>
      </c>
      <c r="AO64" s="4">
        <v>1</v>
      </c>
      <c r="AP64" s="4">
        <v>0</v>
      </c>
      <c r="AQ64" s="4">
        <v>0</v>
      </c>
      <c r="AR64" s="4">
        <v>0</v>
      </c>
      <c r="AS64" s="4">
        <v>1</v>
      </c>
      <c r="AT64" s="4">
        <v>0</v>
      </c>
      <c r="AU64" s="4">
        <v>0</v>
      </c>
      <c r="AV64" s="4">
        <v>0</v>
      </c>
      <c r="AW64" s="4">
        <v>0</v>
      </c>
      <c r="AX64" s="4">
        <v>1</v>
      </c>
      <c r="AY64" s="4">
        <v>0</v>
      </c>
      <c r="AZ64" s="4">
        <v>0</v>
      </c>
      <c r="BA64" s="4">
        <v>0</v>
      </c>
      <c r="BB64" s="4">
        <v>0</v>
      </c>
      <c r="BC64" s="4">
        <v>1</v>
      </c>
      <c r="BD64" s="4">
        <v>1</v>
      </c>
    </row>
    <row r="65" spans="1:56" x14ac:dyDescent="0.3">
      <c r="A65" s="4" t="s">
        <v>379</v>
      </c>
      <c r="B65" s="4"/>
      <c r="C65" s="4"/>
      <c r="D65" s="4"/>
      <c r="E65" s="4"/>
      <c r="F65" s="4"/>
      <c r="G65" s="4">
        <v>9.75</v>
      </c>
      <c r="H65" s="4">
        <v>3</v>
      </c>
      <c r="I65" s="4">
        <v>2</v>
      </c>
      <c r="J65" s="4">
        <v>1</v>
      </c>
      <c r="K65" s="4">
        <v>0</v>
      </c>
      <c r="L65" s="4">
        <v>15</v>
      </c>
      <c r="M65" s="4">
        <v>7.11</v>
      </c>
      <c r="N65" s="4">
        <v>5.51</v>
      </c>
      <c r="O65" s="4">
        <v>10</v>
      </c>
      <c r="P65" s="4">
        <v>2.1021000000000001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1</v>
      </c>
      <c r="AA65" s="4">
        <v>0</v>
      </c>
      <c r="AB65" s="4">
        <v>0</v>
      </c>
      <c r="AC65" s="4">
        <v>0</v>
      </c>
      <c r="AD65" s="4">
        <v>1</v>
      </c>
      <c r="AE65" s="4">
        <v>0</v>
      </c>
      <c r="AF65" s="4">
        <v>0</v>
      </c>
      <c r="AG65" s="4">
        <v>1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1</v>
      </c>
      <c r="AN65" s="4">
        <v>1</v>
      </c>
      <c r="AO65" s="4">
        <v>0</v>
      </c>
      <c r="AP65" s="4">
        <v>0</v>
      </c>
      <c r="AQ65" s="4">
        <v>1</v>
      </c>
      <c r="AR65" s="4">
        <v>0</v>
      </c>
      <c r="AS65" s="4">
        <v>1</v>
      </c>
      <c r="AT65" s="4">
        <v>0</v>
      </c>
      <c r="AU65" s="4">
        <v>0</v>
      </c>
      <c r="AV65" s="4">
        <v>0</v>
      </c>
      <c r="AW65" s="4">
        <v>0</v>
      </c>
      <c r="AX65" s="4">
        <v>1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</row>
    <row r="66" spans="1:56" x14ac:dyDescent="0.3">
      <c r="A66" s="4" t="s">
        <v>385</v>
      </c>
      <c r="B66" s="4">
        <v>0</v>
      </c>
      <c r="C66" s="4">
        <v>116</v>
      </c>
      <c r="D66" s="4">
        <v>1</v>
      </c>
      <c r="E66" s="4">
        <v>1</v>
      </c>
      <c r="F66" s="4">
        <v>0</v>
      </c>
      <c r="G66" s="4">
        <v>9.67</v>
      </c>
      <c r="H66" s="4">
        <v>3</v>
      </c>
      <c r="I66" s="4">
        <v>2</v>
      </c>
      <c r="J66" s="4">
        <v>2</v>
      </c>
      <c r="K66" s="4">
        <v>0</v>
      </c>
      <c r="L66" s="4">
        <v>20</v>
      </c>
      <c r="M66" s="4">
        <v>6.59</v>
      </c>
      <c r="N66" s="4">
        <v>5.7</v>
      </c>
      <c r="O66" s="4">
        <v>57.4</v>
      </c>
      <c r="P66" s="4">
        <v>1.4983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4">
        <v>1</v>
      </c>
      <c r="AD66" s="4">
        <v>0</v>
      </c>
      <c r="AE66" s="4">
        <v>1</v>
      </c>
      <c r="AF66" s="4">
        <v>0</v>
      </c>
      <c r="AG66" s="4">
        <v>1</v>
      </c>
      <c r="AH66" s="4">
        <v>0</v>
      </c>
      <c r="AI66" s="4">
        <v>0</v>
      </c>
      <c r="AJ66" s="4">
        <v>0</v>
      </c>
      <c r="AK66" s="4">
        <v>11.512935464920201</v>
      </c>
      <c r="AL66" s="4">
        <v>1</v>
      </c>
      <c r="AM66" s="4">
        <v>1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1</v>
      </c>
      <c r="AT66" s="4">
        <v>0</v>
      </c>
      <c r="AU66" s="4">
        <v>0</v>
      </c>
      <c r="AV66" s="4">
        <v>0</v>
      </c>
      <c r="AW66" s="4">
        <v>0</v>
      </c>
      <c r="AX66" s="4">
        <v>1</v>
      </c>
      <c r="AY66" s="4">
        <v>0</v>
      </c>
      <c r="AZ66" s="4">
        <v>0</v>
      </c>
      <c r="BA66" s="4">
        <v>0</v>
      </c>
      <c r="BB66" s="4">
        <v>0</v>
      </c>
      <c r="BC66" s="4">
        <v>1</v>
      </c>
      <c r="BD66" s="4">
        <v>1</v>
      </c>
    </row>
    <row r="67" spans="1:56" x14ac:dyDescent="0.3">
      <c r="A67" s="4" t="s">
        <v>389</v>
      </c>
      <c r="B67" s="4">
        <v>0</v>
      </c>
      <c r="C67" s="4">
        <v>120</v>
      </c>
      <c r="D67" s="4">
        <v>1</v>
      </c>
      <c r="E67" s="4">
        <v>1</v>
      </c>
      <c r="F67" s="4">
        <v>0</v>
      </c>
      <c r="G67" s="4">
        <v>10</v>
      </c>
      <c r="H67" s="4">
        <v>3</v>
      </c>
      <c r="I67" s="4">
        <v>3</v>
      </c>
      <c r="J67" s="4">
        <v>1</v>
      </c>
      <c r="K67" s="4">
        <v>0</v>
      </c>
      <c r="L67" s="4">
        <v>16</v>
      </c>
      <c r="M67" s="4">
        <v>7.11</v>
      </c>
      <c r="N67" s="4">
        <v>5.51</v>
      </c>
      <c r="O67" s="4">
        <v>69.099999999999994</v>
      </c>
      <c r="P67" s="4">
        <v>2.1021000000000001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4">
        <v>1</v>
      </c>
      <c r="AD67" s="4">
        <v>0</v>
      </c>
      <c r="AE67" s="4">
        <v>1</v>
      </c>
      <c r="AF67" s="4">
        <v>0</v>
      </c>
      <c r="AG67" s="4">
        <v>1</v>
      </c>
      <c r="AH67" s="4">
        <v>0</v>
      </c>
      <c r="AI67" s="4">
        <v>0</v>
      </c>
      <c r="AJ67" s="4">
        <v>0</v>
      </c>
      <c r="AK67" s="4">
        <v>9.5888452985015604</v>
      </c>
      <c r="AL67" s="4">
        <v>1</v>
      </c>
      <c r="AM67" s="4">
        <v>0</v>
      </c>
      <c r="AN67" s="4">
        <v>0</v>
      </c>
      <c r="AO67" s="4">
        <v>1</v>
      </c>
      <c r="AP67" s="4">
        <v>1</v>
      </c>
      <c r="AQ67" s="4">
        <v>0</v>
      </c>
      <c r="AR67" s="4">
        <v>0</v>
      </c>
      <c r="AS67" s="4">
        <v>1</v>
      </c>
      <c r="AT67" s="4">
        <v>0</v>
      </c>
      <c r="AU67" s="4">
        <v>0</v>
      </c>
      <c r="AV67" s="4">
        <v>0</v>
      </c>
      <c r="AW67" s="4">
        <v>0</v>
      </c>
      <c r="AX67" s="4">
        <v>1</v>
      </c>
      <c r="AY67" s="4">
        <v>0</v>
      </c>
      <c r="AZ67" s="4">
        <v>0</v>
      </c>
      <c r="BA67" s="4">
        <v>0</v>
      </c>
      <c r="BB67" s="4">
        <v>0</v>
      </c>
      <c r="BC67" s="4">
        <v>1</v>
      </c>
      <c r="BD67" s="4">
        <v>1</v>
      </c>
    </row>
    <row r="68" spans="1:56" x14ac:dyDescent="0.3">
      <c r="A68" s="4" t="s">
        <v>393</v>
      </c>
      <c r="B68" s="4">
        <v>0</v>
      </c>
      <c r="C68" s="4">
        <v>80</v>
      </c>
      <c r="D68" s="4">
        <v>0</v>
      </c>
      <c r="E68" s="4">
        <v>0</v>
      </c>
      <c r="F68" s="4">
        <v>0</v>
      </c>
      <c r="G68" s="4">
        <v>6.67</v>
      </c>
      <c r="H68" s="4">
        <v>3</v>
      </c>
      <c r="I68" s="4">
        <v>2</v>
      </c>
      <c r="J68" s="4">
        <v>2</v>
      </c>
      <c r="K68" s="4">
        <v>0</v>
      </c>
      <c r="L68" s="4">
        <v>30</v>
      </c>
      <c r="M68" s="4">
        <v>3.45</v>
      </c>
      <c r="N68" s="4">
        <v>5.69</v>
      </c>
      <c r="O68" s="4">
        <v>65.2</v>
      </c>
      <c r="P68" s="4">
        <v>1.4983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1</v>
      </c>
      <c r="AE68" s="4">
        <v>1</v>
      </c>
      <c r="AF68" s="4">
        <v>0</v>
      </c>
      <c r="AG68" s="4">
        <v>1</v>
      </c>
      <c r="AH68" s="4">
        <v>0</v>
      </c>
      <c r="AI68" s="4">
        <v>0</v>
      </c>
      <c r="AJ68" s="4">
        <v>0</v>
      </c>
      <c r="AK68" s="4">
        <v>0</v>
      </c>
      <c r="AL68" s="4">
        <v>1</v>
      </c>
      <c r="AM68" s="4">
        <v>1</v>
      </c>
      <c r="AN68" s="4">
        <v>0</v>
      </c>
      <c r="AO68" s="4">
        <v>1</v>
      </c>
      <c r="AP68" s="4">
        <v>0</v>
      </c>
      <c r="AQ68" s="4">
        <v>0</v>
      </c>
      <c r="AR68" s="4">
        <v>0</v>
      </c>
      <c r="AS68" s="4">
        <v>1</v>
      </c>
      <c r="AT68" s="4">
        <v>0</v>
      </c>
      <c r="AU68" s="4">
        <v>0</v>
      </c>
      <c r="AV68" s="4">
        <v>0</v>
      </c>
      <c r="AW68" s="4">
        <v>0</v>
      </c>
      <c r="AX68" s="4">
        <v>1</v>
      </c>
      <c r="AY68" s="4">
        <v>0</v>
      </c>
      <c r="AZ68" s="4">
        <v>0</v>
      </c>
      <c r="BA68" s="4">
        <v>0</v>
      </c>
      <c r="BB68" s="4">
        <v>0</v>
      </c>
      <c r="BC68" s="4">
        <v>1</v>
      </c>
      <c r="BD68" s="4">
        <v>1</v>
      </c>
    </row>
    <row r="69" spans="1:56" x14ac:dyDescent="0.3">
      <c r="A69" s="4" t="s">
        <v>398</v>
      </c>
      <c r="B69" s="4">
        <v>0</v>
      </c>
      <c r="C69" s="4">
        <v>92</v>
      </c>
      <c r="D69" s="4">
        <v>1</v>
      </c>
      <c r="E69" s="4">
        <v>1</v>
      </c>
      <c r="F69" s="4">
        <v>0</v>
      </c>
      <c r="G69" s="4">
        <v>7.67</v>
      </c>
      <c r="H69" s="4">
        <v>3</v>
      </c>
      <c r="I69" s="4">
        <v>2</v>
      </c>
      <c r="J69" s="4">
        <v>2</v>
      </c>
      <c r="K69" s="4">
        <v>0</v>
      </c>
      <c r="L69" s="4">
        <v>15</v>
      </c>
      <c r="M69" s="4">
        <v>7.88</v>
      </c>
      <c r="N69" s="4">
        <v>5.5</v>
      </c>
      <c r="O69" s="4">
        <v>80.2</v>
      </c>
      <c r="P69" s="4">
        <v>2.5459000000000001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4">
        <v>1</v>
      </c>
      <c r="AD69" s="4">
        <v>0</v>
      </c>
      <c r="AE69" s="4">
        <v>1</v>
      </c>
      <c r="AF69" s="4">
        <v>0</v>
      </c>
      <c r="AG69" s="4">
        <v>1</v>
      </c>
      <c r="AH69" s="4">
        <v>0</v>
      </c>
      <c r="AI69" s="4">
        <v>0</v>
      </c>
      <c r="AJ69" s="4">
        <v>0</v>
      </c>
      <c r="AK69" s="4">
        <v>10.8197982842103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1</v>
      </c>
      <c r="AR69" s="4">
        <v>0</v>
      </c>
      <c r="AS69" s="4">
        <v>1</v>
      </c>
      <c r="AT69" s="4">
        <v>0</v>
      </c>
      <c r="AU69" s="4">
        <v>0</v>
      </c>
      <c r="AV69" s="4">
        <v>0</v>
      </c>
      <c r="AW69" s="4">
        <v>1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1</v>
      </c>
      <c r="BD69" s="4">
        <v>1</v>
      </c>
    </row>
    <row r="70" spans="1:56" x14ac:dyDescent="0.3">
      <c r="A70" s="4" t="s">
        <v>402</v>
      </c>
      <c r="B70" s="4">
        <v>0</v>
      </c>
      <c r="C70" s="4">
        <v>92</v>
      </c>
      <c r="D70" s="4">
        <v>1</v>
      </c>
      <c r="E70" s="4">
        <v>1</v>
      </c>
      <c r="F70" s="4">
        <v>0</v>
      </c>
      <c r="G70" s="4">
        <v>7.67</v>
      </c>
      <c r="H70" s="4">
        <v>3</v>
      </c>
      <c r="I70" s="4">
        <v>2</v>
      </c>
      <c r="J70" s="4">
        <v>3</v>
      </c>
      <c r="K70" s="4">
        <v>0</v>
      </c>
      <c r="L70" s="4">
        <v>18</v>
      </c>
      <c r="M70" s="4">
        <v>7.88</v>
      </c>
      <c r="N70" s="4">
        <v>5.5</v>
      </c>
      <c r="O70" s="4">
        <v>62.2</v>
      </c>
      <c r="P70" s="4">
        <v>2.1021000000000001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4">
        <v>0</v>
      </c>
      <c r="AD70" s="4">
        <v>1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1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1</v>
      </c>
      <c r="AT70" s="4">
        <v>1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1</v>
      </c>
      <c r="BD70" s="4">
        <v>1</v>
      </c>
    </row>
    <row r="71" spans="1:56" x14ac:dyDescent="0.3">
      <c r="A71" s="4" t="s">
        <v>408</v>
      </c>
      <c r="B71" s="4">
        <v>0</v>
      </c>
      <c r="C71" s="4">
        <v>80</v>
      </c>
      <c r="D71" s="4">
        <v>0</v>
      </c>
      <c r="E71" s="4">
        <v>0</v>
      </c>
      <c r="F71" s="4">
        <v>0</v>
      </c>
      <c r="G71" s="4">
        <v>6.67</v>
      </c>
      <c r="H71" s="4">
        <v>3</v>
      </c>
      <c r="I71" s="4">
        <v>1</v>
      </c>
      <c r="J71" s="4">
        <v>1</v>
      </c>
      <c r="K71" s="4">
        <v>1</v>
      </c>
      <c r="L71" s="4">
        <v>7</v>
      </c>
      <c r="M71" s="4">
        <v>3.45</v>
      </c>
      <c r="N71" s="4">
        <v>5.69</v>
      </c>
      <c r="O71" s="4">
        <v>57.1</v>
      </c>
      <c r="P71" s="4">
        <v>0.84509999999999996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1</v>
      </c>
      <c r="AE71" s="4">
        <v>1</v>
      </c>
      <c r="AF71" s="4">
        <v>0</v>
      </c>
      <c r="AG71" s="4">
        <v>1</v>
      </c>
      <c r="AH71" s="4">
        <v>0</v>
      </c>
      <c r="AI71" s="4">
        <v>1</v>
      </c>
      <c r="AJ71" s="4">
        <v>0</v>
      </c>
      <c r="AK71" s="4">
        <v>0</v>
      </c>
      <c r="AL71" s="4">
        <v>1</v>
      </c>
      <c r="AM71" s="4">
        <v>0</v>
      </c>
      <c r="AN71" s="4">
        <v>1</v>
      </c>
      <c r="AO71" s="4">
        <v>0</v>
      </c>
      <c r="AP71" s="4">
        <v>0</v>
      </c>
      <c r="AQ71" s="4">
        <v>0</v>
      </c>
      <c r="AR71" s="4">
        <v>0</v>
      </c>
      <c r="AS71" s="4">
        <v>1</v>
      </c>
      <c r="AT71" s="4">
        <v>1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1</v>
      </c>
      <c r="BD71" s="4">
        <v>1</v>
      </c>
    </row>
    <row r="72" spans="1:56" x14ac:dyDescent="0.3">
      <c r="A72" s="4" t="s">
        <v>412</v>
      </c>
      <c r="B72" s="4">
        <v>0</v>
      </c>
      <c r="C72" s="4">
        <v>54</v>
      </c>
      <c r="D72" s="4">
        <v>1</v>
      </c>
      <c r="E72" s="4">
        <v>1</v>
      </c>
      <c r="F72" s="4">
        <v>0</v>
      </c>
      <c r="G72" s="4">
        <v>4.5</v>
      </c>
      <c r="H72" s="4">
        <v>3</v>
      </c>
      <c r="I72" s="4">
        <v>3</v>
      </c>
      <c r="J72" s="4">
        <v>3</v>
      </c>
      <c r="K72" s="4">
        <v>0</v>
      </c>
      <c r="L72" s="4">
        <v>7</v>
      </c>
      <c r="M72" s="4">
        <v>7.1</v>
      </c>
      <c r="N72" s="4">
        <v>7.7</v>
      </c>
      <c r="O72" s="4">
        <v>38.799999999999997</v>
      </c>
      <c r="P72" s="4">
        <v>1.4983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1</v>
      </c>
      <c r="AF72" s="4">
        <v>0</v>
      </c>
      <c r="AG72" s="4">
        <v>1</v>
      </c>
      <c r="AH72" s="4">
        <v>0</v>
      </c>
      <c r="AI72" s="4">
        <v>0</v>
      </c>
      <c r="AJ72" s="4">
        <v>0</v>
      </c>
      <c r="AK72" s="4">
        <v>0</v>
      </c>
      <c r="AL72" s="4">
        <v>1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1</v>
      </c>
      <c r="AT72" s="4">
        <v>1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1</v>
      </c>
      <c r="BD72" s="4">
        <v>1</v>
      </c>
    </row>
    <row r="73" spans="1:56" x14ac:dyDescent="0.3">
      <c r="A73" s="4" t="s">
        <v>417</v>
      </c>
      <c r="B73" s="4">
        <v>0</v>
      </c>
      <c r="C73" s="4">
        <v>92</v>
      </c>
      <c r="D73" s="4">
        <v>1</v>
      </c>
      <c r="E73" s="4">
        <v>1</v>
      </c>
      <c r="F73" s="4">
        <v>0</v>
      </c>
      <c r="G73" s="4">
        <v>7.67</v>
      </c>
      <c r="H73" s="4">
        <v>3</v>
      </c>
      <c r="I73" s="4">
        <v>2</v>
      </c>
      <c r="J73" s="4">
        <v>2</v>
      </c>
      <c r="K73" s="4">
        <v>0</v>
      </c>
      <c r="L73" s="4">
        <v>7</v>
      </c>
      <c r="M73" s="4">
        <v>7.88</v>
      </c>
      <c r="N73" s="4">
        <v>5.5</v>
      </c>
      <c r="O73" s="4">
        <v>52.5</v>
      </c>
      <c r="P73" s="4">
        <v>1.4983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1</v>
      </c>
      <c r="AD73" s="4">
        <v>0</v>
      </c>
      <c r="AE73" s="4">
        <v>1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9.2104403669765205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1</v>
      </c>
      <c r="AT73" s="4">
        <v>1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1</v>
      </c>
      <c r="BD73" s="4">
        <v>1</v>
      </c>
    </row>
    <row r="74" spans="1:56" x14ac:dyDescent="0.3">
      <c r="A74" s="4" t="s">
        <v>421</v>
      </c>
      <c r="B74" s="4"/>
      <c r="C74" s="4"/>
      <c r="D74" s="4"/>
      <c r="E74" s="4"/>
      <c r="F74" s="4"/>
      <c r="G74" s="4">
        <v>8.67</v>
      </c>
      <c r="H74" s="4">
        <v>3</v>
      </c>
      <c r="I74" s="4">
        <v>2</v>
      </c>
      <c r="J74" s="4">
        <v>2</v>
      </c>
      <c r="K74" s="4">
        <v>0</v>
      </c>
      <c r="L74" s="4">
        <v>13</v>
      </c>
      <c r="M74" s="4">
        <v>7.32</v>
      </c>
      <c r="N74" s="4">
        <v>5.54</v>
      </c>
      <c r="O74" s="4">
        <v>30.4</v>
      </c>
      <c r="P74" s="4">
        <v>2.1021000000000001</v>
      </c>
      <c r="Q74" s="4">
        <v>0</v>
      </c>
      <c r="R74" s="4">
        <v>0</v>
      </c>
      <c r="S74" s="4">
        <v>1</v>
      </c>
      <c r="T74" s="4">
        <v>1</v>
      </c>
      <c r="U74" s="4">
        <v>1</v>
      </c>
      <c r="V74" s="4">
        <v>1</v>
      </c>
      <c r="W74" s="4">
        <v>0</v>
      </c>
      <c r="X74" s="4">
        <v>0</v>
      </c>
      <c r="Y74" s="4">
        <v>0</v>
      </c>
      <c r="Z74" s="4">
        <v>1</v>
      </c>
      <c r="AA74" s="4">
        <v>0</v>
      </c>
      <c r="AB74" s="4">
        <v>0</v>
      </c>
      <c r="AC74" s="4">
        <v>0</v>
      </c>
      <c r="AD74" s="4">
        <v>1</v>
      </c>
      <c r="AE74" s="4">
        <v>0</v>
      </c>
      <c r="AF74" s="4">
        <v>1</v>
      </c>
      <c r="AG74" s="4">
        <v>0</v>
      </c>
      <c r="AH74" s="4">
        <v>1</v>
      </c>
      <c r="AI74" s="4">
        <v>0</v>
      </c>
      <c r="AJ74" s="4">
        <v>1</v>
      </c>
      <c r="AK74" s="4">
        <v>0</v>
      </c>
      <c r="AL74" s="4">
        <v>1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1</v>
      </c>
      <c r="AT74" s="4">
        <v>1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</row>
    <row r="75" spans="1:56" x14ac:dyDescent="0.3">
      <c r="A75" s="4" t="s">
        <v>427</v>
      </c>
      <c r="B75" s="4">
        <v>0</v>
      </c>
      <c r="C75" s="4">
        <v>80</v>
      </c>
      <c r="D75" s="4">
        <v>0</v>
      </c>
      <c r="E75" s="4">
        <v>0</v>
      </c>
      <c r="F75" s="4">
        <v>0</v>
      </c>
      <c r="G75" s="4">
        <v>6.67</v>
      </c>
      <c r="H75" s="4">
        <v>3</v>
      </c>
      <c r="I75" s="4">
        <v>2</v>
      </c>
      <c r="J75" s="4">
        <v>1</v>
      </c>
      <c r="K75" s="4">
        <v>0</v>
      </c>
      <c r="L75" s="4">
        <v>20</v>
      </c>
      <c r="M75" s="4">
        <v>3.45</v>
      </c>
      <c r="N75" s="4">
        <v>5.69</v>
      </c>
      <c r="O75" s="4">
        <v>47.5</v>
      </c>
      <c r="P75" s="4">
        <v>1.4983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1</v>
      </c>
      <c r="AE75" s="4">
        <v>1</v>
      </c>
      <c r="AF75" s="4">
        <v>0</v>
      </c>
      <c r="AG75" s="4">
        <v>1</v>
      </c>
      <c r="AH75" s="4">
        <v>0</v>
      </c>
      <c r="AI75" s="4">
        <v>0</v>
      </c>
      <c r="AJ75" s="4">
        <v>0</v>
      </c>
      <c r="AK75" s="4">
        <v>0</v>
      </c>
      <c r="AL75" s="4">
        <v>1</v>
      </c>
      <c r="AM75" s="4">
        <v>0</v>
      </c>
      <c r="AN75" s="4">
        <v>0</v>
      </c>
      <c r="AO75" s="4">
        <v>0</v>
      </c>
      <c r="AP75" s="4">
        <v>1</v>
      </c>
      <c r="AQ75" s="4">
        <v>0</v>
      </c>
      <c r="AR75" s="4">
        <v>0</v>
      </c>
      <c r="AS75" s="4">
        <v>1</v>
      </c>
      <c r="AT75" s="4">
        <v>1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1</v>
      </c>
      <c r="BD75" s="4">
        <v>1</v>
      </c>
    </row>
    <row r="76" spans="1:56" x14ac:dyDescent="0.3">
      <c r="A76" s="4" t="s">
        <v>432</v>
      </c>
      <c r="B76" s="4">
        <v>0</v>
      </c>
      <c r="C76" s="4">
        <v>56</v>
      </c>
      <c r="D76" s="4">
        <v>1</v>
      </c>
      <c r="E76" s="4">
        <v>1</v>
      </c>
      <c r="F76" s="4">
        <v>0</v>
      </c>
      <c r="G76" s="4">
        <v>4.67</v>
      </c>
      <c r="H76" s="4">
        <v>3</v>
      </c>
      <c r="I76" s="4">
        <v>2</v>
      </c>
      <c r="J76" s="4">
        <v>2</v>
      </c>
      <c r="K76" s="4">
        <v>0</v>
      </c>
      <c r="L76" s="4">
        <v>8</v>
      </c>
      <c r="M76" s="4">
        <v>7.1</v>
      </c>
      <c r="N76" s="4">
        <v>7.7</v>
      </c>
      <c r="O76" s="4">
        <v>59</v>
      </c>
      <c r="P76" s="4">
        <v>1.4983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1</v>
      </c>
      <c r="AR76" s="4">
        <v>0</v>
      </c>
      <c r="AS76" s="4">
        <v>1</v>
      </c>
      <c r="AT76" s="4">
        <v>0</v>
      </c>
      <c r="AU76" s="4">
        <v>0</v>
      </c>
      <c r="AV76" s="4">
        <v>0</v>
      </c>
      <c r="AW76" s="4">
        <v>1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1</v>
      </c>
      <c r="BD76" s="4">
        <v>1</v>
      </c>
    </row>
    <row r="77" spans="1:56" x14ac:dyDescent="0.3">
      <c r="A77" s="4" t="s">
        <v>435</v>
      </c>
      <c r="B77" s="4"/>
      <c r="C77" s="4"/>
      <c r="D77" s="4"/>
      <c r="E77" s="4"/>
      <c r="F77" s="4"/>
      <c r="G77" s="4">
        <v>9.67</v>
      </c>
      <c r="H77" s="4">
        <v>3</v>
      </c>
      <c r="I77" s="4">
        <v>2</v>
      </c>
      <c r="J77" s="4">
        <v>2</v>
      </c>
      <c r="K77" s="4">
        <v>0</v>
      </c>
      <c r="L77" s="4">
        <v>13</v>
      </c>
      <c r="M77" s="4">
        <v>6.59</v>
      </c>
      <c r="N77" s="4">
        <v>5.7</v>
      </c>
      <c r="O77" s="4">
        <v>33.799999999999997</v>
      </c>
      <c r="P77" s="4">
        <v>2.1021000000000001</v>
      </c>
      <c r="Q77" s="4">
        <v>0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0</v>
      </c>
      <c r="X77" s="4">
        <v>0</v>
      </c>
      <c r="Y77" s="4">
        <v>0</v>
      </c>
      <c r="Z77" s="4">
        <v>1</v>
      </c>
      <c r="AA77" s="4">
        <v>0</v>
      </c>
      <c r="AB77" s="4">
        <v>1</v>
      </c>
      <c r="AC77" s="4">
        <v>0</v>
      </c>
      <c r="AD77" s="4">
        <v>1</v>
      </c>
      <c r="AE77" s="4">
        <v>0</v>
      </c>
      <c r="AF77" s="4">
        <v>1</v>
      </c>
      <c r="AG77" s="4">
        <v>0</v>
      </c>
      <c r="AH77" s="4">
        <v>1</v>
      </c>
      <c r="AI77" s="4">
        <v>0</v>
      </c>
      <c r="AJ77" s="4">
        <v>1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1</v>
      </c>
      <c r="AT77" s="4">
        <v>1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</row>
    <row r="78" spans="1:56" x14ac:dyDescent="0.3">
      <c r="A78" s="4" t="s">
        <v>439</v>
      </c>
      <c r="B78" s="4">
        <v>0</v>
      </c>
      <c r="C78" s="4">
        <v>80</v>
      </c>
      <c r="D78" s="4">
        <v>1</v>
      </c>
      <c r="E78" s="4">
        <v>1</v>
      </c>
      <c r="F78" s="4">
        <v>0</v>
      </c>
      <c r="G78" s="4">
        <v>6.67</v>
      </c>
      <c r="H78" s="4">
        <v>3</v>
      </c>
      <c r="I78" s="4">
        <v>2</v>
      </c>
      <c r="J78" s="4">
        <v>3</v>
      </c>
      <c r="K78" s="4">
        <v>0.33329999999999999</v>
      </c>
      <c r="L78" s="4">
        <v>6</v>
      </c>
      <c r="M78" s="4">
        <v>3.45</v>
      </c>
      <c r="N78" s="4">
        <v>5.69</v>
      </c>
      <c r="O78" s="4">
        <v>48.8</v>
      </c>
      <c r="P78" s="4">
        <v>2.1021000000000001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1</v>
      </c>
      <c r="AD78" s="4">
        <v>0</v>
      </c>
      <c r="AE78" s="4">
        <v>1</v>
      </c>
      <c r="AF78" s="4">
        <v>0</v>
      </c>
      <c r="AG78" s="4">
        <v>1</v>
      </c>
      <c r="AH78" s="4">
        <v>0</v>
      </c>
      <c r="AI78" s="4">
        <v>1</v>
      </c>
      <c r="AJ78" s="4">
        <v>0</v>
      </c>
      <c r="AK78" s="4">
        <v>11.472113887062401</v>
      </c>
      <c r="AL78" s="4">
        <v>0</v>
      </c>
      <c r="AM78" s="4">
        <v>0</v>
      </c>
      <c r="AN78" s="4">
        <v>0</v>
      </c>
      <c r="AO78" s="4">
        <v>1</v>
      </c>
      <c r="AP78" s="4">
        <v>0</v>
      </c>
      <c r="AQ78" s="4">
        <v>0</v>
      </c>
      <c r="AR78" s="4">
        <v>0</v>
      </c>
      <c r="AS78" s="4">
        <v>1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1</v>
      </c>
      <c r="AZ78" s="4">
        <v>0</v>
      </c>
      <c r="BA78" s="4">
        <v>0</v>
      </c>
      <c r="BB78" s="4">
        <v>0</v>
      </c>
      <c r="BC78" s="4">
        <v>1</v>
      </c>
      <c r="BD78" s="4">
        <v>1</v>
      </c>
    </row>
    <row r="79" spans="1:56" x14ac:dyDescent="0.3">
      <c r="A79" s="4" t="s">
        <v>445</v>
      </c>
      <c r="B79" s="4">
        <v>0</v>
      </c>
      <c r="C79" s="4">
        <v>101</v>
      </c>
      <c r="D79" s="4"/>
      <c r="E79" s="4"/>
      <c r="F79" s="4">
        <v>0</v>
      </c>
      <c r="G79" s="4">
        <v>8.42</v>
      </c>
      <c r="H79" s="4">
        <v>3</v>
      </c>
      <c r="I79" s="4">
        <v>1</v>
      </c>
      <c r="J79" s="4">
        <v>1</v>
      </c>
      <c r="K79" s="4">
        <v>0</v>
      </c>
      <c r="L79" s="4">
        <v>12</v>
      </c>
      <c r="M79" s="4">
        <v>7.32</v>
      </c>
      <c r="N79" s="4">
        <v>5.54</v>
      </c>
      <c r="O79" s="4">
        <v>56.2</v>
      </c>
      <c r="P79" s="4">
        <v>1.4983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</v>
      </c>
      <c r="AE79" s="4">
        <v>0</v>
      </c>
      <c r="AF79" s="4">
        <v>0</v>
      </c>
      <c r="AG79" s="4">
        <v>1</v>
      </c>
      <c r="AH79" s="4">
        <v>0</v>
      </c>
      <c r="AI79" s="4">
        <v>0</v>
      </c>
      <c r="AJ79" s="4">
        <v>0</v>
      </c>
      <c r="AK79" s="4">
        <v>0</v>
      </c>
      <c r="AL79" s="4">
        <v>1</v>
      </c>
      <c r="AM79" s="4">
        <v>0</v>
      </c>
      <c r="AN79" s="4">
        <v>0</v>
      </c>
      <c r="AO79" s="4">
        <v>1</v>
      </c>
      <c r="AP79" s="4">
        <v>0</v>
      </c>
      <c r="AQ79" s="4">
        <v>0</v>
      </c>
      <c r="AR79" s="4">
        <v>0</v>
      </c>
      <c r="AS79" s="4">
        <v>1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1</v>
      </c>
      <c r="AZ79" s="4">
        <v>0</v>
      </c>
      <c r="BA79" s="4">
        <v>0</v>
      </c>
      <c r="BB79" s="4">
        <v>0</v>
      </c>
      <c r="BC79" s="4">
        <v>1</v>
      </c>
      <c r="BD79" s="4">
        <v>0</v>
      </c>
    </row>
    <row r="80" spans="1:56" x14ac:dyDescent="0.3">
      <c r="A80" s="4" t="s">
        <v>450</v>
      </c>
      <c r="B80" s="4">
        <v>0</v>
      </c>
      <c r="C80" s="4">
        <v>68</v>
      </c>
      <c r="D80" s="4">
        <v>1</v>
      </c>
      <c r="E80" s="4">
        <v>1</v>
      </c>
      <c r="F80" s="4">
        <v>0</v>
      </c>
      <c r="G80" s="4">
        <v>5.67</v>
      </c>
      <c r="H80" s="4">
        <v>3</v>
      </c>
      <c r="I80" s="4">
        <v>1</v>
      </c>
      <c r="J80" s="4">
        <v>1</v>
      </c>
      <c r="K80" s="4">
        <v>0</v>
      </c>
      <c r="L80" s="4">
        <v>6</v>
      </c>
      <c r="M80" s="4">
        <v>6.94</v>
      </c>
      <c r="N80" s="4">
        <v>5.55</v>
      </c>
      <c r="O80" s="4">
        <v>49</v>
      </c>
      <c r="P80" s="4">
        <v>1.4983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1</v>
      </c>
      <c r="AD80" s="4">
        <v>0</v>
      </c>
      <c r="AE80" s="4">
        <v>1</v>
      </c>
      <c r="AF80" s="4">
        <v>0</v>
      </c>
      <c r="AG80" s="4">
        <v>1</v>
      </c>
      <c r="AH80" s="4">
        <v>0</v>
      </c>
      <c r="AI80" s="4">
        <v>0</v>
      </c>
      <c r="AJ80" s="4">
        <v>0</v>
      </c>
      <c r="AK80" s="4">
        <v>11.4186257744496</v>
      </c>
      <c r="AL80" s="4">
        <v>1</v>
      </c>
      <c r="AM80" s="4">
        <v>0</v>
      </c>
      <c r="AN80" s="4">
        <v>0</v>
      </c>
      <c r="AO80" s="4">
        <v>1</v>
      </c>
      <c r="AP80" s="4">
        <v>0</v>
      </c>
      <c r="AQ80" s="4">
        <v>0</v>
      </c>
      <c r="AR80" s="4">
        <v>0</v>
      </c>
      <c r="AS80" s="4">
        <v>1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1</v>
      </c>
      <c r="BD80" s="4">
        <v>1</v>
      </c>
    </row>
    <row r="81" spans="1:56" x14ac:dyDescent="0.3">
      <c r="A81" s="4" t="s">
        <v>455</v>
      </c>
      <c r="B81" s="4">
        <v>0</v>
      </c>
      <c r="C81" s="4">
        <v>140</v>
      </c>
      <c r="D81" s="4">
        <v>1</v>
      </c>
      <c r="E81" s="4">
        <v>1</v>
      </c>
      <c r="F81" s="4">
        <v>0</v>
      </c>
      <c r="G81" s="4">
        <v>11.67</v>
      </c>
      <c r="H81" s="4">
        <v>3</v>
      </c>
      <c r="I81" s="4">
        <v>2</v>
      </c>
      <c r="J81" s="4">
        <v>4</v>
      </c>
      <c r="K81" s="4">
        <v>0.25</v>
      </c>
      <c r="L81" s="4">
        <v>15</v>
      </c>
      <c r="M81" s="4">
        <v>6.55</v>
      </c>
      <c r="N81" s="4">
        <v>6.4</v>
      </c>
      <c r="O81" s="4">
        <v>65.400000000000006</v>
      </c>
      <c r="P81" s="4">
        <v>2.1021000000000001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1</v>
      </c>
      <c r="AE81" s="4">
        <v>1</v>
      </c>
      <c r="AF81" s="4">
        <v>0</v>
      </c>
      <c r="AG81" s="4">
        <v>1</v>
      </c>
      <c r="AH81" s="4">
        <v>0</v>
      </c>
      <c r="AI81" s="4">
        <v>1</v>
      </c>
      <c r="AJ81" s="4">
        <v>0</v>
      </c>
      <c r="AK81" s="4">
        <v>0</v>
      </c>
      <c r="AL81" s="4">
        <v>1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1</v>
      </c>
      <c r="AS81" s="4">
        <v>1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1</v>
      </c>
      <c r="BD81" s="4">
        <v>1</v>
      </c>
    </row>
    <row r="82" spans="1:56" x14ac:dyDescent="0.3">
      <c r="A82" s="4" t="s">
        <v>461</v>
      </c>
      <c r="B82" s="4">
        <v>0</v>
      </c>
      <c r="C82" s="4">
        <v>140</v>
      </c>
      <c r="D82" s="4">
        <v>1</v>
      </c>
      <c r="E82" s="4">
        <v>1</v>
      </c>
      <c r="F82" s="4">
        <v>0</v>
      </c>
      <c r="G82" s="4">
        <v>11.67</v>
      </c>
      <c r="H82" s="4">
        <v>3</v>
      </c>
      <c r="I82" s="4">
        <v>2</v>
      </c>
      <c r="J82" s="4">
        <v>2</v>
      </c>
      <c r="K82" s="4">
        <v>0</v>
      </c>
      <c r="L82" s="4">
        <v>11</v>
      </c>
      <c r="M82" s="4">
        <v>6.55</v>
      </c>
      <c r="N82" s="4">
        <v>6.4</v>
      </c>
      <c r="O82" s="4">
        <v>25.4</v>
      </c>
      <c r="P82" s="4">
        <v>1.4983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4">
        <v>0</v>
      </c>
      <c r="AD82" s="4">
        <v>1</v>
      </c>
      <c r="AE82" s="4">
        <v>1</v>
      </c>
      <c r="AF82" s="4">
        <v>0</v>
      </c>
      <c r="AG82" s="4">
        <v>0</v>
      </c>
      <c r="AH82" s="4">
        <v>1</v>
      </c>
      <c r="AI82" s="4">
        <v>0</v>
      </c>
      <c r="AJ82" s="4">
        <v>0</v>
      </c>
      <c r="AK82" s="4">
        <v>0</v>
      </c>
      <c r="AL82" s="4">
        <v>1</v>
      </c>
      <c r="AM82" s="4">
        <v>0</v>
      </c>
      <c r="AN82" s="4">
        <v>0</v>
      </c>
      <c r="AO82" s="4">
        <v>1</v>
      </c>
      <c r="AP82" s="4">
        <v>1</v>
      </c>
      <c r="AQ82" s="4">
        <v>0</v>
      </c>
      <c r="AR82" s="4">
        <v>0</v>
      </c>
      <c r="AS82" s="4">
        <v>1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1</v>
      </c>
      <c r="AZ82" s="4">
        <v>0</v>
      </c>
      <c r="BA82" s="4">
        <v>0</v>
      </c>
      <c r="BB82" s="4">
        <v>0</v>
      </c>
      <c r="BC82" s="4">
        <v>1</v>
      </c>
      <c r="BD82" s="4">
        <v>1</v>
      </c>
    </row>
    <row r="83" spans="1:56" x14ac:dyDescent="0.3">
      <c r="A83" s="4" t="s">
        <v>467</v>
      </c>
      <c r="B83" s="4">
        <v>0</v>
      </c>
      <c r="C83" s="4">
        <v>68</v>
      </c>
      <c r="D83" s="4">
        <v>1</v>
      </c>
      <c r="E83" s="4">
        <v>1</v>
      </c>
      <c r="F83" s="4">
        <v>0</v>
      </c>
      <c r="G83" s="4">
        <v>5.67</v>
      </c>
      <c r="H83" s="4">
        <v>3</v>
      </c>
      <c r="I83" s="4">
        <v>2</v>
      </c>
      <c r="J83" s="4">
        <v>2</v>
      </c>
      <c r="K83" s="4">
        <v>0</v>
      </c>
      <c r="L83" s="4">
        <v>23</v>
      </c>
      <c r="M83" s="4">
        <v>6.94</v>
      </c>
      <c r="N83" s="4">
        <v>5.55</v>
      </c>
      <c r="O83" s="4">
        <v>54.6</v>
      </c>
      <c r="P83" s="4">
        <v>1.4983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1</v>
      </c>
      <c r="AE83" s="4">
        <v>0</v>
      </c>
      <c r="AF83" s="4">
        <v>1</v>
      </c>
      <c r="AG83" s="4">
        <v>0</v>
      </c>
      <c r="AH83" s="4">
        <v>1</v>
      </c>
      <c r="AI83" s="4">
        <v>0</v>
      </c>
      <c r="AJ83" s="4">
        <v>0</v>
      </c>
      <c r="AK83" s="4">
        <v>0</v>
      </c>
      <c r="AL83" s="4">
        <v>1</v>
      </c>
      <c r="AM83" s="4">
        <v>0</v>
      </c>
      <c r="AN83" s="4">
        <v>1</v>
      </c>
      <c r="AO83" s="4">
        <v>1</v>
      </c>
      <c r="AP83" s="4">
        <v>0</v>
      </c>
      <c r="AQ83" s="4">
        <v>0</v>
      </c>
      <c r="AR83" s="4">
        <v>1</v>
      </c>
      <c r="AS83" s="4">
        <v>1</v>
      </c>
      <c r="AT83" s="4">
        <v>1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1</v>
      </c>
      <c r="BD83" s="4">
        <v>1</v>
      </c>
    </row>
    <row r="84" spans="1:56" x14ac:dyDescent="0.3">
      <c r="A84" s="4" t="s">
        <v>472</v>
      </c>
      <c r="B84" s="4">
        <v>0</v>
      </c>
      <c r="C84" s="4">
        <v>140</v>
      </c>
      <c r="D84" s="4">
        <v>0</v>
      </c>
      <c r="E84" s="4">
        <v>1</v>
      </c>
      <c r="F84" s="4">
        <v>0</v>
      </c>
      <c r="G84" s="4">
        <v>11.67</v>
      </c>
      <c r="H84" s="4">
        <v>3</v>
      </c>
      <c r="I84" s="4">
        <v>1</v>
      </c>
      <c r="J84" s="4">
        <v>1</v>
      </c>
      <c r="K84" s="4">
        <v>0</v>
      </c>
      <c r="L84" s="4">
        <v>11</v>
      </c>
      <c r="M84" s="4">
        <v>6.55</v>
      </c>
      <c r="N84" s="4">
        <v>6.4</v>
      </c>
      <c r="O84" s="4">
        <v>60</v>
      </c>
      <c r="P84" s="4">
        <v>2.5459000000000001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</v>
      </c>
      <c r="AE84" s="4">
        <v>0</v>
      </c>
      <c r="AF84" s="4">
        <v>1</v>
      </c>
      <c r="AG84" s="4">
        <v>1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1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1</v>
      </c>
      <c r="BD84" s="4">
        <v>1</v>
      </c>
    </row>
    <row r="85" spans="1:56" x14ac:dyDescent="0.3">
      <c r="A85" s="4" t="s">
        <v>477</v>
      </c>
      <c r="B85" s="4">
        <v>0</v>
      </c>
      <c r="C85" s="4">
        <v>104</v>
      </c>
      <c r="D85" s="4">
        <v>1</v>
      </c>
      <c r="E85" s="4">
        <v>1</v>
      </c>
      <c r="F85" s="4">
        <v>0</v>
      </c>
      <c r="G85" s="4">
        <v>8.67</v>
      </c>
      <c r="H85" s="4">
        <v>3</v>
      </c>
      <c r="I85" s="4">
        <v>2</v>
      </c>
      <c r="J85" s="4">
        <v>2</v>
      </c>
      <c r="K85" s="4">
        <v>1</v>
      </c>
      <c r="L85" s="4">
        <v>8</v>
      </c>
      <c r="M85" s="4">
        <v>7.32</v>
      </c>
      <c r="N85" s="4">
        <v>5.54</v>
      </c>
      <c r="O85" s="4">
        <v>34.200000000000003</v>
      </c>
      <c r="P85" s="4">
        <v>1.4983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1</v>
      </c>
      <c r="AE85" s="4">
        <v>1</v>
      </c>
      <c r="AF85" s="4">
        <v>0</v>
      </c>
      <c r="AG85" s="4">
        <v>0</v>
      </c>
      <c r="AH85" s="4">
        <v>1</v>
      </c>
      <c r="AI85" s="4">
        <v>1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1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1</v>
      </c>
      <c r="BC85" s="4">
        <v>1</v>
      </c>
      <c r="BD85" s="4">
        <v>1</v>
      </c>
    </row>
    <row r="86" spans="1:56" x14ac:dyDescent="0.3">
      <c r="A86" s="4" t="s">
        <v>483</v>
      </c>
      <c r="B86" s="4">
        <v>0</v>
      </c>
      <c r="C86" s="4">
        <v>116</v>
      </c>
      <c r="D86" s="4">
        <v>1</v>
      </c>
      <c r="E86" s="4">
        <v>1</v>
      </c>
      <c r="F86" s="4">
        <v>0</v>
      </c>
      <c r="G86" s="4">
        <v>9.67</v>
      </c>
      <c r="H86" s="4">
        <v>3</v>
      </c>
      <c r="I86" s="4">
        <v>2</v>
      </c>
      <c r="J86" s="4">
        <v>2</v>
      </c>
      <c r="K86" s="4">
        <v>0</v>
      </c>
      <c r="L86" s="4">
        <v>11</v>
      </c>
      <c r="M86" s="4">
        <v>6.59</v>
      </c>
      <c r="N86" s="4">
        <v>5.7</v>
      </c>
      <c r="O86" s="4">
        <v>55</v>
      </c>
      <c r="P86" s="4">
        <v>1.4983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4">
        <v>0</v>
      </c>
      <c r="AD86" s="4">
        <v>1</v>
      </c>
      <c r="AE86" s="4">
        <v>1</v>
      </c>
      <c r="AF86" s="4">
        <v>0</v>
      </c>
      <c r="AG86" s="4">
        <v>1</v>
      </c>
      <c r="AH86" s="4">
        <v>0</v>
      </c>
      <c r="AI86" s="4">
        <v>0</v>
      </c>
      <c r="AJ86" s="4">
        <v>0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1</v>
      </c>
      <c r="AQ86" s="4">
        <v>0</v>
      </c>
      <c r="AR86" s="4">
        <v>0</v>
      </c>
      <c r="AS86" s="4">
        <v>1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1</v>
      </c>
      <c r="AZ86" s="4">
        <v>0</v>
      </c>
      <c r="BA86" s="4">
        <v>0</v>
      </c>
      <c r="BB86" s="4">
        <v>0</v>
      </c>
      <c r="BC86" s="4">
        <v>1</v>
      </c>
      <c r="BD86" s="4">
        <v>1</v>
      </c>
    </row>
    <row r="87" spans="1:56" x14ac:dyDescent="0.3">
      <c r="A87" s="4" t="s">
        <v>487</v>
      </c>
      <c r="B87" s="4">
        <v>0</v>
      </c>
      <c r="C87" s="4">
        <v>68</v>
      </c>
      <c r="D87" s="4">
        <v>1</v>
      </c>
      <c r="E87" s="4">
        <v>1</v>
      </c>
      <c r="F87" s="4">
        <v>0</v>
      </c>
      <c r="G87" s="4">
        <v>5.67</v>
      </c>
      <c r="H87" s="4">
        <v>3</v>
      </c>
      <c r="I87" s="4">
        <v>2</v>
      </c>
      <c r="J87" s="4">
        <v>2</v>
      </c>
      <c r="K87" s="4">
        <v>0</v>
      </c>
      <c r="L87" s="4">
        <v>25</v>
      </c>
      <c r="M87" s="4">
        <v>6.94</v>
      </c>
      <c r="N87" s="4">
        <v>5.55</v>
      </c>
      <c r="O87" s="4">
        <v>37.5</v>
      </c>
      <c r="P87" s="4">
        <v>1.4983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1</v>
      </c>
      <c r="AD87" s="4">
        <v>0</v>
      </c>
      <c r="AE87" s="4">
        <v>0</v>
      </c>
      <c r="AF87" s="4">
        <v>1</v>
      </c>
      <c r="AG87" s="4">
        <v>0</v>
      </c>
      <c r="AH87" s="4">
        <v>1</v>
      </c>
      <c r="AI87" s="4">
        <v>0</v>
      </c>
      <c r="AJ87" s="4">
        <v>0</v>
      </c>
      <c r="AK87" s="4">
        <v>9.1050909612570905</v>
      </c>
      <c r="AL87" s="4">
        <v>1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1</v>
      </c>
      <c r="AT87" s="4">
        <v>0</v>
      </c>
      <c r="AU87" s="4">
        <v>0</v>
      </c>
      <c r="AV87" s="4">
        <v>0</v>
      </c>
      <c r="AW87" s="4">
        <v>1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1</v>
      </c>
      <c r="BD87" s="4">
        <v>1</v>
      </c>
    </row>
    <row r="88" spans="1:56" x14ac:dyDescent="0.3">
      <c r="A88" s="4" t="s">
        <v>492</v>
      </c>
      <c r="B88" s="4">
        <v>0</v>
      </c>
      <c r="C88" s="4">
        <v>152</v>
      </c>
      <c r="D88" s="4">
        <v>1</v>
      </c>
      <c r="E88" s="4">
        <v>1</v>
      </c>
      <c r="F88" s="4">
        <v>0</v>
      </c>
      <c r="G88" s="4">
        <v>12.67</v>
      </c>
      <c r="H88" s="4">
        <v>3</v>
      </c>
      <c r="I88" s="4">
        <v>1</v>
      </c>
      <c r="J88" s="4">
        <v>1</v>
      </c>
      <c r="K88" s="4">
        <v>0</v>
      </c>
      <c r="L88" s="4">
        <v>12</v>
      </c>
      <c r="M88" s="4">
        <v>6.06</v>
      </c>
      <c r="N88" s="4">
        <v>6.99</v>
      </c>
      <c r="O88" s="4">
        <v>16.7</v>
      </c>
      <c r="P88" s="4">
        <v>1.4983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1</v>
      </c>
      <c r="AE88" s="4">
        <v>1</v>
      </c>
      <c r="AF88" s="4">
        <v>0</v>
      </c>
      <c r="AG88" s="4">
        <v>0</v>
      </c>
      <c r="AH88" s="4">
        <v>1</v>
      </c>
      <c r="AI88" s="4">
        <v>0</v>
      </c>
      <c r="AJ88" s="4">
        <v>0</v>
      </c>
      <c r="AK88" s="4">
        <v>0</v>
      </c>
      <c r="AL88" s="4">
        <v>1</v>
      </c>
      <c r="AM88" s="4">
        <v>1</v>
      </c>
      <c r="AN88" s="4">
        <v>0</v>
      </c>
      <c r="AO88" s="4">
        <v>1</v>
      </c>
      <c r="AP88" s="4">
        <v>1</v>
      </c>
      <c r="AQ88" s="4">
        <v>0</v>
      </c>
      <c r="AR88" s="4">
        <v>0</v>
      </c>
      <c r="AS88" s="4">
        <v>1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1</v>
      </c>
      <c r="AZ88" s="4">
        <v>0</v>
      </c>
      <c r="BA88" s="4">
        <v>0</v>
      </c>
      <c r="BB88" s="4">
        <v>0</v>
      </c>
      <c r="BC88" s="4">
        <v>1</v>
      </c>
      <c r="BD88" s="4">
        <v>1</v>
      </c>
    </row>
    <row r="89" spans="1:56" x14ac:dyDescent="0.3">
      <c r="A89" s="4" t="s">
        <v>497</v>
      </c>
      <c r="B89" s="4">
        <v>0</v>
      </c>
      <c r="C89" s="4">
        <v>152</v>
      </c>
      <c r="D89" s="4">
        <v>1</v>
      </c>
      <c r="E89" s="4">
        <v>1</v>
      </c>
      <c r="F89" s="4">
        <v>0</v>
      </c>
      <c r="G89" s="4">
        <v>12.67</v>
      </c>
      <c r="H89" s="4">
        <v>3</v>
      </c>
      <c r="I89" s="4">
        <v>2</v>
      </c>
      <c r="J89" s="4">
        <v>1</v>
      </c>
      <c r="K89" s="4">
        <v>0</v>
      </c>
      <c r="L89" s="4">
        <v>12</v>
      </c>
      <c r="M89" s="4">
        <v>6.06</v>
      </c>
      <c r="N89" s="4">
        <v>6.99</v>
      </c>
      <c r="O89" s="4">
        <v>30.8</v>
      </c>
      <c r="P89" s="4">
        <v>2.1021000000000001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</v>
      </c>
      <c r="AE89" s="4">
        <v>0</v>
      </c>
      <c r="AF89" s="4">
        <v>1</v>
      </c>
      <c r="AG89" s="4">
        <v>0</v>
      </c>
      <c r="AH89" s="4">
        <v>1</v>
      </c>
      <c r="AI89" s="4">
        <v>0</v>
      </c>
      <c r="AJ89" s="4">
        <v>0</v>
      </c>
      <c r="AK89" s="4">
        <v>0</v>
      </c>
      <c r="AL89" s="4">
        <v>1</v>
      </c>
      <c r="AM89" s="4">
        <v>1</v>
      </c>
      <c r="AN89" s="4">
        <v>0</v>
      </c>
      <c r="AO89" s="4">
        <v>1</v>
      </c>
      <c r="AP89" s="4">
        <v>0</v>
      </c>
      <c r="AQ89" s="4">
        <v>0</v>
      </c>
      <c r="AR89" s="4">
        <v>0</v>
      </c>
      <c r="AS89" s="4">
        <v>1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1</v>
      </c>
      <c r="AZ89" s="4">
        <v>0</v>
      </c>
      <c r="BA89" s="4">
        <v>0</v>
      </c>
      <c r="BB89" s="4">
        <v>0</v>
      </c>
      <c r="BC89" s="4">
        <v>1</v>
      </c>
      <c r="BD89" s="4">
        <v>1</v>
      </c>
    </row>
    <row r="90" spans="1:56" x14ac:dyDescent="0.3">
      <c r="A90" s="4" t="s">
        <v>501</v>
      </c>
      <c r="B90" s="4">
        <v>0</v>
      </c>
      <c r="C90" s="4">
        <v>152</v>
      </c>
      <c r="D90" s="4">
        <v>1</v>
      </c>
      <c r="E90" s="4">
        <v>1</v>
      </c>
      <c r="F90" s="4">
        <v>0</v>
      </c>
      <c r="G90" s="4">
        <v>12.67</v>
      </c>
      <c r="H90" s="4">
        <v>3</v>
      </c>
      <c r="I90" s="4">
        <v>2</v>
      </c>
      <c r="J90" s="4">
        <v>2</v>
      </c>
      <c r="K90" s="4">
        <v>0</v>
      </c>
      <c r="L90" s="4">
        <v>12</v>
      </c>
      <c r="M90" s="4">
        <v>6.06</v>
      </c>
      <c r="N90" s="4">
        <v>6.99</v>
      </c>
      <c r="O90" s="4">
        <v>60.8</v>
      </c>
      <c r="P90" s="4">
        <v>2.1021000000000001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1</v>
      </c>
      <c r="AE90" s="4">
        <v>1</v>
      </c>
      <c r="AF90" s="4">
        <v>0</v>
      </c>
      <c r="AG90" s="4">
        <v>0</v>
      </c>
      <c r="AH90" s="4">
        <v>1</v>
      </c>
      <c r="AI90" s="4">
        <v>0</v>
      </c>
      <c r="AJ90" s="4">
        <v>0</v>
      </c>
      <c r="AK90" s="4">
        <v>0</v>
      </c>
      <c r="AL90" s="4">
        <v>1</v>
      </c>
      <c r="AM90" s="4">
        <v>0</v>
      </c>
      <c r="AN90" s="4">
        <v>0</v>
      </c>
      <c r="AO90" s="4">
        <v>1</v>
      </c>
      <c r="AP90" s="4">
        <v>1</v>
      </c>
      <c r="AQ90" s="4">
        <v>0</v>
      </c>
      <c r="AR90" s="4">
        <v>0</v>
      </c>
      <c r="AS90" s="4">
        <v>1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1</v>
      </c>
      <c r="BA90" s="4">
        <v>0</v>
      </c>
      <c r="BB90" s="4">
        <v>0</v>
      </c>
      <c r="BC90" s="4">
        <v>1</v>
      </c>
      <c r="BD90" s="4">
        <v>1</v>
      </c>
    </row>
    <row r="91" spans="1:56" x14ac:dyDescent="0.3">
      <c r="A91" s="4" t="s">
        <v>504</v>
      </c>
      <c r="B91" s="4">
        <v>0</v>
      </c>
      <c r="C91" s="4">
        <v>152</v>
      </c>
      <c r="D91" s="4">
        <v>1</v>
      </c>
      <c r="E91" s="4">
        <v>1</v>
      </c>
      <c r="F91" s="4">
        <v>0</v>
      </c>
      <c r="G91" s="4">
        <v>12.67</v>
      </c>
      <c r="H91" s="4">
        <v>3</v>
      </c>
      <c r="I91" s="4">
        <v>3</v>
      </c>
      <c r="J91" s="4">
        <v>3</v>
      </c>
      <c r="K91" s="4">
        <v>0</v>
      </c>
      <c r="L91" s="4">
        <v>15</v>
      </c>
      <c r="M91" s="4">
        <v>6.06</v>
      </c>
      <c r="N91" s="4">
        <v>6.99</v>
      </c>
      <c r="O91" s="4">
        <v>61.7</v>
      </c>
      <c r="P91" s="4">
        <v>1.7403999999999999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1</v>
      </c>
      <c r="AD91" s="4">
        <v>0</v>
      </c>
      <c r="AE91" s="4">
        <v>0</v>
      </c>
      <c r="AF91" s="4">
        <v>1</v>
      </c>
      <c r="AG91" s="4">
        <v>0</v>
      </c>
      <c r="AH91" s="4">
        <v>1</v>
      </c>
      <c r="AI91" s="4">
        <v>0</v>
      </c>
      <c r="AJ91" s="4">
        <v>0</v>
      </c>
      <c r="AK91" s="4">
        <v>13.928840136128001</v>
      </c>
      <c r="AL91" s="4">
        <v>1</v>
      </c>
      <c r="AM91" s="4">
        <v>1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1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1</v>
      </c>
      <c r="BA91" s="4">
        <v>0</v>
      </c>
      <c r="BB91" s="4">
        <v>0</v>
      </c>
      <c r="BC91" s="4">
        <v>1</v>
      </c>
      <c r="BD91" s="4">
        <v>1</v>
      </c>
    </row>
    <row r="92" spans="1:56" x14ac:dyDescent="0.3">
      <c r="A92" s="4" t="s">
        <v>509</v>
      </c>
      <c r="B92" s="4">
        <v>0</v>
      </c>
      <c r="C92" s="4">
        <v>164</v>
      </c>
      <c r="D92" s="4">
        <v>1</v>
      </c>
      <c r="E92" s="4">
        <v>1</v>
      </c>
      <c r="F92" s="4">
        <v>0</v>
      </c>
      <c r="G92" s="4">
        <v>13.67</v>
      </c>
      <c r="H92" s="4">
        <v>3</v>
      </c>
      <c r="I92" s="4">
        <v>1</v>
      </c>
      <c r="J92" s="4">
        <v>2</v>
      </c>
      <c r="K92" s="4">
        <v>0</v>
      </c>
      <c r="L92" s="4">
        <v>18</v>
      </c>
      <c r="M92" s="4">
        <v>6.01</v>
      </c>
      <c r="N92" s="4">
        <v>7.53</v>
      </c>
      <c r="O92" s="4">
        <v>79.599999999999994</v>
      </c>
      <c r="P92" s="4">
        <v>2.5459000000000001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</v>
      </c>
      <c r="AE92" s="4">
        <v>0</v>
      </c>
      <c r="AF92" s="4">
        <v>1</v>
      </c>
      <c r="AG92" s="4">
        <v>0</v>
      </c>
      <c r="AH92" s="4">
        <v>1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1</v>
      </c>
      <c r="AP92" s="4">
        <v>0</v>
      </c>
      <c r="AQ92" s="4">
        <v>0</v>
      </c>
      <c r="AR92" s="4">
        <v>0</v>
      </c>
      <c r="AS92" s="4">
        <v>1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1</v>
      </c>
      <c r="BB92" s="4">
        <v>0</v>
      </c>
      <c r="BC92" s="4">
        <v>1</v>
      </c>
      <c r="BD92" s="4">
        <v>1</v>
      </c>
    </row>
    <row r="93" spans="1:56" x14ac:dyDescent="0.3">
      <c r="A93" s="4" t="s">
        <v>515</v>
      </c>
      <c r="B93" s="4">
        <v>0</v>
      </c>
      <c r="C93" s="4">
        <v>68</v>
      </c>
      <c r="D93" s="4">
        <v>0</v>
      </c>
      <c r="E93" s="4">
        <v>1</v>
      </c>
      <c r="F93" s="4">
        <v>0</v>
      </c>
      <c r="G93" s="4">
        <v>5.67</v>
      </c>
      <c r="H93" s="4">
        <v>3</v>
      </c>
      <c r="I93" s="4">
        <v>1</v>
      </c>
      <c r="J93" s="4">
        <v>1</v>
      </c>
      <c r="K93" s="4">
        <v>0</v>
      </c>
      <c r="L93" s="4">
        <v>19</v>
      </c>
      <c r="M93" s="4">
        <v>6.94</v>
      </c>
      <c r="N93" s="4">
        <v>5.55</v>
      </c>
      <c r="O93" s="4">
        <v>90.8</v>
      </c>
      <c r="P93" s="4">
        <v>2.1021000000000001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1</v>
      </c>
      <c r="AE93" s="4">
        <v>0</v>
      </c>
      <c r="AF93" s="4">
        <v>1</v>
      </c>
      <c r="AG93" s="4">
        <v>0</v>
      </c>
      <c r="AH93" s="4">
        <v>1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1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1</v>
      </c>
      <c r="BB93" s="4">
        <v>0</v>
      </c>
      <c r="BC93" s="4">
        <v>1</v>
      </c>
      <c r="BD93" s="4">
        <v>1</v>
      </c>
    </row>
    <row r="94" spans="1:56" x14ac:dyDescent="0.3">
      <c r="A94" s="4" t="s">
        <v>520</v>
      </c>
      <c r="B94" s="4">
        <v>0</v>
      </c>
      <c r="C94" s="4">
        <v>320</v>
      </c>
      <c r="D94" s="4">
        <v>1</v>
      </c>
      <c r="E94" s="4">
        <v>1</v>
      </c>
      <c r="F94" s="4">
        <v>1</v>
      </c>
      <c r="G94" s="4">
        <v>26.67</v>
      </c>
      <c r="H94" s="4">
        <v>3</v>
      </c>
      <c r="I94" s="4">
        <v>2</v>
      </c>
      <c r="J94" s="4">
        <v>1</v>
      </c>
      <c r="K94" s="4">
        <v>0</v>
      </c>
      <c r="L94" s="4">
        <v>26</v>
      </c>
      <c r="M94" s="4">
        <v>5.29</v>
      </c>
      <c r="N94" s="4">
        <v>2.21</v>
      </c>
      <c r="O94" s="4">
        <v>74.599999999999994</v>
      </c>
      <c r="P94" s="4">
        <v>2.5459000000000001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</v>
      </c>
      <c r="AE94" s="4">
        <v>0</v>
      </c>
      <c r="AF94" s="4">
        <v>1</v>
      </c>
      <c r="AG94" s="4">
        <v>0</v>
      </c>
      <c r="AH94" s="4">
        <v>1</v>
      </c>
      <c r="AI94" s="4">
        <v>0</v>
      </c>
      <c r="AJ94" s="4">
        <v>0</v>
      </c>
      <c r="AK94" s="4">
        <v>0</v>
      </c>
      <c r="AL94" s="4">
        <v>1</v>
      </c>
      <c r="AM94" s="4">
        <v>1</v>
      </c>
      <c r="AN94" s="4">
        <v>0</v>
      </c>
      <c r="AO94" s="4">
        <v>0</v>
      </c>
      <c r="AP94" s="4">
        <v>0</v>
      </c>
      <c r="AQ94" s="4">
        <v>1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1</v>
      </c>
      <c r="BC94" s="4">
        <v>1</v>
      </c>
      <c r="BD94" s="4">
        <v>1</v>
      </c>
    </row>
    <row r="95" spans="1:56" x14ac:dyDescent="0.3">
      <c r="A95" s="4" t="s">
        <v>526</v>
      </c>
      <c r="B95" s="4">
        <v>0</v>
      </c>
      <c r="C95" s="4">
        <v>80</v>
      </c>
      <c r="D95" s="4">
        <v>1</v>
      </c>
      <c r="E95" s="4">
        <v>1</v>
      </c>
      <c r="F95" s="4">
        <v>0</v>
      </c>
      <c r="G95" s="4">
        <v>6.67</v>
      </c>
      <c r="H95" s="4">
        <v>3</v>
      </c>
      <c r="I95" s="4">
        <v>1</v>
      </c>
      <c r="J95" s="4">
        <v>2</v>
      </c>
      <c r="K95" s="4">
        <v>0.5</v>
      </c>
      <c r="L95" s="4">
        <v>6</v>
      </c>
      <c r="M95" s="4">
        <v>3.45</v>
      </c>
      <c r="N95" s="4">
        <v>5.69</v>
      </c>
      <c r="O95" s="4">
        <v>25</v>
      </c>
      <c r="P95" s="4">
        <v>0.81289999999999996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4">
        <v>0</v>
      </c>
      <c r="AD95" s="4">
        <v>1</v>
      </c>
      <c r="AE95" s="4">
        <v>0</v>
      </c>
      <c r="AF95" s="4">
        <v>1</v>
      </c>
      <c r="AG95" s="4">
        <v>0</v>
      </c>
      <c r="AH95" s="4">
        <v>1</v>
      </c>
      <c r="AI95" s="4">
        <v>1</v>
      </c>
      <c r="AJ95" s="4">
        <v>0</v>
      </c>
      <c r="AK95" s="4">
        <v>0</v>
      </c>
      <c r="AL95" s="4">
        <v>0</v>
      </c>
      <c r="AM95" s="4">
        <v>1</v>
      </c>
      <c r="AN95" s="4">
        <v>0</v>
      </c>
      <c r="AO95" s="4">
        <v>1</v>
      </c>
      <c r="AP95" s="4">
        <v>0</v>
      </c>
      <c r="AQ95" s="4">
        <v>1</v>
      </c>
      <c r="AR95" s="4">
        <v>0</v>
      </c>
      <c r="AS95" s="4">
        <v>1</v>
      </c>
      <c r="AT95" s="4">
        <v>0</v>
      </c>
      <c r="AU95" s="4">
        <v>0</v>
      </c>
      <c r="AV95" s="4">
        <v>0</v>
      </c>
      <c r="AW95" s="4">
        <v>0</v>
      </c>
      <c r="AX95" s="4">
        <v>1</v>
      </c>
      <c r="AY95" s="4">
        <v>0</v>
      </c>
      <c r="AZ95" s="4">
        <v>0</v>
      </c>
      <c r="BA95" s="4">
        <v>0</v>
      </c>
      <c r="BB95" s="4">
        <v>0</v>
      </c>
      <c r="BC95" s="4">
        <v>1</v>
      </c>
      <c r="BD95" s="4">
        <v>1</v>
      </c>
    </row>
    <row r="96" spans="1:56" x14ac:dyDescent="0.3">
      <c r="A96" s="4" t="s">
        <v>531</v>
      </c>
      <c r="B96" s="4">
        <v>0</v>
      </c>
      <c r="C96" s="4">
        <v>128</v>
      </c>
      <c r="D96" s="4">
        <v>1</v>
      </c>
      <c r="E96" s="4">
        <v>1</v>
      </c>
      <c r="F96" s="4">
        <v>0</v>
      </c>
      <c r="G96" s="4">
        <v>10.67</v>
      </c>
      <c r="H96" s="4">
        <v>3</v>
      </c>
      <c r="I96" s="4">
        <v>1</v>
      </c>
      <c r="J96" s="4">
        <v>2</v>
      </c>
      <c r="K96" s="4">
        <v>0</v>
      </c>
      <c r="L96" s="4">
        <v>15</v>
      </c>
      <c r="M96" s="4">
        <v>7.11</v>
      </c>
      <c r="N96" s="4">
        <v>5.51</v>
      </c>
      <c r="O96" s="4">
        <v>54.2</v>
      </c>
      <c r="P96" s="4">
        <v>2.5459000000000001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4">
        <v>0</v>
      </c>
      <c r="AD96" s="4">
        <v>1</v>
      </c>
      <c r="AE96" s="4">
        <v>1</v>
      </c>
      <c r="AF96" s="4">
        <v>0</v>
      </c>
      <c r="AG96" s="4">
        <v>0</v>
      </c>
      <c r="AH96" s="4">
        <v>1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1</v>
      </c>
      <c r="AO96" s="4">
        <v>1</v>
      </c>
      <c r="AP96" s="4">
        <v>0</v>
      </c>
      <c r="AQ96" s="4">
        <v>1</v>
      </c>
      <c r="AR96" s="4">
        <v>0</v>
      </c>
      <c r="AS96" s="4">
        <v>1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1</v>
      </c>
      <c r="AZ96" s="4">
        <v>0</v>
      </c>
      <c r="BA96" s="4">
        <v>0</v>
      </c>
      <c r="BB96" s="4">
        <v>0</v>
      </c>
      <c r="BC96" s="4">
        <v>1</v>
      </c>
      <c r="BD96" s="4">
        <v>1</v>
      </c>
    </row>
    <row r="97" spans="1:56" x14ac:dyDescent="0.3">
      <c r="A97" s="4" t="s">
        <v>533</v>
      </c>
      <c r="B97" s="4">
        <v>0</v>
      </c>
      <c r="C97" s="4">
        <v>128</v>
      </c>
      <c r="D97" s="4">
        <v>1</v>
      </c>
      <c r="E97" s="4">
        <v>1</v>
      </c>
      <c r="F97" s="4">
        <v>0</v>
      </c>
      <c r="G97" s="4">
        <v>10.67</v>
      </c>
      <c r="H97" s="4">
        <v>3</v>
      </c>
      <c r="I97" s="4">
        <v>1</v>
      </c>
      <c r="J97" s="4">
        <v>2</v>
      </c>
      <c r="K97" s="4">
        <v>0</v>
      </c>
      <c r="L97" s="4">
        <v>15</v>
      </c>
      <c r="M97" s="4">
        <v>7.11</v>
      </c>
      <c r="N97" s="4">
        <v>5.51</v>
      </c>
      <c r="O97" s="4">
        <v>74.2</v>
      </c>
      <c r="P97" s="4">
        <v>2.5459000000000001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4">
        <v>0</v>
      </c>
      <c r="AD97" s="4">
        <v>1</v>
      </c>
      <c r="AE97" s="4">
        <v>1</v>
      </c>
      <c r="AF97" s="4">
        <v>0</v>
      </c>
      <c r="AG97" s="4">
        <v>0</v>
      </c>
      <c r="AH97" s="4">
        <v>1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1</v>
      </c>
      <c r="AO97" s="4">
        <v>1</v>
      </c>
      <c r="AP97" s="4">
        <v>0</v>
      </c>
      <c r="AQ97" s="4">
        <v>1</v>
      </c>
      <c r="AR97" s="4">
        <v>0</v>
      </c>
      <c r="AS97" s="4">
        <v>1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1</v>
      </c>
      <c r="BC97" s="4">
        <v>1</v>
      </c>
      <c r="BD97" s="4">
        <v>1</v>
      </c>
    </row>
    <row r="98" spans="1:56" x14ac:dyDescent="0.3">
      <c r="A98" s="4" t="s">
        <v>540</v>
      </c>
      <c r="B98" s="4">
        <v>0</v>
      </c>
      <c r="C98" s="4">
        <v>356</v>
      </c>
      <c r="D98" s="4">
        <v>1</v>
      </c>
      <c r="E98" s="4">
        <v>1</v>
      </c>
      <c r="F98" s="4">
        <v>0</v>
      </c>
      <c r="G98" s="4">
        <v>29.67</v>
      </c>
      <c r="H98" s="4">
        <v>3</v>
      </c>
      <c r="I98" s="4">
        <v>2</v>
      </c>
      <c r="J98" s="4">
        <v>1</v>
      </c>
      <c r="K98" s="4">
        <v>0</v>
      </c>
      <c r="L98" s="4">
        <v>35</v>
      </c>
      <c r="M98" s="4">
        <v>4.49</v>
      </c>
      <c r="N98" s="4">
        <v>5.31</v>
      </c>
      <c r="O98" s="4">
        <v>70</v>
      </c>
      <c r="P98" s="4">
        <v>3.3980999999999999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</v>
      </c>
      <c r="AE98" s="4">
        <v>0</v>
      </c>
      <c r="AF98" s="4">
        <v>1</v>
      </c>
      <c r="AG98" s="4">
        <v>0</v>
      </c>
      <c r="AH98" s="4">
        <v>1</v>
      </c>
      <c r="AI98" s="4">
        <v>0</v>
      </c>
      <c r="AJ98" s="4">
        <v>0</v>
      </c>
      <c r="AK98" s="4">
        <v>0</v>
      </c>
      <c r="AL98" s="4">
        <v>1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1</v>
      </c>
      <c r="BC98" s="4">
        <v>1</v>
      </c>
      <c r="BD98" s="4">
        <v>1</v>
      </c>
    </row>
    <row r="99" spans="1:56" x14ac:dyDescent="0.3">
      <c r="A99" s="4" t="s">
        <v>545</v>
      </c>
      <c r="B99" s="4">
        <v>1</v>
      </c>
      <c r="C99" s="4">
        <v>29</v>
      </c>
      <c r="D99" s="4">
        <v>1</v>
      </c>
      <c r="E99" s="4">
        <v>1</v>
      </c>
      <c r="F99" s="4">
        <v>0</v>
      </c>
      <c r="G99" s="4">
        <v>4.67</v>
      </c>
      <c r="H99" s="4">
        <v>3</v>
      </c>
      <c r="I99" s="4">
        <v>1</v>
      </c>
      <c r="J99" s="4">
        <v>1</v>
      </c>
      <c r="K99" s="4">
        <v>0</v>
      </c>
      <c r="L99" s="4">
        <v>4</v>
      </c>
      <c r="M99" s="4">
        <v>7.1</v>
      </c>
      <c r="N99" s="4">
        <v>7.7</v>
      </c>
      <c r="O99" s="4">
        <v>5.8</v>
      </c>
      <c r="P99" s="4">
        <v>1.4983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0</v>
      </c>
      <c r="AF99" s="4">
        <v>1</v>
      </c>
      <c r="AG99" s="4">
        <v>0</v>
      </c>
      <c r="AH99" s="4">
        <v>1</v>
      </c>
      <c r="AI99" s="4">
        <v>0</v>
      </c>
      <c r="AJ99" s="4">
        <v>0</v>
      </c>
      <c r="AK99" s="4">
        <v>0</v>
      </c>
      <c r="AL99" s="4">
        <v>1</v>
      </c>
      <c r="AM99" s="4">
        <v>0</v>
      </c>
      <c r="AN99" s="4">
        <v>0</v>
      </c>
      <c r="AO99" s="4">
        <v>0</v>
      </c>
      <c r="AP99" s="4">
        <v>0</v>
      </c>
      <c r="AQ99" s="4">
        <v>1</v>
      </c>
      <c r="AR99" s="4">
        <v>0</v>
      </c>
      <c r="AS99" s="4">
        <v>1</v>
      </c>
      <c r="AT99" s="4">
        <v>0</v>
      </c>
      <c r="AU99" s="4">
        <v>0</v>
      </c>
      <c r="AV99" s="4">
        <v>0</v>
      </c>
      <c r="AW99" s="4">
        <v>1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1</v>
      </c>
      <c r="BD99" s="4">
        <v>1</v>
      </c>
    </row>
    <row r="100" spans="1:56" x14ac:dyDescent="0.3">
      <c r="A100" s="4" t="s">
        <v>550</v>
      </c>
      <c r="B100" s="4">
        <v>0</v>
      </c>
      <c r="C100" s="4">
        <v>80</v>
      </c>
      <c r="D100" s="4">
        <v>1</v>
      </c>
      <c r="E100" s="4">
        <v>1</v>
      </c>
      <c r="F100" s="4">
        <v>0</v>
      </c>
      <c r="G100" s="4">
        <v>6.67</v>
      </c>
      <c r="H100" s="4">
        <v>3</v>
      </c>
      <c r="I100" s="4">
        <v>1</v>
      </c>
      <c r="J100" s="4">
        <v>2</v>
      </c>
      <c r="K100" s="4">
        <v>0</v>
      </c>
      <c r="L100" s="4">
        <v>6</v>
      </c>
      <c r="M100" s="4">
        <v>3.45</v>
      </c>
      <c r="N100" s="4">
        <v>5.69</v>
      </c>
      <c r="O100" s="4">
        <v>39.200000000000003</v>
      </c>
      <c r="P100" s="4">
        <v>1.4983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4">
        <v>0</v>
      </c>
      <c r="AD100" s="4">
        <v>1</v>
      </c>
      <c r="AE100" s="4">
        <v>1</v>
      </c>
      <c r="AF100" s="4">
        <v>0</v>
      </c>
      <c r="AG100" s="4">
        <v>0</v>
      </c>
      <c r="AH100" s="4">
        <v>1</v>
      </c>
      <c r="AI100" s="4">
        <v>0</v>
      </c>
      <c r="AJ100" s="4">
        <v>0</v>
      </c>
      <c r="AK100" s="4">
        <v>0</v>
      </c>
      <c r="AL100" s="4">
        <v>1</v>
      </c>
      <c r="AM100" s="4">
        <v>0</v>
      </c>
      <c r="AN100" s="4">
        <v>0</v>
      </c>
      <c r="AO100" s="4">
        <v>0</v>
      </c>
      <c r="AP100" s="4">
        <v>0</v>
      </c>
      <c r="AQ100" s="4">
        <v>1</v>
      </c>
      <c r="AR100" s="4">
        <v>0</v>
      </c>
      <c r="AS100" s="4">
        <v>1</v>
      </c>
      <c r="AT100" s="4">
        <v>0</v>
      </c>
      <c r="AU100" s="4">
        <v>0</v>
      </c>
      <c r="AV100" s="4">
        <v>0</v>
      </c>
      <c r="AW100" s="4">
        <v>0</v>
      </c>
      <c r="AX100" s="4">
        <v>1</v>
      </c>
      <c r="AY100" s="4">
        <v>0</v>
      </c>
      <c r="AZ100" s="4">
        <v>0</v>
      </c>
      <c r="BA100" s="4">
        <v>0</v>
      </c>
      <c r="BB100" s="4">
        <v>0</v>
      </c>
      <c r="BC100" s="4">
        <v>1</v>
      </c>
      <c r="BD100" s="4">
        <v>1</v>
      </c>
    </row>
    <row r="101" spans="1:56" x14ac:dyDescent="0.3">
      <c r="A101" s="4" t="s">
        <v>554</v>
      </c>
      <c r="B101" s="4">
        <v>0</v>
      </c>
      <c r="C101" s="4">
        <v>68</v>
      </c>
      <c r="D101" s="4">
        <v>0</v>
      </c>
      <c r="E101" s="4">
        <v>1</v>
      </c>
      <c r="F101" s="4">
        <v>0</v>
      </c>
      <c r="G101" s="4">
        <v>5.67</v>
      </c>
      <c r="H101" s="4">
        <v>3</v>
      </c>
      <c r="I101" s="4">
        <v>2</v>
      </c>
      <c r="J101" s="4">
        <v>1</v>
      </c>
      <c r="K101" s="4">
        <v>0</v>
      </c>
      <c r="L101" s="4">
        <v>30</v>
      </c>
      <c r="M101" s="4">
        <v>6.94</v>
      </c>
      <c r="N101" s="4">
        <v>5.55</v>
      </c>
      <c r="O101" s="4">
        <v>58.3</v>
      </c>
      <c r="P101" s="4">
        <v>2.1021000000000001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1</v>
      </c>
      <c r="AE101" s="4">
        <v>1</v>
      </c>
      <c r="AF101" s="4">
        <v>0</v>
      </c>
      <c r="AG101" s="4">
        <v>0</v>
      </c>
      <c r="AH101" s="4">
        <v>1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1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1</v>
      </c>
      <c r="AY101" s="4">
        <v>0</v>
      </c>
      <c r="AZ101" s="4">
        <v>0</v>
      </c>
      <c r="BA101" s="4">
        <v>0</v>
      </c>
      <c r="BB101" s="4">
        <v>0</v>
      </c>
      <c r="BC101" s="4">
        <v>1</v>
      </c>
      <c r="BD101" s="4">
        <v>1</v>
      </c>
    </row>
  </sheetData>
  <autoFilter ref="A1:BD10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5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6" customWidth="1"/>
    <col min="2" max="2" width="26" customWidth="1"/>
    <col min="3" max="6" width="16" customWidth="1"/>
    <col min="7" max="7" width="40" customWidth="1"/>
    <col min="8" max="13" width="16" customWidth="1"/>
    <col min="14" max="14" width="22" customWidth="1"/>
    <col min="15" max="15" width="16" customWidth="1"/>
    <col min="16" max="16" width="40" customWidth="1"/>
    <col min="17" max="17" width="22" customWidth="1"/>
    <col min="18" max="18" width="16" customWidth="1"/>
  </cols>
  <sheetData>
    <row r="1" spans="1:18" ht="42" customHeight="1" x14ac:dyDescent="0.3">
      <c r="A1" s="1" t="s">
        <v>0</v>
      </c>
      <c r="B1" s="1" t="s">
        <v>587</v>
      </c>
      <c r="C1" s="1" t="s">
        <v>588</v>
      </c>
      <c r="D1" s="1" t="s">
        <v>589</v>
      </c>
      <c r="E1" s="1" t="s">
        <v>590</v>
      </c>
      <c r="F1" s="1" t="s">
        <v>591</v>
      </c>
      <c r="G1" s="1" t="s">
        <v>592</v>
      </c>
      <c r="H1" s="2" t="s">
        <v>593</v>
      </c>
      <c r="I1" s="2" t="s">
        <v>594</v>
      </c>
      <c r="J1" s="2" t="s">
        <v>595</v>
      </c>
      <c r="K1" s="2" t="s">
        <v>596</v>
      </c>
      <c r="L1" s="2" t="s">
        <v>597</v>
      </c>
      <c r="M1" s="1" t="s">
        <v>598</v>
      </c>
      <c r="N1" s="1" t="s">
        <v>599</v>
      </c>
      <c r="O1" s="2" t="s">
        <v>45</v>
      </c>
      <c r="P1" s="1" t="s">
        <v>600</v>
      </c>
      <c r="Q1" s="1" t="s">
        <v>601</v>
      </c>
      <c r="R1" s="1" t="s">
        <v>602</v>
      </c>
    </row>
    <row r="2" spans="1:18" x14ac:dyDescent="0.3">
      <c r="A2" s="4" t="s">
        <v>85</v>
      </c>
      <c r="B2" s="4" t="s">
        <v>603</v>
      </c>
      <c r="C2" s="4">
        <v>1</v>
      </c>
      <c r="D2" s="4">
        <v>1</v>
      </c>
      <c r="E2" s="4">
        <v>0</v>
      </c>
      <c r="F2" s="4" t="s">
        <v>604</v>
      </c>
      <c r="G2" s="4" t="s">
        <v>605</v>
      </c>
      <c r="H2" s="4">
        <v>2</v>
      </c>
      <c r="I2" s="4" t="s">
        <v>96</v>
      </c>
      <c r="J2" s="4">
        <v>0</v>
      </c>
      <c r="K2" s="4">
        <v>1</v>
      </c>
      <c r="L2" s="4">
        <v>15</v>
      </c>
      <c r="M2" s="4">
        <v>1</v>
      </c>
      <c r="N2" s="4"/>
      <c r="O2" s="4"/>
      <c r="P2" s="4" t="s">
        <v>606</v>
      </c>
      <c r="Q2" s="4" t="s">
        <v>607</v>
      </c>
      <c r="R2" s="4" t="s">
        <v>604</v>
      </c>
    </row>
    <row r="3" spans="1:18" x14ac:dyDescent="0.3">
      <c r="A3" s="4" t="s">
        <v>85</v>
      </c>
      <c r="B3" s="4" t="s">
        <v>608</v>
      </c>
      <c r="C3" s="4">
        <v>1</v>
      </c>
      <c r="D3" s="4">
        <v>1</v>
      </c>
      <c r="E3" s="4">
        <v>0</v>
      </c>
      <c r="F3" s="4" t="s">
        <v>604</v>
      </c>
      <c r="G3" s="4" t="s">
        <v>609</v>
      </c>
      <c r="H3" s="4">
        <v>2</v>
      </c>
      <c r="I3" s="4" t="s">
        <v>96</v>
      </c>
      <c r="J3" s="4">
        <v>1</v>
      </c>
      <c r="K3" s="4">
        <v>1</v>
      </c>
      <c r="L3" s="4">
        <v>25</v>
      </c>
      <c r="M3" s="4">
        <v>1</v>
      </c>
      <c r="N3" s="4"/>
      <c r="O3" s="4"/>
      <c r="P3" s="4" t="s">
        <v>610</v>
      </c>
      <c r="Q3" s="4" t="s">
        <v>611</v>
      </c>
      <c r="R3" s="4" t="s">
        <v>604</v>
      </c>
    </row>
    <row r="4" spans="1:18" x14ac:dyDescent="0.3">
      <c r="A4" s="4" t="s">
        <v>102</v>
      </c>
      <c r="B4" s="4" t="s">
        <v>612</v>
      </c>
      <c r="C4" s="4">
        <v>1</v>
      </c>
      <c r="D4" s="4">
        <v>1</v>
      </c>
      <c r="E4" s="4">
        <v>0</v>
      </c>
      <c r="F4" s="4" t="s">
        <v>604</v>
      </c>
      <c r="G4" s="4" t="s">
        <v>613</v>
      </c>
      <c r="H4" s="4">
        <v>2</v>
      </c>
      <c r="I4" s="4" t="s">
        <v>96</v>
      </c>
      <c r="J4" s="4">
        <v>0</v>
      </c>
      <c r="K4" s="4">
        <v>1</v>
      </c>
      <c r="L4" s="4">
        <v>11</v>
      </c>
      <c r="M4" s="4">
        <v>0</v>
      </c>
      <c r="N4" s="4"/>
      <c r="O4" s="4"/>
      <c r="P4" s="4" t="s">
        <v>614</v>
      </c>
      <c r="Q4" s="4" t="s">
        <v>615</v>
      </c>
      <c r="R4" s="4" t="s">
        <v>604</v>
      </c>
    </row>
    <row r="5" spans="1:18" x14ac:dyDescent="0.3">
      <c r="A5" s="4" t="s">
        <v>106</v>
      </c>
      <c r="B5" s="4" t="s">
        <v>616</v>
      </c>
      <c r="C5" s="4">
        <v>1</v>
      </c>
      <c r="D5" s="4">
        <v>1</v>
      </c>
      <c r="E5" s="4">
        <v>0</v>
      </c>
      <c r="F5" s="4" t="s">
        <v>604</v>
      </c>
      <c r="G5" s="4"/>
      <c r="H5" s="4"/>
      <c r="I5" s="4"/>
      <c r="J5" s="4"/>
      <c r="K5" s="4"/>
      <c r="L5" s="4">
        <v>30</v>
      </c>
      <c r="M5" s="4">
        <v>1</v>
      </c>
      <c r="N5" s="4" t="s">
        <v>617</v>
      </c>
      <c r="O5" s="4">
        <v>8965</v>
      </c>
      <c r="P5" s="4"/>
      <c r="Q5" s="4"/>
      <c r="R5" s="4" t="s">
        <v>604</v>
      </c>
    </row>
    <row r="6" spans="1:18" x14ac:dyDescent="0.3">
      <c r="A6" s="4" t="s">
        <v>113</v>
      </c>
      <c r="B6" s="4" t="s">
        <v>618</v>
      </c>
      <c r="C6" s="4">
        <v>1</v>
      </c>
      <c r="D6" s="4">
        <v>1</v>
      </c>
      <c r="E6" s="4">
        <v>0</v>
      </c>
      <c r="F6" s="4" t="s">
        <v>604</v>
      </c>
      <c r="G6" s="4" t="s">
        <v>619</v>
      </c>
      <c r="H6" s="4">
        <v>3</v>
      </c>
      <c r="I6" s="4" t="s">
        <v>116</v>
      </c>
      <c r="J6" s="4">
        <v>1</v>
      </c>
      <c r="K6" s="4">
        <v>1</v>
      </c>
      <c r="L6" s="4">
        <v>23</v>
      </c>
      <c r="M6" s="4">
        <v>1</v>
      </c>
      <c r="N6" s="4" t="s">
        <v>620</v>
      </c>
      <c r="O6" s="4">
        <v>260</v>
      </c>
      <c r="P6" s="4" t="s">
        <v>621</v>
      </c>
      <c r="Q6" s="4" t="s">
        <v>622</v>
      </c>
      <c r="R6" s="4" t="s">
        <v>604</v>
      </c>
    </row>
    <row r="7" spans="1:18" x14ac:dyDescent="0.3">
      <c r="A7" s="4" t="s">
        <v>119</v>
      </c>
      <c r="B7" s="4" t="s">
        <v>623</v>
      </c>
      <c r="C7" s="4">
        <v>1</v>
      </c>
      <c r="D7" s="4">
        <v>1</v>
      </c>
      <c r="E7" s="4">
        <v>0</v>
      </c>
      <c r="F7" s="4" t="s">
        <v>604</v>
      </c>
      <c r="G7" s="4" t="s">
        <v>624</v>
      </c>
      <c r="H7" s="4">
        <v>2</v>
      </c>
      <c r="I7" s="4" t="s">
        <v>96</v>
      </c>
      <c r="J7" s="4">
        <v>0</v>
      </c>
      <c r="K7" s="4">
        <v>0</v>
      </c>
      <c r="L7" s="4">
        <v>20</v>
      </c>
      <c r="M7" s="4">
        <v>1</v>
      </c>
      <c r="N7" s="4"/>
      <c r="O7" s="4"/>
      <c r="P7" s="4" t="s">
        <v>625</v>
      </c>
      <c r="Q7" s="4" t="s">
        <v>626</v>
      </c>
      <c r="R7" s="4" t="s">
        <v>604</v>
      </c>
    </row>
    <row r="8" spans="1:18" x14ac:dyDescent="0.3">
      <c r="A8" s="4" t="s">
        <v>123</v>
      </c>
      <c r="B8" s="4" t="s">
        <v>627</v>
      </c>
      <c r="C8" s="4">
        <v>1</v>
      </c>
      <c r="D8" s="4">
        <v>0</v>
      </c>
      <c r="E8" s="4">
        <v>1</v>
      </c>
      <c r="F8" s="4" t="s">
        <v>628</v>
      </c>
      <c r="G8" s="4" t="s">
        <v>629</v>
      </c>
      <c r="H8" s="4">
        <v>2</v>
      </c>
      <c r="I8" s="4" t="s">
        <v>96</v>
      </c>
      <c r="J8" s="4">
        <v>1</v>
      </c>
      <c r="K8" s="4">
        <v>1</v>
      </c>
      <c r="L8" s="4">
        <v>20</v>
      </c>
      <c r="M8" s="4">
        <v>1</v>
      </c>
      <c r="N8" s="4"/>
      <c r="O8" s="4"/>
      <c r="P8" s="4" t="s">
        <v>622</v>
      </c>
      <c r="Q8" s="4" t="s">
        <v>622</v>
      </c>
      <c r="R8" s="4" t="s">
        <v>628</v>
      </c>
    </row>
    <row r="9" spans="1:18" x14ac:dyDescent="0.3">
      <c r="A9" s="4" t="s">
        <v>123</v>
      </c>
      <c r="B9" s="4" t="s">
        <v>630</v>
      </c>
      <c r="C9" s="4">
        <v>1</v>
      </c>
      <c r="D9" s="4">
        <v>1</v>
      </c>
      <c r="E9" s="4">
        <v>0</v>
      </c>
      <c r="F9" s="4" t="s">
        <v>604</v>
      </c>
      <c r="G9" s="4" t="s">
        <v>631</v>
      </c>
      <c r="H9" s="4">
        <v>2</v>
      </c>
      <c r="I9" s="4" t="s">
        <v>96</v>
      </c>
      <c r="J9" s="4">
        <v>1</v>
      </c>
      <c r="K9" s="4">
        <v>1</v>
      </c>
      <c r="L9" s="4">
        <v>25</v>
      </c>
      <c r="M9" s="4">
        <v>1</v>
      </c>
      <c r="N9" s="4"/>
      <c r="O9" s="4"/>
      <c r="P9" s="4" t="s">
        <v>632</v>
      </c>
      <c r="Q9" s="4" t="s">
        <v>622</v>
      </c>
      <c r="R9" s="4" t="s">
        <v>604</v>
      </c>
    </row>
    <row r="10" spans="1:18" x14ac:dyDescent="0.3">
      <c r="A10" s="4" t="s">
        <v>127</v>
      </c>
      <c r="B10" s="4" t="s">
        <v>633</v>
      </c>
      <c r="C10" s="4">
        <v>1</v>
      </c>
      <c r="D10" s="4">
        <v>0</v>
      </c>
      <c r="E10" s="4">
        <v>0</v>
      </c>
      <c r="F10" s="4" t="s">
        <v>258</v>
      </c>
      <c r="G10" s="4"/>
      <c r="H10" s="4"/>
      <c r="I10" s="4"/>
      <c r="J10" s="4"/>
      <c r="K10" s="4"/>
      <c r="L10" s="4"/>
      <c r="M10" s="4">
        <v>0</v>
      </c>
      <c r="N10" s="4" t="s">
        <v>634</v>
      </c>
      <c r="O10" s="4">
        <v>200</v>
      </c>
      <c r="P10" s="4"/>
      <c r="Q10" s="4"/>
      <c r="R10" s="4"/>
    </row>
    <row r="11" spans="1:18" x14ac:dyDescent="0.3">
      <c r="A11" s="4" t="s">
        <v>127</v>
      </c>
      <c r="B11" s="4" t="s">
        <v>635</v>
      </c>
      <c r="C11" s="4">
        <v>1</v>
      </c>
      <c r="D11" s="4">
        <v>1</v>
      </c>
      <c r="E11" s="4">
        <v>0</v>
      </c>
      <c r="F11" s="4" t="s">
        <v>604</v>
      </c>
      <c r="G11" s="4" t="s">
        <v>636</v>
      </c>
      <c r="H11" s="4">
        <v>0</v>
      </c>
      <c r="I11" s="4" t="s">
        <v>132</v>
      </c>
      <c r="J11" s="4">
        <v>0</v>
      </c>
      <c r="K11" s="4">
        <v>1</v>
      </c>
      <c r="L11" s="4">
        <v>15</v>
      </c>
      <c r="M11" s="4">
        <v>1</v>
      </c>
      <c r="N11" s="4" t="s">
        <v>634</v>
      </c>
      <c r="O11" s="4">
        <v>200</v>
      </c>
      <c r="P11" s="4" t="s">
        <v>637</v>
      </c>
      <c r="Q11" s="4" t="s">
        <v>638</v>
      </c>
      <c r="R11" s="4" t="s">
        <v>604</v>
      </c>
    </row>
    <row r="12" spans="1:18" x14ac:dyDescent="0.3">
      <c r="A12" s="4" t="s">
        <v>140</v>
      </c>
      <c r="B12" s="4" t="s">
        <v>639</v>
      </c>
      <c r="C12" s="4">
        <v>1</v>
      </c>
      <c r="D12" s="4">
        <v>1</v>
      </c>
      <c r="E12" s="4">
        <v>0</v>
      </c>
      <c r="F12" s="4" t="s">
        <v>604</v>
      </c>
      <c r="G12" s="4" t="s">
        <v>640</v>
      </c>
      <c r="H12" s="4">
        <v>1</v>
      </c>
      <c r="I12" s="4" t="s">
        <v>143</v>
      </c>
      <c r="J12" s="4">
        <v>1</v>
      </c>
      <c r="K12" s="4">
        <v>1</v>
      </c>
      <c r="L12" s="4">
        <v>10</v>
      </c>
      <c r="M12" s="4">
        <v>1</v>
      </c>
      <c r="N12" s="4"/>
      <c r="O12" s="4"/>
      <c r="P12" s="4" t="s">
        <v>641</v>
      </c>
      <c r="Q12" s="4" t="s">
        <v>622</v>
      </c>
      <c r="R12" s="4" t="s">
        <v>604</v>
      </c>
    </row>
    <row r="13" spans="1:18" x14ac:dyDescent="0.3">
      <c r="A13" s="4" t="s">
        <v>146</v>
      </c>
      <c r="B13" s="4" t="s">
        <v>642</v>
      </c>
      <c r="C13" s="4">
        <v>1</v>
      </c>
      <c r="D13" s="4">
        <v>1</v>
      </c>
      <c r="E13" s="4">
        <v>0</v>
      </c>
      <c r="F13" s="4" t="s">
        <v>604</v>
      </c>
      <c r="G13" s="4" t="s">
        <v>643</v>
      </c>
      <c r="H13" s="4">
        <v>2</v>
      </c>
      <c r="I13" s="4" t="s">
        <v>96</v>
      </c>
      <c r="J13" s="4">
        <v>1</v>
      </c>
      <c r="K13" s="4">
        <v>1</v>
      </c>
      <c r="L13" s="4">
        <v>25</v>
      </c>
      <c r="M13" s="4">
        <v>1</v>
      </c>
      <c r="N13" s="4"/>
      <c r="O13" s="4"/>
      <c r="P13" s="4" t="s">
        <v>622</v>
      </c>
      <c r="Q13" s="4" t="s">
        <v>644</v>
      </c>
      <c r="R13" s="4" t="s">
        <v>604</v>
      </c>
    </row>
    <row r="14" spans="1:18" x14ac:dyDescent="0.3">
      <c r="A14" s="4" t="s">
        <v>148</v>
      </c>
      <c r="B14" s="4" t="s">
        <v>645</v>
      </c>
      <c r="C14" s="4">
        <v>1</v>
      </c>
      <c r="D14" s="4">
        <v>1</v>
      </c>
      <c r="E14" s="4">
        <v>0</v>
      </c>
      <c r="F14" s="4" t="s">
        <v>604</v>
      </c>
      <c r="G14" s="4"/>
      <c r="H14" s="4"/>
      <c r="I14" s="4"/>
      <c r="J14" s="4"/>
      <c r="K14" s="4">
        <v>1</v>
      </c>
      <c r="L14" s="4">
        <v>17</v>
      </c>
      <c r="M14" s="4">
        <v>1</v>
      </c>
      <c r="N14" s="4" t="s">
        <v>151</v>
      </c>
      <c r="O14" s="4">
        <v>5.5</v>
      </c>
      <c r="P14" s="4" t="s">
        <v>646</v>
      </c>
      <c r="Q14" s="4"/>
      <c r="R14" s="4" t="s">
        <v>604</v>
      </c>
    </row>
    <row r="15" spans="1:18" x14ac:dyDescent="0.3">
      <c r="A15" s="4" t="s">
        <v>152</v>
      </c>
      <c r="B15" s="4" t="s">
        <v>647</v>
      </c>
      <c r="C15" s="4">
        <v>1</v>
      </c>
      <c r="D15" s="4">
        <v>1</v>
      </c>
      <c r="E15" s="4">
        <v>0</v>
      </c>
      <c r="F15" s="4" t="s">
        <v>604</v>
      </c>
      <c r="G15" s="4" t="s">
        <v>648</v>
      </c>
      <c r="H15" s="4">
        <v>3</v>
      </c>
      <c r="I15" s="4" t="s">
        <v>116</v>
      </c>
      <c r="J15" s="4">
        <v>0</v>
      </c>
      <c r="K15" s="4">
        <v>1</v>
      </c>
      <c r="L15" s="4">
        <v>20</v>
      </c>
      <c r="M15" s="4">
        <v>1</v>
      </c>
      <c r="N15" s="4" t="s">
        <v>649</v>
      </c>
      <c r="O15" s="4">
        <v>30.5</v>
      </c>
      <c r="P15" s="4" t="s">
        <v>650</v>
      </c>
      <c r="Q15" s="4" t="s">
        <v>638</v>
      </c>
      <c r="R15" s="4" t="s">
        <v>604</v>
      </c>
    </row>
    <row r="16" spans="1:18" x14ac:dyDescent="0.3">
      <c r="A16" s="4" t="s">
        <v>158</v>
      </c>
      <c r="B16" s="4" t="s">
        <v>651</v>
      </c>
      <c r="C16" s="4">
        <v>1</v>
      </c>
      <c r="D16" s="4">
        <v>1</v>
      </c>
      <c r="E16" s="4">
        <v>0</v>
      </c>
      <c r="F16" s="4" t="s">
        <v>604</v>
      </c>
      <c r="G16" s="4" t="s">
        <v>652</v>
      </c>
      <c r="H16" s="4">
        <v>1</v>
      </c>
      <c r="I16" s="4" t="s">
        <v>143</v>
      </c>
      <c r="J16" s="4">
        <v>0</v>
      </c>
      <c r="K16" s="4">
        <v>1</v>
      </c>
      <c r="L16" s="4">
        <v>10</v>
      </c>
      <c r="M16" s="4">
        <v>1</v>
      </c>
      <c r="N16" s="4" t="s">
        <v>653</v>
      </c>
      <c r="O16" s="4">
        <v>1549.5</v>
      </c>
      <c r="P16" s="4" t="s">
        <v>654</v>
      </c>
      <c r="Q16" s="4" t="s">
        <v>638</v>
      </c>
      <c r="R16" s="4" t="s">
        <v>604</v>
      </c>
    </row>
    <row r="17" spans="1:18" x14ac:dyDescent="0.3">
      <c r="A17" s="4" t="s">
        <v>158</v>
      </c>
      <c r="B17" s="4" t="s">
        <v>655</v>
      </c>
      <c r="C17" s="4">
        <v>1</v>
      </c>
      <c r="D17" s="4">
        <v>1</v>
      </c>
      <c r="E17" s="4">
        <v>0</v>
      </c>
      <c r="F17" s="4" t="s">
        <v>604</v>
      </c>
      <c r="G17" s="4" t="s">
        <v>656</v>
      </c>
      <c r="H17" s="4">
        <v>2</v>
      </c>
      <c r="I17" s="4" t="s">
        <v>96</v>
      </c>
      <c r="J17" s="4">
        <v>0</v>
      </c>
      <c r="K17" s="4">
        <v>0</v>
      </c>
      <c r="L17" s="4">
        <v>10</v>
      </c>
      <c r="M17" s="4">
        <v>1</v>
      </c>
      <c r="N17" s="4" t="s">
        <v>653</v>
      </c>
      <c r="O17" s="4">
        <v>1549.5</v>
      </c>
      <c r="P17" s="4" t="s">
        <v>638</v>
      </c>
      <c r="Q17" s="4" t="s">
        <v>638</v>
      </c>
      <c r="R17" s="4" t="s">
        <v>604</v>
      </c>
    </row>
    <row r="18" spans="1:18" x14ac:dyDescent="0.3">
      <c r="A18" s="4" t="s">
        <v>158</v>
      </c>
      <c r="B18" s="4" t="s">
        <v>657</v>
      </c>
      <c r="C18" s="4">
        <v>1</v>
      </c>
      <c r="D18" s="4">
        <v>1</v>
      </c>
      <c r="E18" s="4">
        <v>0</v>
      </c>
      <c r="F18" s="4" t="s">
        <v>604</v>
      </c>
      <c r="G18" s="4" t="s">
        <v>658</v>
      </c>
      <c r="H18" s="4">
        <v>1</v>
      </c>
      <c r="I18" s="4" t="s">
        <v>143</v>
      </c>
      <c r="J18" s="4">
        <v>1</v>
      </c>
      <c r="K18" s="4">
        <v>1</v>
      </c>
      <c r="L18" s="4"/>
      <c r="M18" s="4">
        <v>0</v>
      </c>
      <c r="N18" s="4" t="s">
        <v>653</v>
      </c>
      <c r="O18" s="4">
        <v>1549.5</v>
      </c>
      <c r="P18" s="4" t="s">
        <v>654</v>
      </c>
      <c r="Q18" s="4" t="s">
        <v>622</v>
      </c>
      <c r="R18" s="4" t="s">
        <v>604</v>
      </c>
    </row>
    <row r="19" spans="1:18" x14ac:dyDescent="0.3">
      <c r="A19" s="4" t="s">
        <v>169</v>
      </c>
      <c r="B19" s="4" t="s">
        <v>659</v>
      </c>
      <c r="C19" s="4">
        <v>1</v>
      </c>
      <c r="D19" s="4">
        <v>1</v>
      </c>
      <c r="E19" s="4">
        <v>0</v>
      </c>
      <c r="F19" s="4" t="s">
        <v>604</v>
      </c>
      <c r="G19" s="4" t="s">
        <v>660</v>
      </c>
      <c r="H19" s="4">
        <v>2</v>
      </c>
      <c r="I19" s="4" t="s">
        <v>96</v>
      </c>
      <c r="J19" s="4">
        <v>0</v>
      </c>
      <c r="K19" s="4">
        <v>1</v>
      </c>
      <c r="L19" s="4">
        <v>25</v>
      </c>
      <c r="M19" s="4">
        <v>1</v>
      </c>
      <c r="N19" s="4"/>
      <c r="O19" s="4"/>
      <c r="P19" s="4" t="s">
        <v>661</v>
      </c>
      <c r="Q19" s="4" t="s">
        <v>638</v>
      </c>
      <c r="R19" s="4" t="s">
        <v>604</v>
      </c>
    </row>
    <row r="20" spans="1:18" x14ac:dyDescent="0.3">
      <c r="A20" s="4" t="s">
        <v>172</v>
      </c>
      <c r="B20" s="4" t="s">
        <v>662</v>
      </c>
      <c r="C20" s="4">
        <v>1</v>
      </c>
      <c r="D20" s="4">
        <v>1</v>
      </c>
      <c r="E20" s="4">
        <v>0</v>
      </c>
      <c r="F20" s="4" t="s">
        <v>604</v>
      </c>
      <c r="G20" s="4" t="s">
        <v>663</v>
      </c>
      <c r="H20" s="4">
        <v>1</v>
      </c>
      <c r="I20" s="4" t="s">
        <v>143</v>
      </c>
      <c r="J20" s="4">
        <v>1</v>
      </c>
      <c r="K20" s="4">
        <v>1</v>
      </c>
      <c r="L20" s="4">
        <v>10</v>
      </c>
      <c r="M20" s="4">
        <v>1</v>
      </c>
      <c r="N20" s="4" t="s">
        <v>664</v>
      </c>
      <c r="O20" s="4">
        <v>150</v>
      </c>
      <c r="P20" s="4" t="s">
        <v>665</v>
      </c>
      <c r="Q20" s="4" t="s">
        <v>622</v>
      </c>
      <c r="R20" s="4" t="s">
        <v>604</v>
      </c>
    </row>
    <row r="21" spans="1:18" x14ac:dyDescent="0.3">
      <c r="A21" s="4" t="s">
        <v>172</v>
      </c>
      <c r="B21" s="4" t="s">
        <v>666</v>
      </c>
      <c r="C21" s="4">
        <v>1</v>
      </c>
      <c r="D21" s="4">
        <v>1</v>
      </c>
      <c r="E21" s="4">
        <v>0</v>
      </c>
      <c r="F21" s="4" t="s">
        <v>604</v>
      </c>
      <c r="G21" s="4" t="s">
        <v>667</v>
      </c>
      <c r="H21" s="4">
        <v>2</v>
      </c>
      <c r="I21" s="4" t="s">
        <v>96</v>
      </c>
      <c r="J21" s="4">
        <v>1</v>
      </c>
      <c r="K21" s="4"/>
      <c r="L21" s="4"/>
      <c r="M21" s="4">
        <v>0</v>
      </c>
      <c r="N21" s="4" t="s">
        <v>664</v>
      </c>
      <c r="O21" s="4">
        <v>150</v>
      </c>
      <c r="P21" s="4"/>
      <c r="Q21" s="4" t="s">
        <v>622</v>
      </c>
      <c r="R21" s="4" t="s">
        <v>604</v>
      </c>
    </row>
    <row r="22" spans="1:18" x14ac:dyDescent="0.3">
      <c r="A22" s="4" t="s">
        <v>172</v>
      </c>
      <c r="B22" s="4" t="s">
        <v>668</v>
      </c>
      <c r="C22" s="4">
        <v>1</v>
      </c>
      <c r="D22" s="4">
        <v>1</v>
      </c>
      <c r="E22" s="4">
        <v>0</v>
      </c>
      <c r="F22" s="4" t="s">
        <v>604</v>
      </c>
      <c r="G22" s="4"/>
      <c r="H22" s="4"/>
      <c r="I22" s="4"/>
      <c r="J22" s="4"/>
      <c r="K22" s="4"/>
      <c r="L22" s="4"/>
      <c r="M22" s="4">
        <v>0</v>
      </c>
      <c r="N22" s="4" t="s">
        <v>664</v>
      </c>
      <c r="O22" s="4">
        <v>150</v>
      </c>
      <c r="P22" s="4"/>
      <c r="Q22" s="4"/>
      <c r="R22" s="4" t="s">
        <v>604</v>
      </c>
    </row>
    <row r="23" spans="1:18" x14ac:dyDescent="0.3">
      <c r="A23" s="4" t="s">
        <v>172</v>
      </c>
      <c r="B23" s="4" t="s">
        <v>669</v>
      </c>
      <c r="C23" s="4">
        <v>1</v>
      </c>
      <c r="D23" s="4">
        <v>1</v>
      </c>
      <c r="E23" s="4">
        <v>0</v>
      </c>
      <c r="F23" s="4" t="s">
        <v>604</v>
      </c>
      <c r="G23" s="4"/>
      <c r="H23" s="4"/>
      <c r="I23" s="4"/>
      <c r="J23" s="4"/>
      <c r="K23" s="4"/>
      <c r="L23" s="4"/>
      <c r="M23" s="4">
        <v>0</v>
      </c>
      <c r="N23" s="4" t="s">
        <v>664</v>
      </c>
      <c r="O23" s="4">
        <v>150</v>
      </c>
      <c r="P23" s="4"/>
      <c r="Q23" s="4"/>
      <c r="R23" s="4" t="s">
        <v>604</v>
      </c>
    </row>
    <row r="24" spans="1:18" x14ac:dyDescent="0.3">
      <c r="A24" s="4" t="s">
        <v>172</v>
      </c>
      <c r="B24" s="4" t="s">
        <v>670</v>
      </c>
      <c r="C24" s="4">
        <v>1</v>
      </c>
      <c r="D24" s="4">
        <v>1</v>
      </c>
      <c r="E24" s="4">
        <v>0</v>
      </c>
      <c r="F24" s="4" t="s">
        <v>604</v>
      </c>
      <c r="G24" s="4"/>
      <c r="H24" s="4"/>
      <c r="I24" s="4"/>
      <c r="J24" s="4"/>
      <c r="K24" s="4"/>
      <c r="L24" s="4"/>
      <c r="M24" s="4">
        <v>0</v>
      </c>
      <c r="N24" s="4" t="s">
        <v>664</v>
      </c>
      <c r="O24" s="4">
        <v>150</v>
      </c>
      <c r="P24" s="4"/>
      <c r="Q24" s="4"/>
      <c r="R24" s="4" t="s">
        <v>604</v>
      </c>
    </row>
    <row r="25" spans="1:18" x14ac:dyDescent="0.3">
      <c r="A25" s="4" t="s">
        <v>176</v>
      </c>
      <c r="B25" s="4" t="s">
        <v>671</v>
      </c>
      <c r="C25" s="4">
        <v>1</v>
      </c>
      <c r="D25" s="4">
        <v>0</v>
      </c>
      <c r="E25" s="4">
        <v>1</v>
      </c>
      <c r="F25" s="4" t="s">
        <v>628</v>
      </c>
      <c r="G25" s="4" t="s">
        <v>672</v>
      </c>
      <c r="H25" s="4">
        <v>1</v>
      </c>
      <c r="I25" s="4" t="s">
        <v>143</v>
      </c>
      <c r="J25" s="4">
        <v>0</v>
      </c>
      <c r="K25" s="4">
        <v>0</v>
      </c>
      <c r="L25" s="4">
        <v>13</v>
      </c>
      <c r="M25" s="4">
        <v>1</v>
      </c>
      <c r="N25" s="4" t="s">
        <v>673</v>
      </c>
      <c r="O25" s="4">
        <v>427</v>
      </c>
      <c r="P25" s="4" t="s">
        <v>674</v>
      </c>
      <c r="Q25" s="4" t="s">
        <v>638</v>
      </c>
      <c r="R25" s="4" t="s">
        <v>628</v>
      </c>
    </row>
    <row r="26" spans="1:18" x14ac:dyDescent="0.3">
      <c r="A26" s="4" t="s">
        <v>181</v>
      </c>
      <c r="B26" s="4" t="s">
        <v>675</v>
      </c>
      <c r="C26" s="4">
        <v>1</v>
      </c>
      <c r="D26" s="4">
        <v>1</v>
      </c>
      <c r="E26" s="4">
        <v>0</v>
      </c>
      <c r="F26" s="4" t="s">
        <v>604</v>
      </c>
      <c r="G26" s="4"/>
      <c r="H26" s="4"/>
      <c r="I26" s="4"/>
      <c r="J26" s="4"/>
      <c r="K26" s="4"/>
      <c r="L26" s="4"/>
      <c r="M26" s="4">
        <v>0</v>
      </c>
      <c r="N26" s="4"/>
      <c r="O26" s="4"/>
      <c r="P26" s="4"/>
      <c r="Q26" s="4"/>
      <c r="R26" s="4" t="s">
        <v>604</v>
      </c>
    </row>
    <row r="27" spans="1:18" x14ac:dyDescent="0.3">
      <c r="A27" s="4" t="s">
        <v>185</v>
      </c>
      <c r="B27" s="4" t="s">
        <v>676</v>
      </c>
      <c r="C27" s="4">
        <v>1</v>
      </c>
      <c r="D27" s="4">
        <v>1</v>
      </c>
      <c r="E27" s="4">
        <v>0</v>
      </c>
      <c r="F27" s="4" t="s">
        <v>604</v>
      </c>
      <c r="G27" s="4" t="s">
        <v>677</v>
      </c>
      <c r="H27" s="4"/>
      <c r="I27" s="4"/>
      <c r="J27" s="4">
        <v>0</v>
      </c>
      <c r="K27" s="4">
        <v>1</v>
      </c>
      <c r="L27" s="4">
        <v>20</v>
      </c>
      <c r="M27" s="4">
        <v>0</v>
      </c>
      <c r="N27" s="4"/>
      <c r="O27" s="4"/>
      <c r="P27" s="4" t="s">
        <v>678</v>
      </c>
      <c r="Q27" s="4" t="s">
        <v>638</v>
      </c>
      <c r="R27" s="4" t="s">
        <v>604</v>
      </c>
    </row>
    <row r="28" spans="1:18" x14ac:dyDescent="0.3">
      <c r="A28" s="4" t="s">
        <v>185</v>
      </c>
      <c r="B28" s="4" t="s">
        <v>679</v>
      </c>
      <c r="C28" s="4">
        <v>1</v>
      </c>
      <c r="D28" s="4">
        <v>0</v>
      </c>
      <c r="E28" s="4">
        <v>1</v>
      </c>
      <c r="F28" s="4" t="s">
        <v>628</v>
      </c>
      <c r="G28" s="4" t="s">
        <v>680</v>
      </c>
      <c r="H28" s="4">
        <v>2</v>
      </c>
      <c r="I28" s="4" t="s">
        <v>96</v>
      </c>
      <c r="J28" s="4">
        <v>0</v>
      </c>
      <c r="K28" s="4">
        <v>0</v>
      </c>
      <c r="L28" s="4">
        <v>14</v>
      </c>
      <c r="M28" s="4">
        <v>1</v>
      </c>
      <c r="N28" s="4"/>
      <c r="O28" s="4"/>
      <c r="P28" s="4" t="s">
        <v>681</v>
      </c>
      <c r="Q28" s="4" t="s">
        <v>638</v>
      </c>
      <c r="R28" s="4" t="s">
        <v>628</v>
      </c>
    </row>
    <row r="29" spans="1:18" x14ac:dyDescent="0.3">
      <c r="A29" s="4" t="s">
        <v>189</v>
      </c>
      <c r="B29" s="4" t="s">
        <v>682</v>
      </c>
      <c r="C29" s="4">
        <v>1</v>
      </c>
      <c r="D29" s="4">
        <v>1</v>
      </c>
      <c r="E29" s="4">
        <v>0</v>
      </c>
      <c r="F29" s="4" t="s">
        <v>604</v>
      </c>
      <c r="G29" s="4"/>
      <c r="H29" s="4"/>
      <c r="I29" s="4"/>
      <c r="J29" s="4"/>
      <c r="K29" s="4">
        <v>1</v>
      </c>
      <c r="L29" s="4">
        <v>19</v>
      </c>
      <c r="M29" s="4">
        <v>1</v>
      </c>
      <c r="N29" s="4"/>
      <c r="O29" s="4"/>
      <c r="P29" s="4" t="s">
        <v>683</v>
      </c>
      <c r="Q29" s="4"/>
      <c r="R29" s="4" t="s">
        <v>604</v>
      </c>
    </row>
    <row r="30" spans="1:18" x14ac:dyDescent="0.3">
      <c r="A30" s="4" t="s">
        <v>152</v>
      </c>
      <c r="B30" s="4" t="s">
        <v>684</v>
      </c>
      <c r="C30" s="4">
        <v>1</v>
      </c>
      <c r="D30" s="4">
        <v>1</v>
      </c>
      <c r="E30" s="4">
        <v>0</v>
      </c>
      <c r="F30" s="4" t="s">
        <v>604</v>
      </c>
      <c r="G30" s="4"/>
      <c r="H30" s="4"/>
      <c r="I30" s="4"/>
      <c r="J30" s="4"/>
      <c r="K30" s="4">
        <v>1</v>
      </c>
      <c r="L30" s="4"/>
      <c r="M30" s="4">
        <v>0</v>
      </c>
      <c r="N30" s="4" t="s">
        <v>649</v>
      </c>
      <c r="O30" s="4">
        <v>30.5</v>
      </c>
      <c r="P30" s="4" t="s">
        <v>685</v>
      </c>
      <c r="Q30" s="4"/>
      <c r="R30" s="4" t="s">
        <v>604</v>
      </c>
    </row>
    <row r="31" spans="1:18" x14ac:dyDescent="0.3">
      <c r="A31" s="4" t="s">
        <v>152</v>
      </c>
      <c r="B31" s="4" t="s">
        <v>686</v>
      </c>
      <c r="C31" s="4">
        <v>1</v>
      </c>
      <c r="D31" s="4">
        <v>1</v>
      </c>
      <c r="E31" s="4">
        <v>0</v>
      </c>
      <c r="F31" s="4" t="s">
        <v>604</v>
      </c>
      <c r="G31" s="4"/>
      <c r="H31" s="4"/>
      <c r="I31" s="4"/>
      <c r="J31" s="4"/>
      <c r="K31" s="4"/>
      <c r="L31" s="4"/>
      <c r="M31" s="4">
        <v>0</v>
      </c>
      <c r="N31" s="4" t="s">
        <v>649</v>
      </c>
      <c r="O31" s="4">
        <v>30.5</v>
      </c>
      <c r="P31" s="4" t="s">
        <v>687</v>
      </c>
      <c r="Q31" s="4"/>
      <c r="R31" s="4" t="s">
        <v>604</v>
      </c>
    </row>
    <row r="32" spans="1:18" x14ac:dyDescent="0.3">
      <c r="A32" s="4" t="s">
        <v>193</v>
      </c>
      <c r="B32" s="4" t="s">
        <v>688</v>
      </c>
      <c r="C32" s="4">
        <v>1</v>
      </c>
      <c r="D32" s="4">
        <v>1</v>
      </c>
      <c r="E32" s="4">
        <v>0</v>
      </c>
      <c r="F32" s="4" t="s">
        <v>604</v>
      </c>
      <c r="G32" s="4" t="s">
        <v>689</v>
      </c>
      <c r="H32" s="4">
        <v>1</v>
      </c>
      <c r="I32" s="4" t="s">
        <v>143</v>
      </c>
      <c r="J32" s="4">
        <v>1</v>
      </c>
      <c r="K32" s="4">
        <v>0</v>
      </c>
      <c r="L32" s="4">
        <v>9</v>
      </c>
      <c r="M32" s="4">
        <v>0</v>
      </c>
      <c r="N32" s="4"/>
      <c r="O32" s="4"/>
      <c r="P32" s="4" t="s">
        <v>638</v>
      </c>
      <c r="Q32" s="4" t="s">
        <v>622</v>
      </c>
      <c r="R32" s="4" t="s">
        <v>604</v>
      </c>
    </row>
    <row r="33" spans="1:18" x14ac:dyDescent="0.3">
      <c r="A33" s="4" t="s">
        <v>193</v>
      </c>
      <c r="B33" s="4" t="s">
        <v>690</v>
      </c>
      <c r="C33" s="4">
        <v>1</v>
      </c>
      <c r="D33" s="4">
        <v>0</v>
      </c>
      <c r="E33" s="4">
        <v>1</v>
      </c>
      <c r="F33" s="4" t="s">
        <v>628</v>
      </c>
      <c r="G33" s="4" t="s">
        <v>691</v>
      </c>
      <c r="H33" s="4">
        <v>1</v>
      </c>
      <c r="I33" s="4" t="s">
        <v>143</v>
      </c>
      <c r="J33" s="4">
        <v>1</v>
      </c>
      <c r="K33" s="4"/>
      <c r="L33" s="4"/>
      <c r="M33" s="4">
        <v>0</v>
      </c>
      <c r="N33" s="4"/>
      <c r="O33" s="4"/>
      <c r="P33" s="4"/>
      <c r="Q33" s="4" t="s">
        <v>622</v>
      </c>
      <c r="R33" s="4" t="s">
        <v>628</v>
      </c>
    </row>
    <row r="34" spans="1:18" x14ac:dyDescent="0.3">
      <c r="A34" s="4" t="s">
        <v>193</v>
      </c>
      <c r="B34" s="4" t="s">
        <v>692</v>
      </c>
      <c r="C34" s="4">
        <v>1</v>
      </c>
      <c r="D34" s="4">
        <v>0</v>
      </c>
      <c r="E34" s="4">
        <v>0</v>
      </c>
      <c r="F34" s="4" t="s">
        <v>258</v>
      </c>
      <c r="G34" s="4" t="s">
        <v>693</v>
      </c>
      <c r="H34" s="4">
        <v>1</v>
      </c>
      <c r="I34" s="4" t="s">
        <v>143</v>
      </c>
      <c r="J34" s="4">
        <v>1</v>
      </c>
      <c r="K34" s="4">
        <v>0</v>
      </c>
      <c r="L34" s="4">
        <v>10</v>
      </c>
      <c r="M34" s="4">
        <v>0</v>
      </c>
      <c r="N34" s="4"/>
      <c r="O34" s="4"/>
      <c r="P34" s="4" t="s">
        <v>638</v>
      </c>
      <c r="Q34" s="4" t="s">
        <v>622</v>
      </c>
      <c r="R34" s="4"/>
    </row>
    <row r="35" spans="1:18" x14ac:dyDescent="0.3">
      <c r="A35" s="4" t="s">
        <v>199</v>
      </c>
      <c r="B35" s="4" t="s">
        <v>694</v>
      </c>
      <c r="C35" s="4">
        <v>1</v>
      </c>
      <c r="D35" s="4">
        <v>1</v>
      </c>
      <c r="E35" s="4">
        <v>0</v>
      </c>
      <c r="F35" s="4" t="s">
        <v>604</v>
      </c>
      <c r="G35" s="4" t="s">
        <v>695</v>
      </c>
      <c r="H35" s="4">
        <v>2</v>
      </c>
      <c r="I35" s="4" t="s">
        <v>96</v>
      </c>
      <c r="J35" s="4">
        <v>0</v>
      </c>
      <c r="K35" s="4">
        <v>0</v>
      </c>
      <c r="L35" s="4"/>
      <c r="M35" s="4">
        <v>0</v>
      </c>
      <c r="N35" s="4"/>
      <c r="O35" s="4"/>
      <c r="P35" s="4" t="s">
        <v>638</v>
      </c>
      <c r="Q35" s="4" t="s">
        <v>638</v>
      </c>
      <c r="R35" s="4" t="s">
        <v>604</v>
      </c>
    </row>
    <row r="36" spans="1:18" x14ac:dyDescent="0.3">
      <c r="A36" s="4" t="s">
        <v>203</v>
      </c>
      <c r="B36" s="4" t="s">
        <v>696</v>
      </c>
      <c r="C36" s="4">
        <v>1</v>
      </c>
      <c r="D36" s="4">
        <v>1</v>
      </c>
      <c r="E36" s="4">
        <v>0</v>
      </c>
      <c r="F36" s="4" t="s">
        <v>604</v>
      </c>
      <c r="G36" s="4" t="s">
        <v>697</v>
      </c>
      <c r="H36" s="4">
        <v>2</v>
      </c>
      <c r="I36" s="4" t="s">
        <v>96</v>
      </c>
      <c r="J36" s="4">
        <v>0</v>
      </c>
      <c r="K36" s="4">
        <v>1</v>
      </c>
      <c r="L36" s="4"/>
      <c r="M36" s="4">
        <v>0</v>
      </c>
      <c r="N36" s="4"/>
      <c r="O36" s="4"/>
      <c r="P36" s="4" t="s">
        <v>698</v>
      </c>
      <c r="Q36" s="4" t="s">
        <v>638</v>
      </c>
      <c r="R36" s="4" t="s">
        <v>604</v>
      </c>
    </row>
    <row r="37" spans="1:18" x14ac:dyDescent="0.3">
      <c r="A37" s="4" t="s">
        <v>203</v>
      </c>
      <c r="B37" s="4" t="s">
        <v>699</v>
      </c>
      <c r="C37" s="4">
        <v>1</v>
      </c>
      <c r="D37" s="4">
        <v>1</v>
      </c>
      <c r="E37" s="4">
        <v>0</v>
      </c>
      <c r="F37" s="4" t="s">
        <v>604</v>
      </c>
      <c r="G37" s="4" t="s">
        <v>700</v>
      </c>
      <c r="H37" s="4">
        <v>1</v>
      </c>
      <c r="I37" s="4" t="s">
        <v>143</v>
      </c>
      <c r="J37" s="4">
        <v>1</v>
      </c>
      <c r="K37" s="4">
        <v>1</v>
      </c>
      <c r="L37" s="4">
        <v>4</v>
      </c>
      <c r="M37" s="4">
        <v>0</v>
      </c>
      <c r="N37" s="4"/>
      <c r="O37" s="4"/>
      <c r="P37" s="4" t="s">
        <v>701</v>
      </c>
      <c r="Q37" s="4" t="s">
        <v>622</v>
      </c>
      <c r="R37" s="4" t="s">
        <v>604</v>
      </c>
    </row>
    <row r="38" spans="1:18" x14ac:dyDescent="0.3">
      <c r="A38" s="4" t="s">
        <v>203</v>
      </c>
      <c r="B38" s="4" t="s">
        <v>702</v>
      </c>
      <c r="C38" s="4">
        <v>1</v>
      </c>
      <c r="D38" s="4">
        <v>1</v>
      </c>
      <c r="E38" s="4">
        <v>0</v>
      </c>
      <c r="F38" s="4" t="s">
        <v>604</v>
      </c>
      <c r="G38" s="4"/>
      <c r="H38" s="4"/>
      <c r="I38" s="4"/>
      <c r="J38" s="4"/>
      <c r="K38" s="4">
        <v>1</v>
      </c>
      <c r="L38" s="4"/>
      <c r="M38" s="4">
        <v>0</v>
      </c>
      <c r="N38" s="4"/>
      <c r="O38" s="4"/>
      <c r="P38" s="4" t="s">
        <v>622</v>
      </c>
      <c r="Q38" s="4"/>
      <c r="R38" s="4" t="s">
        <v>604</v>
      </c>
    </row>
    <row r="39" spans="1:18" x14ac:dyDescent="0.3">
      <c r="A39" s="4" t="s">
        <v>208</v>
      </c>
      <c r="B39" s="4" t="s">
        <v>703</v>
      </c>
      <c r="C39" s="4">
        <v>1</v>
      </c>
      <c r="D39" s="4">
        <v>0</v>
      </c>
      <c r="E39" s="4">
        <v>1</v>
      </c>
      <c r="F39" s="4" t="s">
        <v>628</v>
      </c>
      <c r="G39" s="4" t="s">
        <v>704</v>
      </c>
      <c r="H39" s="4">
        <v>2</v>
      </c>
      <c r="I39" s="4" t="s">
        <v>96</v>
      </c>
      <c r="J39" s="4">
        <v>1</v>
      </c>
      <c r="K39" s="4">
        <v>0</v>
      </c>
      <c r="L39" s="4">
        <v>13.5</v>
      </c>
      <c r="M39" s="4">
        <v>0</v>
      </c>
      <c r="N39" s="4"/>
      <c r="O39" s="4"/>
      <c r="P39" s="4" t="s">
        <v>638</v>
      </c>
      <c r="Q39" s="4" t="s">
        <v>622</v>
      </c>
      <c r="R39" s="4" t="s">
        <v>628</v>
      </c>
    </row>
    <row r="40" spans="1:18" x14ac:dyDescent="0.3">
      <c r="A40" s="4" t="s">
        <v>212</v>
      </c>
      <c r="B40" s="4" t="s">
        <v>705</v>
      </c>
      <c r="C40" s="4">
        <v>1</v>
      </c>
      <c r="D40" s="4">
        <v>1</v>
      </c>
      <c r="E40" s="4">
        <v>0</v>
      </c>
      <c r="F40" s="4" t="s">
        <v>604</v>
      </c>
      <c r="G40" s="4" t="s">
        <v>706</v>
      </c>
      <c r="H40" s="4">
        <v>2</v>
      </c>
      <c r="I40" s="4" t="s">
        <v>96</v>
      </c>
      <c r="J40" s="4">
        <v>1</v>
      </c>
      <c r="K40" s="4">
        <v>1</v>
      </c>
      <c r="L40" s="4">
        <v>6</v>
      </c>
      <c r="M40" s="4">
        <v>0</v>
      </c>
      <c r="N40" s="4"/>
      <c r="O40" s="4"/>
      <c r="P40" s="4" t="s">
        <v>707</v>
      </c>
      <c r="Q40" s="4" t="s">
        <v>622</v>
      </c>
      <c r="R40" s="4" t="s">
        <v>604</v>
      </c>
    </row>
    <row r="41" spans="1:18" x14ac:dyDescent="0.3">
      <c r="A41" s="4" t="s">
        <v>216</v>
      </c>
      <c r="B41" s="4" t="s">
        <v>708</v>
      </c>
      <c r="C41" s="4">
        <v>1</v>
      </c>
      <c r="D41" s="4">
        <v>1</v>
      </c>
      <c r="E41" s="4">
        <v>0</v>
      </c>
      <c r="F41" s="4" t="s">
        <v>604</v>
      </c>
      <c r="G41" s="4" t="s">
        <v>709</v>
      </c>
      <c r="H41" s="4">
        <v>1</v>
      </c>
      <c r="I41" s="4" t="s">
        <v>143</v>
      </c>
      <c r="J41" s="4">
        <v>0</v>
      </c>
      <c r="K41" s="4">
        <v>0</v>
      </c>
      <c r="L41" s="4">
        <v>14</v>
      </c>
      <c r="M41" s="4">
        <v>0</v>
      </c>
      <c r="N41" s="4"/>
      <c r="O41" s="4"/>
      <c r="P41" s="4" t="s">
        <v>710</v>
      </c>
      <c r="Q41" s="4" t="s">
        <v>638</v>
      </c>
      <c r="R41" s="4" t="s">
        <v>604</v>
      </c>
    </row>
    <row r="42" spans="1:18" x14ac:dyDescent="0.3">
      <c r="A42" s="4" t="s">
        <v>216</v>
      </c>
      <c r="B42" s="4" t="s">
        <v>711</v>
      </c>
      <c r="C42" s="4">
        <v>1</v>
      </c>
      <c r="D42" s="4">
        <v>1</v>
      </c>
      <c r="E42" s="4">
        <v>0</v>
      </c>
      <c r="F42" s="4" t="s">
        <v>604</v>
      </c>
      <c r="G42" s="4"/>
      <c r="H42" s="4"/>
      <c r="I42" s="4"/>
      <c r="J42" s="4"/>
      <c r="K42" s="4"/>
      <c r="L42" s="4"/>
      <c r="M42" s="4">
        <v>0</v>
      </c>
      <c r="N42" s="4"/>
      <c r="O42" s="4"/>
      <c r="P42" s="4"/>
      <c r="Q42" s="4"/>
      <c r="R42" s="4" t="s">
        <v>604</v>
      </c>
    </row>
    <row r="43" spans="1:18" x14ac:dyDescent="0.3">
      <c r="A43" s="4" t="s">
        <v>224</v>
      </c>
      <c r="B43" s="4" t="s">
        <v>712</v>
      </c>
      <c r="C43" s="4">
        <v>1</v>
      </c>
      <c r="D43" s="4">
        <v>1</v>
      </c>
      <c r="E43" s="4">
        <v>0</v>
      </c>
      <c r="F43" s="4" t="s">
        <v>604</v>
      </c>
      <c r="G43" s="4" t="s">
        <v>713</v>
      </c>
      <c r="H43" s="4">
        <v>1</v>
      </c>
      <c r="I43" s="4" t="s">
        <v>143</v>
      </c>
      <c r="J43" s="4">
        <v>0</v>
      </c>
      <c r="K43" s="4">
        <v>0</v>
      </c>
      <c r="L43" s="4">
        <v>2</v>
      </c>
      <c r="M43" s="4">
        <v>0</v>
      </c>
      <c r="N43" s="4"/>
      <c r="O43" s="4"/>
      <c r="P43" s="4" t="s">
        <v>638</v>
      </c>
      <c r="Q43" s="4" t="s">
        <v>638</v>
      </c>
      <c r="R43" s="4" t="s">
        <v>604</v>
      </c>
    </row>
    <row r="44" spans="1:18" x14ac:dyDescent="0.3">
      <c r="A44" s="4" t="s">
        <v>224</v>
      </c>
      <c r="B44" s="4" t="s">
        <v>714</v>
      </c>
      <c r="C44" s="4">
        <v>1</v>
      </c>
      <c r="D44" s="4">
        <v>1</v>
      </c>
      <c r="E44" s="4">
        <v>0</v>
      </c>
      <c r="F44" s="4" t="s">
        <v>604</v>
      </c>
      <c r="G44" s="4" t="s">
        <v>715</v>
      </c>
      <c r="H44" s="4">
        <v>1</v>
      </c>
      <c r="I44" s="4" t="s">
        <v>143</v>
      </c>
      <c r="J44" s="4">
        <v>0</v>
      </c>
      <c r="K44" s="4">
        <v>1</v>
      </c>
      <c r="L44" s="4"/>
      <c r="M44" s="4">
        <v>0</v>
      </c>
      <c r="N44" s="4"/>
      <c r="O44" s="4"/>
      <c r="P44" s="4" t="s">
        <v>716</v>
      </c>
      <c r="Q44" s="4" t="s">
        <v>638</v>
      </c>
      <c r="R44" s="4" t="s">
        <v>604</v>
      </c>
    </row>
    <row r="45" spans="1:18" x14ac:dyDescent="0.3">
      <c r="A45" s="4" t="s">
        <v>224</v>
      </c>
      <c r="B45" s="4" t="s">
        <v>717</v>
      </c>
      <c r="C45" s="4">
        <v>1</v>
      </c>
      <c r="D45" s="4">
        <v>1</v>
      </c>
      <c r="E45" s="4">
        <v>0</v>
      </c>
      <c r="F45" s="4" t="s">
        <v>604</v>
      </c>
      <c r="G45" s="4" t="s">
        <v>718</v>
      </c>
      <c r="H45" s="4">
        <v>1</v>
      </c>
      <c r="I45" s="4" t="s">
        <v>143</v>
      </c>
      <c r="J45" s="4">
        <v>1</v>
      </c>
      <c r="K45" s="4">
        <v>1</v>
      </c>
      <c r="L45" s="4"/>
      <c r="M45" s="4">
        <v>0</v>
      </c>
      <c r="N45" s="4"/>
      <c r="O45" s="4"/>
      <c r="P45" s="4" t="s">
        <v>719</v>
      </c>
      <c r="Q45" s="4" t="s">
        <v>622</v>
      </c>
      <c r="R45" s="4" t="s">
        <v>604</v>
      </c>
    </row>
    <row r="46" spans="1:18" x14ac:dyDescent="0.3">
      <c r="A46" s="4" t="s">
        <v>229</v>
      </c>
      <c r="B46" s="4" t="s">
        <v>720</v>
      </c>
      <c r="C46" s="4">
        <v>1</v>
      </c>
      <c r="D46" s="4">
        <v>1</v>
      </c>
      <c r="E46" s="4">
        <v>0</v>
      </c>
      <c r="F46" s="4" t="s">
        <v>604</v>
      </c>
      <c r="G46" s="4"/>
      <c r="H46" s="4"/>
      <c r="I46" s="4"/>
      <c r="J46" s="4"/>
      <c r="K46" s="4"/>
      <c r="L46" s="4"/>
      <c r="M46" s="4">
        <v>0</v>
      </c>
      <c r="N46" s="4"/>
      <c r="O46" s="4"/>
      <c r="P46" s="4"/>
      <c r="Q46" s="4"/>
      <c r="R46" s="4" t="s">
        <v>604</v>
      </c>
    </row>
    <row r="47" spans="1:18" x14ac:dyDescent="0.3">
      <c r="A47" s="4" t="s">
        <v>229</v>
      </c>
      <c r="B47" s="4" t="s">
        <v>721</v>
      </c>
      <c r="C47" s="4">
        <v>1</v>
      </c>
      <c r="D47" s="4">
        <v>1</v>
      </c>
      <c r="E47" s="4">
        <v>0</v>
      </c>
      <c r="F47" s="4" t="s">
        <v>604</v>
      </c>
      <c r="G47" s="4"/>
      <c r="H47" s="4"/>
      <c r="I47" s="4"/>
      <c r="J47" s="4"/>
      <c r="K47" s="4"/>
      <c r="L47" s="4"/>
      <c r="M47" s="4">
        <v>0</v>
      </c>
      <c r="N47" s="4"/>
      <c r="O47" s="4"/>
      <c r="P47" s="4"/>
      <c r="Q47" s="4"/>
      <c r="R47" s="4" t="s">
        <v>604</v>
      </c>
    </row>
    <row r="48" spans="1:18" x14ac:dyDescent="0.3">
      <c r="A48" s="4" t="s">
        <v>229</v>
      </c>
      <c r="B48" s="4" t="s">
        <v>722</v>
      </c>
      <c r="C48" s="4">
        <v>1</v>
      </c>
      <c r="D48" s="4">
        <v>1</v>
      </c>
      <c r="E48" s="4">
        <v>0</v>
      </c>
      <c r="F48" s="4" t="s">
        <v>604</v>
      </c>
      <c r="G48" s="4"/>
      <c r="H48" s="4"/>
      <c r="I48" s="4"/>
      <c r="J48" s="4"/>
      <c r="K48" s="4"/>
      <c r="L48" s="4"/>
      <c r="M48" s="4">
        <v>0</v>
      </c>
      <c r="N48" s="4"/>
      <c r="O48" s="4"/>
      <c r="P48" s="4"/>
      <c r="Q48" s="4"/>
      <c r="R48" s="4" t="s">
        <v>604</v>
      </c>
    </row>
    <row r="49" spans="1:18" x14ac:dyDescent="0.3">
      <c r="A49" s="4" t="s">
        <v>229</v>
      </c>
      <c r="B49" s="4" t="s">
        <v>723</v>
      </c>
      <c r="C49" s="4">
        <v>1</v>
      </c>
      <c r="D49" s="4">
        <v>1</v>
      </c>
      <c r="E49" s="4">
        <v>0</v>
      </c>
      <c r="F49" s="4" t="s">
        <v>604</v>
      </c>
      <c r="G49" s="4"/>
      <c r="H49" s="4"/>
      <c r="I49" s="4"/>
      <c r="J49" s="4"/>
      <c r="K49" s="4"/>
      <c r="L49" s="4"/>
      <c r="M49" s="4">
        <v>0</v>
      </c>
      <c r="N49" s="4"/>
      <c r="O49" s="4"/>
      <c r="P49" s="4"/>
      <c r="Q49" s="4"/>
      <c r="R49" s="4" t="s">
        <v>604</v>
      </c>
    </row>
    <row r="50" spans="1:18" x14ac:dyDescent="0.3">
      <c r="A50" s="4" t="s">
        <v>233</v>
      </c>
      <c r="B50" s="4" t="s">
        <v>724</v>
      </c>
      <c r="C50" s="4">
        <v>1</v>
      </c>
      <c r="D50" s="4">
        <v>1</v>
      </c>
      <c r="E50" s="4">
        <v>0</v>
      </c>
      <c r="F50" s="4" t="s">
        <v>604</v>
      </c>
      <c r="G50" s="4"/>
      <c r="H50" s="4"/>
      <c r="I50" s="4"/>
      <c r="J50" s="4"/>
      <c r="K50" s="4"/>
      <c r="L50" s="4"/>
      <c r="M50" s="4">
        <v>0</v>
      </c>
      <c r="N50" s="4"/>
      <c r="O50" s="4"/>
      <c r="P50" s="4"/>
      <c r="Q50" s="4"/>
      <c r="R50" s="4" t="s">
        <v>604</v>
      </c>
    </row>
    <row r="51" spans="1:18" x14ac:dyDescent="0.3">
      <c r="A51" s="4" t="s">
        <v>233</v>
      </c>
      <c r="B51" s="4" t="s">
        <v>725</v>
      </c>
      <c r="C51" s="4">
        <v>1</v>
      </c>
      <c r="D51" s="4">
        <v>1</v>
      </c>
      <c r="E51" s="4">
        <v>0</v>
      </c>
      <c r="F51" s="4" t="s">
        <v>604</v>
      </c>
      <c r="G51" s="4"/>
      <c r="H51" s="4"/>
      <c r="I51" s="4"/>
      <c r="J51" s="4"/>
      <c r="K51" s="4"/>
      <c r="L51" s="4"/>
      <c r="M51" s="4">
        <v>0</v>
      </c>
      <c r="N51" s="4"/>
      <c r="O51" s="4"/>
      <c r="P51" s="4"/>
      <c r="Q51" s="4"/>
      <c r="R51" s="4" t="s">
        <v>604</v>
      </c>
    </row>
    <row r="52" spans="1:18" x14ac:dyDescent="0.3">
      <c r="A52" s="4" t="s">
        <v>237</v>
      </c>
      <c r="B52" s="4" t="s">
        <v>726</v>
      </c>
      <c r="C52" s="4">
        <v>1</v>
      </c>
      <c r="D52" s="4">
        <v>1</v>
      </c>
      <c r="E52" s="4">
        <v>0</v>
      </c>
      <c r="F52" s="4" t="s">
        <v>604</v>
      </c>
      <c r="G52" s="4"/>
      <c r="H52" s="4"/>
      <c r="I52" s="4"/>
      <c r="J52" s="4"/>
      <c r="K52" s="4"/>
      <c r="L52" s="4"/>
      <c r="M52" s="4">
        <v>0</v>
      </c>
      <c r="N52" s="4"/>
      <c r="O52" s="4"/>
      <c r="P52" s="4"/>
      <c r="Q52" s="4"/>
      <c r="R52" s="4" t="s">
        <v>604</v>
      </c>
    </row>
    <row r="53" spans="1:18" x14ac:dyDescent="0.3">
      <c r="A53" s="4" t="s">
        <v>237</v>
      </c>
      <c r="B53" s="4" t="s">
        <v>727</v>
      </c>
      <c r="C53" s="4">
        <v>1</v>
      </c>
      <c r="D53" s="4">
        <v>1</v>
      </c>
      <c r="E53" s="4">
        <v>0</v>
      </c>
      <c r="F53" s="4" t="s">
        <v>604</v>
      </c>
      <c r="G53" s="4"/>
      <c r="H53" s="4"/>
      <c r="I53" s="4"/>
      <c r="J53" s="4"/>
      <c r="K53" s="4"/>
      <c r="L53" s="4"/>
      <c r="M53" s="4">
        <v>0</v>
      </c>
      <c r="N53" s="4"/>
      <c r="O53" s="4"/>
      <c r="P53" s="4"/>
      <c r="Q53" s="4"/>
      <c r="R53" s="4" t="s">
        <v>604</v>
      </c>
    </row>
    <row r="54" spans="1:18" x14ac:dyDescent="0.3">
      <c r="A54" s="4" t="s">
        <v>237</v>
      </c>
      <c r="B54" s="4" t="s">
        <v>728</v>
      </c>
      <c r="C54" s="4">
        <v>1</v>
      </c>
      <c r="D54" s="4">
        <v>1</v>
      </c>
      <c r="E54" s="4">
        <v>0</v>
      </c>
      <c r="F54" s="4" t="s">
        <v>604</v>
      </c>
      <c r="G54" s="4"/>
      <c r="H54" s="4"/>
      <c r="I54" s="4"/>
      <c r="J54" s="4"/>
      <c r="K54" s="4"/>
      <c r="L54" s="4"/>
      <c r="M54" s="4">
        <v>0</v>
      </c>
      <c r="N54" s="4"/>
      <c r="O54" s="4"/>
      <c r="P54" s="4"/>
      <c r="Q54" s="4"/>
      <c r="R54" s="4" t="s">
        <v>604</v>
      </c>
    </row>
    <row r="55" spans="1:18" x14ac:dyDescent="0.3">
      <c r="A55" s="4" t="s">
        <v>243</v>
      </c>
      <c r="B55" s="4" t="s">
        <v>729</v>
      </c>
      <c r="C55" s="4">
        <v>1</v>
      </c>
      <c r="D55" s="4">
        <v>0</v>
      </c>
      <c r="E55" s="4">
        <v>1</v>
      </c>
      <c r="F55" s="4" t="s">
        <v>628</v>
      </c>
      <c r="G55" s="4"/>
      <c r="H55" s="4"/>
      <c r="I55" s="4"/>
      <c r="J55" s="4"/>
      <c r="K55" s="4"/>
      <c r="L55" s="4"/>
      <c r="M55" s="4">
        <v>0</v>
      </c>
      <c r="N55" s="4"/>
      <c r="O55" s="4"/>
      <c r="P55" s="4"/>
      <c r="Q55" s="4"/>
      <c r="R55" s="4" t="s">
        <v>628</v>
      </c>
    </row>
    <row r="56" spans="1:18" x14ac:dyDescent="0.3">
      <c r="A56" s="4" t="s">
        <v>243</v>
      </c>
      <c r="B56" s="4" t="s">
        <v>730</v>
      </c>
      <c r="C56" s="4">
        <v>1</v>
      </c>
      <c r="D56" s="4">
        <v>1</v>
      </c>
      <c r="E56" s="4">
        <v>0</v>
      </c>
      <c r="F56" s="4" t="s">
        <v>604</v>
      </c>
      <c r="G56" s="4"/>
      <c r="H56" s="4"/>
      <c r="I56" s="4"/>
      <c r="J56" s="4"/>
      <c r="K56" s="4"/>
      <c r="L56" s="4"/>
      <c r="M56" s="4">
        <v>0</v>
      </c>
      <c r="N56" s="4"/>
      <c r="O56" s="4"/>
      <c r="P56" s="4"/>
      <c r="Q56" s="4"/>
      <c r="R56" s="4" t="s">
        <v>604</v>
      </c>
    </row>
    <row r="57" spans="1:18" x14ac:dyDescent="0.3">
      <c r="A57" s="4" t="s">
        <v>246</v>
      </c>
      <c r="B57" s="4" t="s">
        <v>731</v>
      </c>
      <c r="C57" s="4">
        <v>1</v>
      </c>
      <c r="D57" s="4">
        <v>1</v>
      </c>
      <c r="E57" s="4">
        <v>0</v>
      </c>
      <c r="F57" s="4" t="s">
        <v>604</v>
      </c>
      <c r="G57" s="4" t="s">
        <v>732</v>
      </c>
      <c r="H57" s="4">
        <v>1</v>
      </c>
      <c r="I57" s="4" t="s">
        <v>143</v>
      </c>
      <c r="J57" s="4">
        <v>1</v>
      </c>
      <c r="K57" s="4">
        <v>1</v>
      </c>
      <c r="L57" s="4">
        <v>9</v>
      </c>
      <c r="M57" s="4">
        <v>0</v>
      </c>
      <c r="N57" s="4"/>
      <c r="O57" s="4"/>
      <c r="P57" s="4" t="s">
        <v>733</v>
      </c>
      <c r="Q57" s="4" t="s">
        <v>622</v>
      </c>
      <c r="R57" s="4" t="s">
        <v>604</v>
      </c>
    </row>
    <row r="58" spans="1:18" x14ac:dyDescent="0.3">
      <c r="A58" s="4" t="s">
        <v>250</v>
      </c>
      <c r="B58" s="4" t="s">
        <v>734</v>
      </c>
      <c r="C58" s="4">
        <v>1</v>
      </c>
      <c r="D58" s="4">
        <v>0</v>
      </c>
      <c r="E58" s="4">
        <v>1</v>
      </c>
      <c r="F58" s="4" t="s">
        <v>628</v>
      </c>
      <c r="G58" s="4" t="s">
        <v>735</v>
      </c>
      <c r="H58" s="4">
        <v>1</v>
      </c>
      <c r="I58" s="4" t="s">
        <v>143</v>
      </c>
      <c r="J58" s="4">
        <v>0</v>
      </c>
      <c r="K58" s="4">
        <v>0</v>
      </c>
      <c r="L58" s="4">
        <v>10</v>
      </c>
      <c r="M58" s="4">
        <v>0</v>
      </c>
      <c r="N58" s="4"/>
      <c r="O58" s="4"/>
      <c r="P58" s="4" t="s">
        <v>638</v>
      </c>
      <c r="Q58" s="4" t="s">
        <v>638</v>
      </c>
      <c r="R58" s="4" t="s">
        <v>628</v>
      </c>
    </row>
    <row r="59" spans="1:18" x14ac:dyDescent="0.3">
      <c r="A59" s="4" t="s">
        <v>250</v>
      </c>
      <c r="B59" s="4" t="s">
        <v>736</v>
      </c>
      <c r="C59" s="4">
        <v>1</v>
      </c>
      <c r="D59" s="4">
        <v>1</v>
      </c>
      <c r="E59" s="4">
        <v>0</v>
      </c>
      <c r="F59" s="4" t="s">
        <v>604</v>
      </c>
      <c r="G59" s="4" t="s">
        <v>737</v>
      </c>
      <c r="H59" s="4"/>
      <c r="I59" s="4"/>
      <c r="J59" s="4"/>
      <c r="K59" s="4">
        <v>0</v>
      </c>
      <c r="L59" s="4">
        <v>10</v>
      </c>
      <c r="M59" s="4">
        <v>0</v>
      </c>
      <c r="N59" s="4"/>
      <c r="O59" s="4"/>
      <c r="P59" s="4" t="s">
        <v>638</v>
      </c>
      <c r="Q59" s="4"/>
      <c r="R59" s="4" t="s">
        <v>604</v>
      </c>
    </row>
    <row r="60" spans="1:18" x14ac:dyDescent="0.3">
      <c r="A60" s="4" t="s">
        <v>252</v>
      </c>
      <c r="B60" s="4" t="s">
        <v>738</v>
      </c>
      <c r="C60" s="4">
        <v>1</v>
      </c>
      <c r="D60" s="4">
        <v>1</v>
      </c>
      <c r="E60" s="4">
        <v>0</v>
      </c>
      <c r="F60" s="4" t="s">
        <v>604</v>
      </c>
      <c r="G60" s="4"/>
      <c r="H60" s="4"/>
      <c r="I60" s="4"/>
      <c r="J60" s="4"/>
      <c r="K60" s="4"/>
      <c r="L60" s="4"/>
      <c r="M60" s="4">
        <v>0</v>
      </c>
      <c r="N60" s="4"/>
      <c r="O60" s="4"/>
      <c r="P60" s="4"/>
      <c r="Q60" s="4"/>
      <c r="R60" s="4" t="s">
        <v>604</v>
      </c>
    </row>
    <row r="61" spans="1:18" x14ac:dyDescent="0.3">
      <c r="A61" s="4" t="s">
        <v>261</v>
      </c>
      <c r="B61" s="4" t="s">
        <v>739</v>
      </c>
      <c r="C61" s="4">
        <v>1</v>
      </c>
      <c r="D61" s="4">
        <v>1</v>
      </c>
      <c r="E61" s="4">
        <v>0</v>
      </c>
      <c r="F61" s="4" t="s">
        <v>604</v>
      </c>
      <c r="G61" s="4" t="s">
        <v>740</v>
      </c>
      <c r="H61" s="4">
        <v>1</v>
      </c>
      <c r="I61" s="4" t="s">
        <v>143</v>
      </c>
      <c r="J61" s="4">
        <v>0</v>
      </c>
      <c r="K61" s="4">
        <v>0</v>
      </c>
      <c r="L61" s="4">
        <v>0</v>
      </c>
      <c r="M61" s="4">
        <v>0</v>
      </c>
      <c r="N61" s="4"/>
      <c r="O61" s="4"/>
      <c r="P61" s="4" t="s">
        <v>741</v>
      </c>
      <c r="Q61" s="4" t="s">
        <v>638</v>
      </c>
      <c r="R61" s="4" t="s">
        <v>604</v>
      </c>
    </row>
    <row r="62" spans="1:18" x14ac:dyDescent="0.3">
      <c r="A62" s="4" t="s">
        <v>266</v>
      </c>
      <c r="B62" s="4" t="s">
        <v>742</v>
      </c>
      <c r="C62" s="4">
        <v>1</v>
      </c>
      <c r="D62" s="4">
        <v>1</v>
      </c>
      <c r="E62" s="4">
        <v>0</v>
      </c>
      <c r="F62" s="4" t="s">
        <v>604</v>
      </c>
      <c r="G62" s="4" t="s">
        <v>743</v>
      </c>
      <c r="H62" s="4">
        <v>1</v>
      </c>
      <c r="I62" s="4" t="s">
        <v>143</v>
      </c>
      <c r="J62" s="4">
        <v>0</v>
      </c>
      <c r="K62" s="4">
        <v>0</v>
      </c>
      <c r="L62" s="4">
        <v>9</v>
      </c>
      <c r="M62" s="4">
        <v>0</v>
      </c>
      <c r="N62" s="4"/>
      <c r="O62" s="4"/>
      <c r="P62" s="4" t="s">
        <v>638</v>
      </c>
      <c r="Q62" s="4" t="s">
        <v>638</v>
      </c>
      <c r="R62" s="4" t="s">
        <v>604</v>
      </c>
    </row>
    <row r="63" spans="1:18" x14ac:dyDescent="0.3">
      <c r="A63" s="4" t="s">
        <v>266</v>
      </c>
      <c r="B63" s="4" t="s">
        <v>744</v>
      </c>
      <c r="C63" s="4">
        <v>1</v>
      </c>
      <c r="D63" s="4">
        <v>1</v>
      </c>
      <c r="E63" s="4">
        <v>0</v>
      </c>
      <c r="F63" s="4" t="s">
        <v>604</v>
      </c>
      <c r="G63" s="4" t="s">
        <v>745</v>
      </c>
      <c r="H63" s="4"/>
      <c r="I63" s="4"/>
      <c r="J63" s="4">
        <v>0</v>
      </c>
      <c r="K63" s="4"/>
      <c r="L63" s="4">
        <v>10</v>
      </c>
      <c r="M63" s="4">
        <v>0</v>
      </c>
      <c r="N63" s="4"/>
      <c r="O63" s="4"/>
      <c r="P63" s="4"/>
      <c r="Q63" s="4" t="s">
        <v>638</v>
      </c>
      <c r="R63" s="4" t="s">
        <v>604</v>
      </c>
    </row>
    <row r="64" spans="1:18" x14ac:dyDescent="0.3">
      <c r="A64" s="4" t="s">
        <v>268</v>
      </c>
      <c r="B64" s="4" t="s">
        <v>746</v>
      </c>
      <c r="C64" s="4">
        <v>1</v>
      </c>
      <c r="D64" s="4">
        <v>1</v>
      </c>
      <c r="E64" s="4">
        <v>0</v>
      </c>
      <c r="F64" s="4" t="s">
        <v>604</v>
      </c>
      <c r="G64" s="4"/>
      <c r="H64" s="4"/>
      <c r="I64" s="4"/>
      <c r="J64" s="4"/>
      <c r="K64" s="4"/>
      <c r="L64" s="4"/>
      <c r="M64" s="4">
        <v>0</v>
      </c>
      <c r="N64" s="4"/>
      <c r="O64" s="4"/>
      <c r="P64" s="4"/>
      <c r="Q64" s="4"/>
      <c r="R64" s="4" t="s">
        <v>604</v>
      </c>
    </row>
    <row r="65" spans="1:18" x14ac:dyDescent="0.3">
      <c r="A65" s="4" t="s">
        <v>268</v>
      </c>
      <c r="B65" s="4" t="s">
        <v>747</v>
      </c>
      <c r="C65" s="4">
        <v>1</v>
      </c>
      <c r="D65" s="4">
        <v>1</v>
      </c>
      <c r="E65" s="4">
        <v>0</v>
      </c>
      <c r="F65" s="4" t="s">
        <v>604</v>
      </c>
      <c r="G65" s="4"/>
      <c r="H65" s="4"/>
      <c r="I65" s="4"/>
      <c r="J65" s="4"/>
      <c r="K65" s="4"/>
      <c r="L65" s="4"/>
      <c r="M65" s="4">
        <v>0</v>
      </c>
      <c r="N65" s="4"/>
      <c r="O65" s="4"/>
      <c r="P65" s="4"/>
      <c r="Q65" s="4"/>
      <c r="R65" s="4" t="s">
        <v>604</v>
      </c>
    </row>
    <row r="66" spans="1:18" x14ac:dyDescent="0.3">
      <c r="A66" s="4" t="s">
        <v>271</v>
      </c>
      <c r="B66" s="4" t="s">
        <v>748</v>
      </c>
      <c r="C66" s="4">
        <v>1</v>
      </c>
      <c r="D66" s="4">
        <v>1</v>
      </c>
      <c r="E66" s="4">
        <v>0</v>
      </c>
      <c r="F66" s="4" t="s">
        <v>604</v>
      </c>
      <c r="G66" s="4"/>
      <c r="H66" s="4"/>
      <c r="I66" s="4"/>
      <c r="J66" s="4"/>
      <c r="K66" s="4"/>
      <c r="L66" s="4"/>
      <c r="M66" s="4">
        <v>0</v>
      </c>
      <c r="N66" s="4"/>
      <c r="O66" s="4"/>
      <c r="P66" s="4"/>
      <c r="Q66" s="4"/>
      <c r="R66" s="4" t="s">
        <v>604</v>
      </c>
    </row>
    <row r="67" spans="1:18" x14ac:dyDescent="0.3">
      <c r="A67" s="4" t="s">
        <v>275</v>
      </c>
      <c r="B67" s="4" t="s">
        <v>749</v>
      </c>
      <c r="C67" s="4">
        <v>1</v>
      </c>
      <c r="D67" s="4">
        <v>1</v>
      </c>
      <c r="E67" s="4">
        <v>0</v>
      </c>
      <c r="F67" s="4" t="s">
        <v>604</v>
      </c>
      <c r="G67" s="4"/>
      <c r="H67" s="4"/>
      <c r="I67" s="4"/>
      <c r="J67" s="4"/>
      <c r="K67" s="4"/>
      <c r="L67" s="4"/>
      <c r="M67" s="4">
        <v>0</v>
      </c>
      <c r="N67" s="4"/>
      <c r="O67" s="4"/>
      <c r="P67" s="4"/>
      <c r="Q67" s="4"/>
      <c r="R67" s="4" t="s">
        <v>604</v>
      </c>
    </row>
    <row r="68" spans="1:18" x14ac:dyDescent="0.3">
      <c r="A68" s="4" t="s">
        <v>199</v>
      </c>
      <c r="B68" s="4" t="s">
        <v>750</v>
      </c>
      <c r="C68" s="4">
        <v>1</v>
      </c>
      <c r="D68" s="4">
        <v>1</v>
      </c>
      <c r="E68" s="4">
        <v>0</v>
      </c>
      <c r="F68" s="4" t="s">
        <v>604</v>
      </c>
      <c r="G68" s="4" t="s">
        <v>751</v>
      </c>
      <c r="H68" s="4"/>
      <c r="I68" s="4"/>
      <c r="J68" s="4"/>
      <c r="K68" s="4"/>
      <c r="L68" s="4"/>
      <c r="M68" s="4">
        <v>0</v>
      </c>
      <c r="N68" s="4"/>
      <c r="O68" s="4"/>
      <c r="P68" s="4"/>
      <c r="Q68" s="4"/>
      <c r="R68" s="4" t="s">
        <v>604</v>
      </c>
    </row>
    <row r="69" spans="1:18" x14ac:dyDescent="0.3">
      <c r="A69" s="4" t="s">
        <v>199</v>
      </c>
      <c r="B69" s="4" t="s">
        <v>752</v>
      </c>
      <c r="C69" s="4">
        <v>1</v>
      </c>
      <c r="D69" s="4">
        <v>1</v>
      </c>
      <c r="E69" s="4">
        <v>0</v>
      </c>
      <c r="F69" s="4" t="s">
        <v>604</v>
      </c>
      <c r="G69" s="4" t="s">
        <v>751</v>
      </c>
      <c r="H69" s="4"/>
      <c r="I69" s="4"/>
      <c r="J69" s="4"/>
      <c r="K69" s="4"/>
      <c r="L69" s="4"/>
      <c r="M69" s="4">
        <v>0</v>
      </c>
      <c r="N69" s="4"/>
      <c r="O69" s="4"/>
      <c r="P69" s="4"/>
      <c r="Q69" s="4"/>
      <c r="R69" s="4" t="s">
        <v>604</v>
      </c>
    </row>
    <row r="70" spans="1:18" x14ac:dyDescent="0.3">
      <c r="A70" s="4" t="s">
        <v>280</v>
      </c>
      <c r="B70" s="4" t="s">
        <v>753</v>
      </c>
      <c r="C70" s="4">
        <v>1</v>
      </c>
      <c r="D70" s="4">
        <v>1</v>
      </c>
      <c r="E70" s="4">
        <v>0</v>
      </c>
      <c r="F70" s="4" t="s">
        <v>604</v>
      </c>
      <c r="G70" s="4"/>
      <c r="H70" s="4"/>
      <c r="I70" s="4"/>
      <c r="J70" s="4"/>
      <c r="K70" s="4"/>
      <c r="L70" s="4"/>
      <c r="M70" s="4">
        <v>0</v>
      </c>
      <c r="N70" s="4"/>
      <c r="O70" s="4"/>
      <c r="P70" s="4"/>
      <c r="Q70" s="4"/>
      <c r="R70" s="4" t="s">
        <v>604</v>
      </c>
    </row>
    <row r="71" spans="1:18" x14ac:dyDescent="0.3">
      <c r="A71" s="4" t="s">
        <v>280</v>
      </c>
      <c r="B71" s="4" t="s">
        <v>754</v>
      </c>
      <c r="C71" s="4">
        <v>1</v>
      </c>
      <c r="D71" s="4">
        <v>1</v>
      </c>
      <c r="E71" s="4">
        <v>0</v>
      </c>
      <c r="F71" s="4" t="s">
        <v>604</v>
      </c>
      <c r="G71" s="4"/>
      <c r="H71" s="4"/>
      <c r="I71" s="4"/>
      <c r="J71" s="4"/>
      <c r="K71" s="4"/>
      <c r="L71" s="4"/>
      <c r="M71" s="4">
        <v>0</v>
      </c>
      <c r="N71" s="4"/>
      <c r="O71" s="4"/>
      <c r="P71" s="4"/>
      <c r="Q71" s="4"/>
      <c r="R71" s="4" t="s">
        <v>604</v>
      </c>
    </row>
    <row r="72" spans="1:18" x14ac:dyDescent="0.3">
      <c r="A72" s="4" t="s">
        <v>280</v>
      </c>
      <c r="B72" s="4" t="s">
        <v>755</v>
      </c>
      <c r="C72" s="4">
        <v>1</v>
      </c>
      <c r="D72" s="4">
        <v>1</v>
      </c>
      <c r="E72" s="4">
        <v>0</v>
      </c>
      <c r="F72" s="4" t="s">
        <v>604</v>
      </c>
      <c r="G72" s="4"/>
      <c r="H72" s="4"/>
      <c r="I72" s="4"/>
      <c r="J72" s="4"/>
      <c r="K72" s="4"/>
      <c r="L72" s="4"/>
      <c r="M72" s="4">
        <v>0</v>
      </c>
      <c r="N72" s="4"/>
      <c r="O72" s="4"/>
      <c r="P72" s="4"/>
      <c r="Q72" s="4"/>
      <c r="R72" s="4" t="s">
        <v>604</v>
      </c>
    </row>
    <row r="73" spans="1:18" x14ac:dyDescent="0.3">
      <c r="A73" s="4" t="s">
        <v>285</v>
      </c>
      <c r="B73" s="4" t="s">
        <v>756</v>
      </c>
      <c r="C73" s="4">
        <v>1</v>
      </c>
      <c r="D73" s="4">
        <v>1</v>
      </c>
      <c r="E73" s="4">
        <v>0</v>
      </c>
      <c r="F73" s="4" t="s">
        <v>604</v>
      </c>
      <c r="G73" s="4"/>
      <c r="H73" s="4"/>
      <c r="I73" s="4"/>
      <c r="J73" s="4"/>
      <c r="K73" s="4"/>
      <c r="L73" s="4"/>
      <c r="M73" s="4">
        <v>0</v>
      </c>
      <c r="N73" s="4"/>
      <c r="O73" s="4"/>
      <c r="P73" s="4"/>
      <c r="Q73" s="4"/>
      <c r="R73" s="4" t="s">
        <v>604</v>
      </c>
    </row>
    <row r="74" spans="1:18" x14ac:dyDescent="0.3">
      <c r="A74" s="4" t="s">
        <v>285</v>
      </c>
      <c r="B74" s="4" t="s">
        <v>757</v>
      </c>
      <c r="C74" s="4">
        <v>1</v>
      </c>
      <c r="D74" s="4">
        <v>0</v>
      </c>
      <c r="E74" s="4">
        <v>1</v>
      </c>
      <c r="F74" s="4" t="s">
        <v>628</v>
      </c>
      <c r="G74" s="4"/>
      <c r="H74" s="4"/>
      <c r="I74" s="4"/>
      <c r="J74" s="4"/>
      <c r="K74" s="4"/>
      <c r="L74" s="4"/>
      <c r="M74" s="4">
        <v>0</v>
      </c>
      <c r="N74" s="4"/>
      <c r="O74" s="4"/>
      <c r="P74" s="4"/>
      <c r="Q74" s="4"/>
      <c r="R74" s="4" t="s">
        <v>628</v>
      </c>
    </row>
    <row r="75" spans="1:18" x14ac:dyDescent="0.3">
      <c r="A75" s="4" t="s">
        <v>291</v>
      </c>
      <c r="B75" s="4" t="s">
        <v>758</v>
      </c>
      <c r="C75" s="4">
        <v>1</v>
      </c>
      <c r="D75" s="4">
        <v>1</v>
      </c>
      <c r="E75" s="4">
        <v>0</v>
      </c>
      <c r="F75" s="4" t="s">
        <v>604</v>
      </c>
      <c r="G75" s="4"/>
      <c r="H75" s="4"/>
      <c r="I75" s="4"/>
      <c r="J75" s="4"/>
      <c r="K75" s="4"/>
      <c r="L75" s="4"/>
      <c r="M75" s="4">
        <v>0</v>
      </c>
      <c r="N75" s="4"/>
      <c r="O75" s="4"/>
      <c r="P75" s="4"/>
      <c r="Q75" s="4"/>
      <c r="R75" s="4" t="s">
        <v>604</v>
      </c>
    </row>
    <row r="76" spans="1:18" x14ac:dyDescent="0.3">
      <c r="A76" s="4" t="s">
        <v>295</v>
      </c>
      <c r="B76" s="4" t="s">
        <v>759</v>
      </c>
      <c r="C76" s="4">
        <v>1</v>
      </c>
      <c r="D76" s="4">
        <v>1</v>
      </c>
      <c r="E76" s="4">
        <v>0</v>
      </c>
      <c r="F76" s="4" t="s">
        <v>604</v>
      </c>
      <c r="G76" s="4" t="s">
        <v>760</v>
      </c>
      <c r="H76" s="4">
        <v>2</v>
      </c>
      <c r="I76" s="4" t="s">
        <v>96</v>
      </c>
      <c r="J76" s="4">
        <v>1</v>
      </c>
      <c r="K76" s="4">
        <v>0</v>
      </c>
      <c r="L76" s="4"/>
      <c r="M76" s="4">
        <v>0</v>
      </c>
      <c r="N76" s="4"/>
      <c r="O76" s="4"/>
      <c r="P76" s="4" t="s">
        <v>638</v>
      </c>
      <c r="Q76" s="4" t="s">
        <v>622</v>
      </c>
      <c r="R76" s="4" t="s">
        <v>604</v>
      </c>
    </row>
    <row r="77" spans="1:18" x14ac:dyDescent="0.3">
      <c r="A77" s="4" t="s">
        <v>298</v>
      </c>
      <c r="B77" s="4" t="s">
        <v>761</v>
      </c>
      <c r="C77" s="4">
        <v>1</v>
      </c>
      <c r="D77" s="4">
        <v>1</v>
      </c>
      <c r="E77" s="4">
        <v>0</v>
      </c>
      <c r="F77" s="4" t="s">
        <v>604</v>
      </c>
      <c r="G77" s="4" t="s">
        <v>762</v>
      </c>
      <c r="H77" s="4">
        <v>1</v>
      </c>
      <c r="I77" s="4" t="s">
        <v>143</v>
      </c>
      <c r="J77" s="4">
        <v>1</v>
      </c>
      <c r="K77" s="4">
        <v>0</v>
      </c>
      <c r="L77" s="4"/>
      <c r="M77" s="4">
        <v>0</v>
      </c>
      <c r="N77" s="4"/>
      <c r="O77" s="4"/>
      <c r="P77" s="4" t="s">
        <v>638</v>
      </c>
      <c r="Q77" s="4" t="s">
        <v>622</v>
      </c>
      <c r="R77" s="4" t="s">
        <v>604</v>
      </c>
    </row>
    <row r="78" spans="1:18" x14ac:dyDescent="0.3">
      <c r="A78" s="4" t="s">
        <v>303</v>
      </c>
      <c r="B78" s="4" t="s">
        <v>763</v>
      </c>
      <c r="C78" s="4">
        <v>1</v>
      </c>
      <c r="D78" s="4">
        <v>1</v>
      </c>
      <c r="E78" s="4">
        <v>0</v>
      </c>
      <c r="F78" s="4" t="s">
        <v>604</v>
      </c>
      <c r="G78" s="4"/>
      <c r="H78" s="4"/>
      <c r="I78" s="4"/>
      <c r="J78" s="4"/>
      <c r="K78" s="4"/>
      <c r="L78" s="4"/>
      <c r="M78" s="4">
        <v>0</v>
      </c>
      <c r="N78" s="4"/>
      <c r="O78" s="4"/>
      <c r="P78" s="4"/>
      <c r="Q78" s="4"/>
      <c r="R78" s="4" t="s">
        <v>604</v>
      </c>
    </row>
    <row r="79" spans="1:18" x14ac:dyDescent="0.3">
      <c r="A79" s="4" t="s">
        <v>306</v>
      </c>
      <c r="B79" s="4" t="s">
        <v>764</v>
      </c>
      <c r="C79" s="4">
        <v>1</v>
      </c>
      <c r="D79" s="4">
        <v>1</v>
      </c>
      <c r="E79" s="4">
        <v>0</v>
      </c>
      <c r="F79" s="4" t="s">
        <v>604</v>
      </c>
      <c r="G79" s="4" t="s">
        <v>765</v>
      </c>
      <c r="H79" s="4">
        <v>0</v>
      </c>
      <c r="I79" s="4" t="s">
        <v>132</v>
      </c>
      <c r="J79" s="4">
        <v>1</v>
      </c>
      <c r="K79" s="4">
        <v>0</v>
      </c>
      <c r="L79" s="4"/>
      <c r="M79" s="4">
        <v>0</v>
      </c>
      <c r="N79" s="4"/>
      <c r="O79" s="4"/>
      <c r="P79" s="4" t="s">
        <v>638</v>
      </c>
      <c r="Q79" s="4" t="s">
        <v>622</v>
      </c>
      <c r="R79" s="4" t="s">
        <v>604</v>
      </c>
    </row>
    <row r="80" spans="1:18" x14ac:dyDescent="0.3">
      <c r="A80" s="4" t="s">
        <v>310</v>
      </c>
      <c r="B80" s="4" t="s">
        <v>766</v>
      </c>
      <c r="C80" s="4">
        <v>1</v>
      </c>
      <c r="D80" s="4">
        <v>1</v>
      </c>
      <c r="E80" s="4">
        <v>0</v>
      </c>
      <c r="F80" s="4" t="s">
        <v>604</v>
      </c>
      <c r="G80" s="4" t="s">
        <v>767</v>
      </c>
      <c r="H80" s="4">
        <v>1</v>
      </c>
      <c r="I80" s="4" t="s">
        <v>143</v>
      </c>
      <c r="J80" s="4">
        <v>1</v>
      </c>
      <c r="K80" s="4">
        <v>0</v>
      </c>
      <c r="L80" s="4"/>
      <c r="M80" s="4">
        <v>0</v>
      </c>
      <c r="N80" s="4"/>
      <c r="O80" s="4"/>
      <c r="P80" s="4" t="s">
        <v>638</v>
      </c>
      <c r="Q80" s="4" t="s">
        <v>622</v>
      </c>
      <c r="R80" s="4" t="s">
        <v>604</v>
      </c>
    </row>
    <row r="81" spans="1:18" x14ac:dyDescent="0.3">
      <c r="A81" s="4" t="s">
        <v>310</v>
      </c>
      <c r="B81" s="4" t="s">
        <v>768</v>
      </c>
      <c r="C81" s="4">
        <v>1</v>
      </c>
      <c r="D81" s="4">
        <v>1</v>
      </c>
      <c r="E81" s="4">
        <v>0</v>
      </c>
      <c r="F81" s="4" t="s">
        <v>604</v>
      </c>
      <c r="G81" s="4"/>
      <c r="H81" s="4"/>
      <c r="I81" s="4"/>
      <c r="J81" s="4"/>
      <c r="K81" s="4"/>
      <c r="L81" s="4"/>
      <c r="M81" s="4">
        <v>0</v>
      </c>
      <c r="N81" s="4"/>
      <c r="O81" s="4"/>
      <c r="P81" s="4"/>
      <c r="Q81" s="4"/>
      <c r="R81" s="4" t="s">
        <v>604</v>
      </c>
    </row>
    <row r="82" spans="1:18" x14ac:dyDescent="0.3">
      <c r="A82" s="4" t="s">
        <v>310</v>
      </c>
      <c r="B82" s="4" t="s">
        <v>769</v>
      </c>
      <c r="C82" s="4">
        <v>1</v>
      </c>
      <c r="D82" s="4">
        <v>1</v>
      </c>
      <c r="E82" s="4">
        <v>0</v>
      </c>
      <c r="F82" s="4" t="s">
        <v>604</v>
      </c>
      <c r="G82" s="4"/>
      <c r="H82" s="4"/>
      <c r="I82" s="4"/>
      <c r="J82" s="4"/>
      <c r="K82" s="4"/>
      <c r="L82" s="4"/>
      <c r="M82" s="4">
        <v>0</v>
      </c>
      <c r="N82" s="4"/>
      <c r="O82" s="4"/>
      <c r="P82" s="4"/>
      <c r="Q82" s="4"/>
      <c r="R82" s="4" t="s">
        <v>604</v>
      </c>
    </row>
    <row r="83" spans="1:18" x14ac:dyDescent="0.3">
      <c r="A83" s="4" t="s">
        <v>314</v>
      </c>
      <c r="B83" s="4" t="s">
        <v>662</v>
      </c>
      <c r="C83" s="4">
        <v>1</v>
      </c>
      <c r="D83" s="4">
        <v>1</v>
      </c>
      <c r="E83" s="4">
        <v>0</v>
      </c>
      <c r="F83" s="4" t="s">
        <v>604</v>
      </c>
      <c r="G83" s="4"/>
      <c r="H83" s="4"/>
      <c r="I83" s="4"/>
      <c r="J83" s="4"/>
      <c r="K83" s="4">
        <v>1</v>
      </c>
      <c r="L83" s="4"/>
      <c r="M83" s="4">
        <v>0</v>
      </c>
      <c r="N83" s="4"/>
      <c r="O83" s="4"/>
      <c r="P83" s="4" t="s">
        <v>770</v>
      </c>
      <c r="Q83" s="4"/>
      <c r="R83" s="4" t="s">
        <v>604</v>
      </c>
    </row>
    <row r="84" spans="1:18" x14ac:dyDescent="0.3">
      <c r="A84" s="4" t="s">
        <v>317</v>
      </c>
      <c r="B84" s="4"/>
      <c r="C84" s="4">
        <v>0</v>
      </c>
      <c r="D84" s="4">
        <v>0</v>
      </c>
      <c r="E84" s="4">
        <v>0</v>
      </c>
      <c r="F84" s="4" t="s">
        <v>258</v>
      </c>
      <c r="G84" s="4"/>
      <c r="H84" s="4"/>
      <c r="I84" s="4"/>
      <c r="J84" s="4"/>
      <c r="K84" s="4"/>
      <c r="L84" s="4"/>
      <c r="M84" s="4">
        <v>0</v>
      </c>
      <c r="N84" s="4"/>
      <c r="O84" s="4"/>
      <c r="P84" s="4"/>
      <c r="Q84" s="4"/>
      <c r="R84" s="4"/>
    </row>
    <row r="85" spans="1:18" x14ac:dyDescent="0.3">
      <c r="A85" s="4" t="s">
        <v>321</v>
      </c>
      <c r="B85" s="4" t="s">
        <v>771</v>
      </c>
      <c r="C85" s="4">
        <v>1</v>
      </c>
      <c r="D85" s="4">
        <v>0</v>
      </c>
      <c r="E85" s="4">
        <v>1</v>
      </c>
      <c r="F85" s="4" t="s">
        <v>628</v>
      </c>
      <c r="G85" s="4" t="s">
        <v>772</v>
      </c>
      <c r="H85" s="4">
        <v>2</v>
      </c>
      <c r="I85" s="4" t="s">
        <v>96</v>
      </c>
      <c r="J85" s="4">
        <v>0</v>
      </c>
      <c r="K85" s="4">
        <v>0</v>
      </c>
      <c r="L85" s="4">
        <v>20</v>
      </c>
      <c r="M85" s="4">
        <v>1</v>
      </c>
      <c r="N85" s="4"/>
      <c r="O85" s="4"/>
      <c r="P85" s="4" t="s">
        <v>638</v>
      </c>
      <c r="Q85" s="4" t="s">
        <v>638</v>
      </c>
      <c r="R85" s="4" t="s">
        <v>628</v>
      </c>
    </row>
    <row r="86" spans="1:18" x14ac:dyDescent="0.3">
      <c r="A86" s="4" t="s">
        <v>326</v>
      </c>
      <c r="B86" s="4" t="s">
        <v>773</v>
      </c>
      <c r="C86" s="4">
        <v>1</v>
      </c>
      <c r="D86" s="4">
        <v>1</v>
      </c>
      <c r="E86" s="4">
        <v>0</v>
      </c>
      <c r="F86" s="4" t="s">
        <v>604</v>
      </c>
      <c r="G86" s="4"/>
      <c r="H86" s="4"/>
      <c r="I86" s="4"/>
      <c r="J86" s="4"/>
      <c r="K86" s="4"/>
      <c r="L86" s="4"/>
      <c r="M86" s="4">
        <v>0</v>
      </c>
      <c r="N86" s="4"/>
      <c r="O86" s="4"/>
      <c r="P86" s="4"/>
      <c r="Q86" s="4"/>
      <c r="R86" s="4" t="s">
        <v>604</v>
      </c>
    </row>
    <row r="87" spans="1:18" x14ac:dyDescent="0.3">
      <c r="A87" s="4" t="s">
        <v>326</v>
      </c>
      <c r="B87" s="4" t="s">
        <v>774</v>
      </c>
      <c r="C87" s="4">
        <v>1</v>
      </c>
      <c r="D87" s="4">
        <v>1</v>
      </c>
      <c r="E87" s="4">
        <v>0</v>
      </c>
      <c r="F87" s="4" t="s">
        <v>604</v>
      </c>
      <c r="G87" s="4"/>
      <c r="H87" s="4"/>
      <c r="I87" s="4"/>
      <c r="J87" s="4"/>
      <c r="K87" s="4">
        <v>1</v>
      </c>
      <c r="L87" s="4"/>
      <c r="M87" s="4">
        <v>0</v>
      </c>
      <c r="N87" s="4"/>
      <c r="O87" s="4"/>
      <c r="P87" s="4" t="s">
        <v>775</v>
      </c>
      <c r="Q87" s="4"/>
      <c r="R87" s="4" t="s">
        <v>604</v>
      </c>
    </row>
    <row r="88" spans="1:18" x14ac:dyDescent="0.3">
      <c r="A88" s="4" t="s">
        <v>330</v>
      </c>
      <c r="B88" s="4" t="s">
        <v>776</v>
      </c>
      <c r="C88" s="4">
        <v>1</v>
      </c>
      <c r="D88" s="4">
        <v>0</v>
      </c>
      <c r="E88" s="4">
        <v>1</v>
      </c>
      <c r="F88" s="4" t="s">
        <v>628</v>
      </c>
      <c r="G88" s="4"/>
      <c r="H88" s="4"/>
      <c r="I88" s="4"/>
      <c r="J88" s="4">
        <v>0</v>
      </c>
      <c r="K88" s="4">
        <v>1</v>
      </c>
      <c r="L88" s="4">
        <v>10</v>
      </c>
      <c r="M88" s="4">
        <v>1</v>
      </c>
      <c r="N88" s="4"/>
      <c r="O88" s="4"/>
      <c r="P88" s="4" t="s">
        <v>777</v>
      </c>
      <c r="Q88" s="4" t="s">
        <v>638</v>
      </c>
      <c r="R88" s="4" t="s">
        <v>628</v>
      </c>
    </row>
    <row r="89" spans="1:18" x14ac:dyDescent="0.3">
      <c r="A89" s="4" t="s">
        <v>330</v>
      </c>
      <c r="B89" s="4" t="s">
        <v>778</v>
      </c>
      <c r="C89" s="4">
        <v>1</v>
      </c>
      <c r="D89" s="4">
        <v>1</v>
      </c>
      <c r="E89" s="4">
        <v>0</v>
      </c>
      <c r="F89" s="4" t="s">
        <v>604</v>
      </c>
      <c r="G89" s="4"/>
      <c r="H89" s="4"/>
      <c r="I89" s="4"/>
      <c r="J89" s="4"/>
      <c r="K89" s="4"/>
      <c r="L89" s="4"/>
      <c r="M89" s="4">
        <v>0</v>
      </c>
      <c r="N89" s="4"/>
      <c r="O89" s="4"/>
      <c r="P89" s="4"/>
      <c r="Q89" s="4"/>
      <c r="R89" s="4" t="s">
        <v>604</v>
      </c>
    </row>
    <row r="90" spans="1:18" x14ac:dyDescent="0.3">
      <c r="A90" s="4" t="s">
        <v>330</v>
      </c>
      <c r="B90" s="4" t="s">
        <v>779</v>
      </c>
      <c r="C90" s="4">
        <v>1</v>
      </c>
      <c r="D90" s="4">
        <v>1</v>
      </c>
      <c r="E90" s="4">
        <v>0</v>
      </c>
      <c r="F90" s="4" t="s">
        <v>604</v>
      </c>
      <c r="G90" s="4"/>
      <c r="H90" s="4"/>
      <c r="I90" s="4"/>
      <c r="J90" s="4"/>
      <c r="K90" s="4"/>
      <c r="L90" s="4"/>
      <c r="M90" s="4">
        <v>0</v>
      </c>
      <c r="N90" s="4"/>
      <c r="O90" s="4"/>
      <c r="P90" s="4"/>
      <c r="Q90" s="4"/>
      <c r="R90" s="4" t="s">
        <v>604</v>
      </c>
    </row>
    <row r="91" spans="1:18" x14ac:dyDescent="0.3">
      <c r="A91" s="4" t="s">
        <v>330</v>
      </c>
      <c r="B91" s="4" t="s">
        <v>780</v>
      </c>
      <c r="C91" s="4">
        <v>1</v>
      </c>
      <c r="D91" s="4">
        <v>1</v>
      </c>
      <c r="E91" s="4">
        <v>0</v>
      </c>
      <c r="F91" s="4" t="s">
        <v>604</v>
      </c>
      <c r="G91" s="4"/>
      <c r="H91" s="4"/>
      <c r="I91" s="4"/>
      <c r="J91" s="4"/>
      <c r="K91" s="4"/>
      <c r="L91" s="4"/>
      <c r="M91" s="4">
        <v>0</v>
      </c>
      <c r="N91" s="4"/>
      <c r="O91" s="4"/>
      <c r="P91" s="4"/>
      <c r="Q91" s="4"/>
      <c r="R91" s="4" t="s">
        <v>604</v>
      </c>
    </row>
    <row r="92" spans="1:18" x14ac:dyDescent="0.3">
      <c r="A92" s="4" t="s">
        <v>335</v>
      </c>
      <c r="B92" s="4" t="s">
        <v>781</v>
      </c>
      <c r="C92" s="4">
        <v>1</v>
      </c>
      <c r="D92" s="4">
        <v>0</v>
      </c>
      <c r="E92" s="4">
        <v>1</v>
      </c>
      <c r="F92" s="4" t="s">
        <v>628</v>
      </c>
      <c r="G92" s="4" t="s">
        <v>782</v>
      </c>
      <c r="H92" s="4">
        <v>2</v>
      </c>
      <c r="I92" s="4" t="s">
        <v>96</v>
      </c>
      <c r="J92" s="4">
        <v>0</v>
      </c>
      <c r="K92" s="4">
        <v>0</v>
      </c>
      <c r="L92" s="4">
        <v>13</v>
      </c>
      <c r="M92" s="4">
        <v>0</v>
      </c>
      <c r="N92" s="4" t="s">
        <v>157</v>
      </c>
      <c r="O92" s="4">
        <v>30.5</v>
      </c>
      <c r="P92" s="4" t="s">
        <v>638</v>
      </c>
      <c r="Q92" s="4" t="s">
        <v>638</v>
      </c>
      <c r="R92" s="4" t="s">
        <v>628</v>
      </c>
    </row>
    <row r="93" spans="1:18" x14ac:dyDescent="0.3">
      <c r="A93" s="4" t="s">
        <v>340</v>
      </c>
      <c r="B93" s="4" t="s">
        <v>783</v>
      </c>
      <c r="C93" s="4">
        <v>1</v>
      </c>
      <c r="D93" s="4">
        <v>0</v>
      </c>
      <c r="E93" s="4">
        <v>1</v>
      </c>
      <c r="F93" s="4" t="s">
        <v>628</v>
      </c>
      <c r="G93" s="4" t="s">
        <v>784</v>
      </c>
      <c r="H93" s="4">
        <v>1</v>
      </c>
      <c r="I93" s="4" t="s">
        <v>143</v>
      </c>
      <c r="J93" s="4">
        <v>0</v>
      </c>
      <c r="K93" s="4">
        <v>0</v>
      </c>
      <c r="L93" s="4"/>
      <c r="M93" s="4">
        <v>0</v>
      </c>
      <c r="N93" s="4"/>
      <c r="O93" s="4"/>
      <c r="P93" s="4" t="s">
        <v>638</v>
      </c>
      <c r="Q93" s="4" t="s">
        <v>638</v>
      </c>
      <c r="R93" s="4" t="s">
        <v>628</v>
      </c>
    </row>
    <row r="94" spans="1:18" x14ac:dyDescent="0.3">
      <c r="A94" s="4" t="s">
        <v>345</v>
      </c>
      <c r="B94" s="4" t="s">
        <v>785</v>
      </c>
      <c r="C94" s="4">
        <v>1</v>
      </c>
      <c r="D94" s="4">
        <v>1</v>
      </c>
      <c r="E94" s="4">
        <v>0</v>
      </c>
      <c r="F94" s="4" t="s">
        <v>604</v>
      </c>
      <c r="G94" s="4" t="s">
        <v>786</v>
      </c>
      <c r="H94" s="4">
        <v>2</v>
      </c>
      <c r="I94" s="4" t="s">
        <v>96</v>
      </c>
      <c r="J94" s="4">
        <v>1</v>
      </c>
      <c r="K94" s="4">
        <v>1</v>
      </c>
      <c r="L94" s="4">
        <v>6.5</v>
      </c>
      <c r="M94" s="4">
        <v>0</v>
      </c>
      <c r="N94" s="4" t="s">
        <v>787</v>
      </c>
      <c r="O94" s="4">
        <v>6</v>
      </c>
      <c r="P94" s="4" t="s">
        <v>788</v>
      </c>
      <c r="Q94" s="4" t="s">
        <v>789</v>
      </c>
      <c r="R94" s="4" t="s">
        <v>604</v>
      </c>
    </row>
    <row r="95" spans="1:18" x14ac:dyDescent="0.3">
      <c r="A95" s="4" t="s">
        <v>350</v>
      </c>
      <c r="B95" s="4" t="s">
        <v>790</v>
      </c>
      <c r="C95" s="4">
        <v>1</v>
      </c>
      <c r="D95" s="4">
        <v>1</v>
      </c>
      <c r="E95" s="4">
        <v>0</v>
      </c>
      <c r="F95" s="4" t="s">
        <v>604</v>
      </c>
      <c r="G95" s="4"/>
      <c r="H95" s="4"/>
      <c r="I95" s="4"/>
      <c r="J95" s="4"/>
      <c r="K95" s="4"/>
      <c r="L95" s="4"/>
      <c r="M95" s="4">
        <v>0</v>
      </c>
      <c r="N95" s="4"/>
      <c r="O95" s="4"/>
      <c r="P95" s="4"/>
      <c r="Q95" s="4"/>
      <c r="R95" s="4" t="s">
        <v>604</v>
      </c>
    </row>
    <row r="96" spans="1:18" x14ac:dyDescent="0.3">
      <c r="A96" s="4" t="s">
        <v>355</v>
      </c>
      <c r="B96" s="4" t="s">
        <v>791</v>
      </c>
      <c r="C96" s="4">
        <v>1</v>
      </c>
      <c r="D96" s="4">
        <v>1</v>
      </c>
      <c r="E96" s="4">
        <v>0</v>
      </c>
      <c r="F96" s="4" t="s">
        <v>604</v>
      </c>
      <c r="G96" s="4"/>
      <c r="H96" s="4"/>
      <c r="I96" s="4"/>
      <c r="J96" s="4">
        <v>1</v>
      </c>
      <c r="K96" s="4">
        <v>1</v>
      </c>
      <c r="L96" s="4"/>
      <c r="M96" s="4">
        <v>0</v>
      </c>
      <c r="N96" s="4"/>
      <c r="O96" s="4"/>
      <c r="P96" s="4" t="s">
        <v>792</v>
      </c>
      <c r="Q96" s="4" t="s">
        <v>793</v>
      </c>
      <c r="R96" s="4" t="s">
        <v>604</v>
      </c>
    </row>
    <row r="97" spans="1:18" x14ac:dyDescent="0.3">
      <c r="A97" s="4" t="s">
        <v>358</v>
      </c>
      <c r="B97" s="4" t="s">
        <v>794</v>
      </c>
      <c r="C97" s="4">
        <v>1</v>
      </c>
      <c r="D97" s="4">
        <v>1</v>
      </c>
      <c r="E97" s="4">
        <v>0</v>
      </c>
      <c r="F97" s="4" t="s">
        <v>604</v>
      </c>
      <c r="G97" s="4"/>
      <c r="H97" s="4"/>
      <c r="I97" s="4"/>
      <c r="J97" s="4"/>
      <c r="K97" s="4"/>
      <c r="L97" s="4"/>
      <c r="M97" s="4">
        <v>0</v>
      </c>
      <c r="N97" s="4"/>
      <c r="O97" s="4"/>
      <c r="P97" s="4"/>
      <c r="Q97" s="4"/>
      <c r="R97" s="4" t="s">
        <v>604</v>
      </c>
    </row>
    <row r="98" spans="1:18" x14ac:dyDescent="0.3">
      <c r="A98" s="4" t="s">
        <v>358</v>
      </c>
      <c r="B98" s="4" t="s">
        <v>795</v>
      </c>
      <c r="C98" s="4">
        <v>1</v>
      </c>
      <c r="D98" s="4">
        <v>1</v>
      </c>
      <c r="E98" s="4">
        <v>0</v>
      </c>
      <c r="F98" s="4" t="s">
        <v>604</v>
      </c>
      <c r="G98" s="4"/>
      <c r="H98" s="4"/>
      <c r="I98" s="4"/>
      <c r="J98" s="4"/>
      <c r="K98" s="4"/>
      <c r="L98" s="4"/>
      <c r="M98" s="4">
        <v>0</v>
      </c>
      <c r="N98" s="4"/>
      <c r="O98" s="4"/>
      <c r="P98" s="4"/>
      <c r="Q98" s="4"/>
      <c r="R98" s="4" t="s">
        <v>604</v>
      </c>
    </row>
    <row r="99" spans="1:18" x14ac:dyDescent="0.3">
      <c r="A99" s="4" t="s">
        <v>361</v>
      </c>
      <c r="B99" s="4"/>
      <c r="C99" s="4">
        <v>0</v>
      </c>
      <c r="D99" s="4">
        <v>0</v>
      </c>
      <c r="E99" s="4">
        <v>0</v>
      </c>
      <c r="F99" s="4" t="s">
        <v>258</v>
      </c>
      <c r="G99" s="4"/>
      <c r="H99" s="4"/>
      <c r="I99" s="4"/>
      <c r="J99" s="4"/>
      <c r="K99" s="4"/>
      <c r="L99" s="4"/>
      <c r="M99" s="4">
        <v>0</v>
      </c>
      <c r="N99" s="4"/>
      <c r="O99" s="4"/>
      <c r="P99" s="4"/>
      <c r="Q99" s="4"/>
      <c r="R99" s="4"/>
    </row>
    <row r="100" spans="1:18" x14ac:dyDescent="0.3">
      <c r="A100" s="4" t="s">
        <v>363</v>
      </c>
      <c r="B100" s="4" t="s">
        <v>796</v>
      </c>
      <c r="C100" s="4">
        <v>1</v>
      </c>
      <c r="D100" s="4">
        <v>0</v>
      </c>
      <c r="E100" s="4">
        <v>1</v>
      </c>
      <c r="F100" s="4" t="s">
        <v>628</v>
      </c>
      <c r="G100" s="4" t="s">
        <v>797</v>
      </c>
      <c r="H100" s="4">
        <v>1</v>
      </c>
      <c r="I100" s="4" t="s">
        <v>143</v>
      </c>
      <c r="J100" s="4">
        <v>1</v>
      </c>
      <c r="K100" s="4">
        <v>1</v>
      </c>
      <c r="L100" s="4">
        <v>7</v>
      </c>
      <c r="M100" s="4">
        <v>0</v>
      </c>
      <c r="N100" s="4"/>
      <c r="O100" s="4"/>
      <c r="P100" s="4" t="s">
        <v>622</v>
      </c>
      <c r="Q100" s="4" t="s">
        <v>622</v>
      </c>
      <c r="R100" s="4" t="s">
        <v>628</v>
      </c>
    </row>
    <row r="101" spans="1:18" x14ac:dyDescent="0.3">
      <c r="A101" s="4" t="s">
        <v>369</v>
      </c>
      <c r="B101" s="4" t="s">
        <v>798</v>
      </c>
      <c r="C101" s="4">
        <v>1</v>
      </c>
      <c r="D101" s="4">
        <v>1</v>
      </c>
      <c r="E101" s="4">
        <v>0</v>
      </c>
      <c r="F101" s="4" t="s">
        <v>604</v>
      </c>
      <c r="G101" s="4" t="s">
        <v>799</v>
      </c>
      <c r="H101" s="4">
        <v>2</v>
      </c>
      <c r="I101" s="4" t="s">
        <v>96</v>
      </c>
      <c r="J101" s="4">
        <v>1</v>
      </c>
      <c r="K101" s="4">
        <v>1</v>
      </c>
      <c r="L101" s="4">
        <v>5</v>
      </c>
      <c r="M101" s="4">
        <v>0</v>
      </c>
      <c r="N101" s="4"/>
      <c r="O101" s="4"/>
      <c r="P101" s="4" t="s">
        <v>622</v>
      </c>
      <c r="Q101" s="4" t="s">
        <v>622</v>
      </c>
      <c r="R101" s="4" t="s">
        <v>604</v>
      </c>
    </row>
    <row r="102" spans="1:18" x14ac:dyDescent="0.3">
      <c r="A102" s="4" t="s">
        <v>375</v>
      </c>
      <c r="B102" s="4" t="s">
        <v>800</v>
      </c>
      <c r="C102" s="4">
        <v>1</v>
      </c>
      <c r="D102" s="4">
        <v>0</v>
      </c>
      <c r="E102" s="4">
        <v>1</v>
      </c>
      <c r="F102" s="4" t="s">
        <v>628</v>
      </c>
      <c r="G102" s="4" t="s">
        <v>801</v>
      </c>
      <c r="H102" s="4">
        <v>2</v>
      </c>
      <c r="I102" s="4" t="s">
        <v>96</v>
      </c>
      <c r="J102" s="4">
        <v>0</v>
      </c>
      <c r="K102" s="4">
        <v>0</v>
      </c>
      <c r="L102" s="4">
        <v>23</v>
      </c>
      <c r="M102" s="4">
        <v>0</v>
      </c>
      <c r="N102" s="4" t="s">
        <v>157</v>
      </c>
      <c r="O102" s="4">
        <v>30.5</v>
      </c>
      <c r="P102" s="4" t="s">
        <v>638</v>
      </c>
      <c r="Q102" s="4" t="s">
        <v>638</v>
      </c>
      <c r="R102" s="4" t="s">
        <v>628</v>
      </c>
    </row>
    <row r="103" spans="1:18" x14ac:dyDescent="0.3">
      <c r="A103" s="4" t="s">
        <v>375</v>
      </c>
      <c r="B103" s="4" t="s">
        <v>627</v>
      </c>
      <c r="C103" s="4">
        <v>1</v>
      </c>
      <c r="D103" s="4">
        <v>0</v>
      </c>
      <c r="E103" s="4">
        <v>1</v>
      </c>
      <c r="F103" s="4" t="s">
        <v>628</v>
      </c>
      <c r="G103" s="4" t="s">
        <v>802</v>
      </c>
      <c r="H103" s="4">
        <v>2</v>
      </c>
      <c r="I103" s="4" t="s">
        <v>96</v>
      </c>
      <c r="J103" s="4">
        <v>1</v>
      </c>
      <c r="K103" s="4">
        <v>1</v>
      </c>
      <c r="L103" s="4">
        <v>30</v>
      </c>
      <c r="M103" s="4">
        <v>0</v>
      </c>
      <c r="N103" s="4" t="s">
        <v>157</v>
      </c>
      <c r="O103" s="4">
        <v>30.5</v>
      </c>
      <c r="P103" s="4" t="s">
        <v>622</v>
      </c>
      <c r="Q103" s="4" t="s">
        <v>622</v>
      </c>
      <c r="R103" s="4" t="s">
        <v>628</v>
      </c>
    </row>
    <row r="104" spans="1:18" x14ac:dyDescent="0.3">
      <c r="A104" s="4" t="s">
        <v>379</v>
      </c>
      <c r="B104" s="4" t="s">
        <v>803</v>
      </c>
      <c r="C104" s="4">
        <v>1</v>
      </c>
      <c r="D104" s="4">
        <v>1</v>
      </c>
      <c r="E104" s="4">
        <v>0</v>
      </c>
      <c r="F104" s="4" t="s">
        <v>604</v>
      </c>
      <c r="G104" s="4" t="s">
        <v>804</v>
      </c>
      <c r="H104" s="4">
        <v>2</v>
      </c>
      <c r="I104" s="4" t="s">
        <v>96</v>
      </c>
      <c r="J104" s="4">
        <v>0</v>
      </c>
      <c r="K104" s="4">
        <v>1</v>
      </c>
      <c r="L104" s="4">
        <v>15</v>
      </c>
      <c r="M104" s="4">
        <v>1</v>
      </c>
      <c r="N104" s="4"/>
      <c r="O104" s="4"/>
      <c r="P104" s="4" t="s">
        <v>622</v>
      </c>
      <c r="Q104" s="4" t="s">
        <v>638</v>
      </c>
      <c r="R104" s="4" t="s">
        <v>604</v>
      </c>
    </row>
    <row r="105" spans="1:18" x14ac:dyDescent="0.3">
      <c r="A105" s="4" t="s">
        <v>385</v>
      </c>
      <c r="B105" s="4" t="s">
        <v>805</v>
      </c>
      <c r="C105" s="4">
        <v>1</v>
      </c>
      <c r="D105" s="4">
        <v>1</v>
      </c>
      <c r="E105" s="4">
        <v>0</v>
      </c>
      <c r="F105" s="4" t="s">
        <v>604</v>
      </c>
      <c r="G105" s="4" t="s">
        <v>806</v>
      </c>
      <c r="H105" s="4">
        <v>1</v>
      </c>
      <c r="I105" s="4" t="s">
        <v>143</v>
      </c>
      <c r="J105" s="4">
        <v>1</v>
      </c>
      <c r="K105" s="4">
        <v>1</v>
      </c>
      <c r="L105" s="4">
        <v>20</v>
      </c>
      <c r="M105" s="4">
        <v>1</v>
      </c>
      <c r="N105" s="4" t="s">
        <v>157</v>
      </c>
      <c r="O105" s="4">
        <v>30.5</v>
      </c>
      <c r="P105" s="4" t="s">
        <v>622</v>
      </c>
      <c r="Q105" s="4" t="s">
        <v>622</v>
      </c>
      <c r="R105" s="4" t="s">
        <v>604</v>
      </c>
    </row>
    <row r="106" spans="1:18" x14ac:dyDescent="0.3">
      <c r="A106" s="4" t="s">
        <v>385</v>
      </c>
      <c r="B106" s="4" t="s">
        <v>807</v>
      </c>
      <c r="C106" s="4">
        <v>1</v>
      </c>
      <c r="D106" s="4">
        <v>1</v>
      </c>
      <c r="E106" s="4">
        <v>0</v>
      </c>
      <c r="F106" s="4" t="s">
        <v>604</v>
      </c>
      <c r="G106" s="4" t="s">
        <v>808</v>
      </c>
      <c r="H106" s="4">
        <v>2</v>
      </c>
      <c r="I106" s="4" t="s">
        <v>96</v>
      </c>
      <c r="J106" s="4">
        <v>1</v>
      </c>
      <c r="K106" s="4">
        <v>0</v>
      </c>
      <c r="L106" s="4">
        <v>12</v>
      </c>
      <c r="M106" s="4">
        <v>1</v>
      </c>
      <c r="N106" s="4" t="s">
        <v>157</v>
      </c>
      <c r="O106" s="4">
        <v>30.5</v>
      </c>
      <c r="P106" s="4" t="s">
        <v>638</v>
      </c>
      <c r="Q106" s="4" t="s">
        <v>622</v>
      </c>
      <c r="R106" s="4" t="s">
        <v>604</v>
      </c>
    </row>
    <row r="107" spans="1:18" x14ac:dyDescent="0.3">
      <c r="A107" s="4" t="s">
        <v>389</v>
      </c>
      <c r="B107" s="4" t="s">
        <v>809</v>
      </c>
      <c r="C107" s="4">
        <v>1</v>
      </c>
      <c r="D107" s="4">
        <v>1</v>
      </c>
      <c r="E107" s="4">
        <v>0</v>
      </c>
      <c r="F107" s="4" t="s">
        <v>604</v>
      </c>
      <c r="G107" s="4" t="s">
        <v>810</v>
      </c>
      <c r="H107" s="4">
        <v>3</v>
      </c>
      <c r="I107" s="4" t="s">
        <v>116</v>
      </c>
      <c r="J107" s="4">
        <v>1</v>
      </c>
      <c r="K107" s="4">
        <v>1</v>
      </c>
      <c r="L107" s="4">
        <v>16</v>
      </c>
      <c r="M107" s="4">
        <v>0</v>
      </c>
      <c r="N107" s="4" t="s">
        <v>126</v>
      </c>
      <c r="O107" s="4">
        <v>125.5</v>
      </c>
      <c r="P107" s="4" t="s">
        <v>622</v>
      </c>
      <c r="Q107" s="4" t="s">
        <v>622</v>
      </c>
      <c r="R107" s="4" t="s">
        <v>604</v>
      </c>
    </row>
    <row r="108" spans="1:18" x14ac:dyDescent="0.3">
      <c r="A108" s="4" t="s">
        <v>393</v>
      </c>
      <c r="B108" s="4" t="s">
        <v>811</v>
      </c>
      <c r="C108" s="4">
        <v>1</v>
      </c>
      <c r="D108" s="4">
        <v>1</v>
      </c>
      <c r="E108" s="4">
        <v>0</v>
      </c>
      <c r="F108" s="4" t="s">
        <v>604</v>
      </c>
      <c r="G108" s="4" t="s">
        <v>812</v>
      </c>
      <c r="H108" s="4">
        <v>1</v>
      </c>
      <c r="I108" s="4" t="s">
        <v>143</v>
      </c>
      <c r="J108" s="4">
        <v>0</v>
      </c>
      <c r="K108" s="4">
        <v>1</v>
      </c>
      <c r="L108" s="4">
        <v>30</v>
      </c>
      <c r="M108" s="4">
        <v>1</v>
      </c>
      <c r="N108" s="4" t="s">
        <v>157</v>
      </c>
      <c r="O108" s="4">
        <v>30.5</v>
      </c>
      <c r="P108" s="4" t="s">
        <v>622</v>
      </c>
      <c r="Q108" s="4" t="s">
        <v>638</v>
      </c>
      <c r="R108" s="4" t="s">
        <v>604</v>
      </c>
    </row>
    <row r="109" spans="1:18" x14ac:dyDescent="0.3">
      <c r="A109" s="4" t="s">
        <v>393</v>
      </c>
      <c r="B109" s="4" t="s">
        <v>813</v>
      </c>
      <c r="C109" s="4">
        <v>1</v>
      </c>
      <c r="D109" s="4">
        <v>1</v>
      </c>
      <c r="E109" s="4">
        <v>0</v>
      </c>
      <c r="F109" s="4" t="s">
        <v>604</v>
      </c>
      <c r="G109" s="4" t="s">
        <v>814</v>
      </c>
      <c r="H109" s="4">
        <v>2</v>
      </c>
      <c r="I109" s="4" t="s">
        <v>96</v>
      </c>
      <c r="J109" s="4">
        <v>1</v>
      </c>
      <c r="K109" s="4"/>
      <c r="L109" s="4">
        <v>18</v>
      </c>
      <c r="M109" s="4">
        <v>1</v>
      </c>
      <c r="N109" s="4" t="s">
        <v>157</v>
      </c>
      <c r="O109" s="4">
        <v>30.5</v>
      </c>
      <c r="P109" s="4"/>
      <c r="Q109" s="4" t="s">
        <v>622</v>
      </c>
      <c r="R109" s="4" t="s">
        <v>604</v>
      </c>
    </row>
    <row r="110" spans="1:18" x14ac:dyDescent="0.3">
      <c r="A110" s="4" t="s">
        <v>398</v>
      </c>
      <c r="B110" s="4" t="s">
        <v>815</v>
      </c>
      <c r="C110" s="4">
        <v>1</v>
      </c>
      <c r="D110" s="4">
        <v>1</v>
      </c>
      <c r="E110" s="4">
        <v>0</v>
      </c>
      <c r="F110" s="4" t="s">
        <v>604</v>
      </c>
      <c r="G110" s="4" t="s">
        <v>816</v>
      </c>
      <c r="H110" s="4">
        <v>2</v>
      </c>
      <c r="I110" s="4" t="s">
        <v>96</v>
      </c>
      <c r="J110" s="4">
        <v>0</v>
      </c>
      <c r="K110" s="4">
        <v>1</v>
      </c>
      <c r="L110" s="4">
        <v>15</v>
      </c>
      <c r="M110" s="4">
        <v>1</v>
      </c>
      <c r="N110" s="4" t="s">
        <v>117</v>
      </c>
      <c r="O110" s="4">
        <v>350.5</v>
      </c>
      <c r="P110" s="4" t="s">
        <v>622</v>
      </c>
      <c r="Q110" s="4" t="s">
        <v>638</v>
      </c>
      <c r="R110" s="4" t="s">
        <v>604</v>
      </c>
    </row>
    <row r="111" spans="1:18" x14ac:dyDescent="0.3">
      <c r="A111" s="4" t="s">
        <v>398</v>
      </c>
      <c r="B111" s="4" t="s">
        <v>817</v>
      </c>
      <c r="C111" s="4">
        <v>1</v>
      </c>
      <c r="D111" s="4">
        <v>1</v>
      </c>
      <c r="E111" s="4">
        <v>0</v>
      </c>
      <c r="F111" s="4" t="s">
        <v>604</v>
      </c>
      <c r="G111" s="4" t="s">
        <v>818</v>
      </c>
      <c r="H111" s="4">
        <v>1</v>
      </c>
      <c r="I111" s="4" t="s">
        <v>143</v>
      </c>
      <c r="J111" s="4">
        <v>1</v>
      </c>
      <c r="K111" s="4">
        <v>1</v>
      </c>
      <c r="L111" s="4">
        <v>14</v>
      </c>
      <c r="M111" s="4">
        <v>1</v>
      </c>
      <c r="N111" s="4" t="s">
        <v>117</v>
      </c>
      <c r="O111" s="4">
        <v>350.5</v>
      </c>
      <c r="P111" s="4" t="s">
        <v>622</v>
      </c>
      <c r="Q111" s="4" t="s">
        <v>622</v>
      </c>
      <c r="R111" s="4" t="s">
        <v>604</v>
      </c>
    </row>
    <row r="112" spans="1:18" x14ac:dyDescent="0.3">
      <c r="A112" s="4" t="s">
        <v>402</v>
      </c>
      <c r="B112" s="4" t="s">
        <v>819</v>
      </c>
      <c r="C112" s="4">
        <v>1</v>
      </c>
      <c r="D112" s="4">
        <v>1</v>
      </c>
      <c r="E112" s="4">
        <v>0</v>
      </c>
      <c r="F112" s="4" t="s">
        <v>604</v>
      </c>
      <c r="G112" s="4" t="s">
        <v>820</v>
      </c>
      <c r="H112" s="4">
        <v>1</v>
      </c>
      <c r="I112" s="4" t="s">
        <v>143</v>
      </c>
      <c r="J112" s="4">
        <v>0</v>
      </c>
      <c r="K112" s="4">
        <v>0</v>
      </c>
      <c r="L112" s="4">
        <v>6</v>
      </c>
      <c r="M112" s="4">
        <v>0</v>
      </c>
      <c r="N112" s="4" t="s">
        <v>126</v>
      </c>
      <c r="O112" s="4">
        <v>125.5</v>
      </c>
      <c r="P112" s="4" t="s">
        <v>638</v>
      </c>
      <c r="Q112" s="4" t="s">
        <v>638</v>
      </c>
      <c r="R112" s="4" t="s">
        <v>604</v>
      </c>
    </row>
    <row r="113" spans="1:18" x14ac:dyDescent="0.3">
      <c r="A113" s="4" t="s">
        <v>402</v>
      </c>
      <c r="B113" s="4" t="s">
        <v>821</v>
      </c>
      <c r="C113" s="4">
        <v>1</v>
      </c>
      <c r="D113" s="4">
        <v>1</v>
      </c>
      <c r="E113" s="4">
        <v>0</v>
      </c>
      <c r="F113" s="4" t="s">
        <v>604</v>
      </c>
      <c r="G113" s="4" t="s">
        <v>822</v>
      </c>
      <c r="H113" s="4">
        <v>2</v>
      </c>
      <c r="I113" s="4" t="s">
        <v>96</v>
      </c>
      <c r="J113" s="4">
        <v>0</v>
      </c>
      <c r="K113" s="4"/>
      <c r="L113" s="4">
        <v>18</v>
      </c>
      <c r="M113" s="4">
        <v>0</v>
      </c>
      <c r="N113" s="4" t="s">
        <v>126</v>
      </c>
      <c r="O113" s="4">
        <v>125.5</v>
      </c>
      <c r="P113" s="4"/>
      <c r="Q113" s="4" t="s">
        <v>638</v>
      </c>
      <c r="R113" s="4" t="s">
        <v>604</v>
      </c>
    </row>
    <row r="114" spans="1:18" x14ac:dyDescent="0.3">
      <c r="A114" s="4" t="s">
        <v>402</v>
      </c>
      <c r="B114" s="4" t="s">
        <v>823</v>
      </c>
      <c r="C114" s="4">
        <v>1</v>
      </c>
      <c r="D114" s="4">
        <v>1</v>
      </c>
      <c r="E114" s="4">
        <v>0</v>
      </c>
      <c r="F114" s="4" t="s">
        <v>604</v>
      </c>
      <c r="G114" s="4" t="s">
        <v>824</v>
      </c>
      <c r="H114" s="4"/>
      <c r="I114" s="4"/>
      <c r="J114" s="4">
        <v>0</v>
      </c>
      <c r="K114" s="4"/>
      <c r="L114" s="4">
        <v>10</v>
      </c>
      <c r="M114" s="4">
        <v>1</v>
      </c>
      <c r="N114" s="4" t="s">
        <v>126</v>
      </c>
      <c r="O114" s="4">
        <v>125.5</v>
      </c>
      <c r="P114" s="4"/>
      <c r="Q114" s="4" t="s">
        <v>638</v>
      </c>
      <c r="R114" s="4" t="s">
        <v>604</v>
      </c>
    </row>
    <row r="115" spans="1:18" x14ac:dyDescent="0.3">
      <c r="A115" s="4" t="s">
        <v>408</v>
      </c>
      <c r="B115" s="4" t="s">
        <v>825</v>
      </c>
      <c r="C115" s="4">
        <v>1</v>
      </c>
      <c r="D115" s="4">
        <v>0</v>
      </c>
      <c r="E115" s="4">
        <v>1</v>
      </c>
      <c r="F115" s="4" t="s">
        <v>628</v>
      </c>
      <c r="G115" s="4" t="s">
        <v>826</v>
      </c>
      <c r="H115" s="4">
        <v>1</v>
      </c>
      <c r="I115" s="4" t="s">
        <v>143</v>
      </c>
      <c r="J115" s="4">
        <v>1</v>
      </c>
      <c r="K115" s="4">
        <v>1</v>
      </c>
      <c r="L115" s="4">
        <v>7</v>
      </c>
      <c r="M115" s="4">
        <v>1</v>
      </c>
      <c r="N115" s="4" t="s">
        <v>787</v>
      </c>
      <c r="O115" s="4">
        <v>6</v>
      </c>
      <c r="P115" s="4" t="s">
        <v>622</v>
      </c>
      <c r="Q115" s="4" t="s">
        <v>622</v>
      </c>
      <c r="R115" s="4" t="s">
        <v>628</v>
      </c>
    </row>
    <row r="116" spans="1:18" x14ac:dyDescent="0.3">
      <c r="A116" s="4" t="s">
        <v>412</v>
      </c>
      <c r="B116" s="4" t="s">
        <v>827</v>
      </c>
      <c r="C116" s="4">
        <v>1</v>
      </c>
      <c r="D116" s="4">
        <v>1</v>
      </c>
      <c r="E116" s="4">
        <v>0</v>
      </c>
      <c r="F116" s="4" t="s">
        <v>604</v>
      </c>
      <c r="G116" s="4" t="s">
        <v>828</v>
      </c>
      <c r="H116" s="4">
        <v>1</v>
      </c>
      <c r="I116" s="4" t="s">
        <v>143</v>
      </c>
      <c r="J116" s="4">
        <v>1</v>
      </c>
      <c r="K116" s="4">
        <v>1</v>
      </c>
      <c r="L116" s="4">
        <v>7</v>
      </c>
      <c r="M116" s="4">
        <v>0</v>
      </c>
      <c r="N116" s="4" t="s">
        <v>157</v>
      </c>
      <c r="O116" s="4">
        <v>30.5</v>
      </c>
      <c r="P116" s="4" t="s">
        <v>622</v>
      </c>
      <c r="Q116" s="4" t="s">
        <v>622</v>
      </c>
      <c r="R116" s="4" t="s">
        <v>604</v>
      </c>
    </row>
    <row r="117" spans="1:18" x14ac:dyDescent="0.3">
      <c r="A117" s="4" t="s">
        <v>412</v>
      </c>
      <c r="B117" s="4" t="s">
        <v>829</v>
      </c>
      <c r="C117" s="4">
        <v>1</v>
      </c>
      <c r="D117" s="4">
        <v>1</v>
      </c>
      <c r="E117" s="4">
        <v>0</v>
      </c>
      <c r="F117" s="4" t="s">
        <v>604</v>
      </c>
      <c r="G117" s="4" t="s">
        <v>116</v>
      </c>
      <c r="H117" s="4">
        <v>3</v>
      </c>
      <c r="I117" s="4" t="s">
        <v>116</v>
      </c>
      <c r="J117" s="4">
        <v>1</v>
      </c>
      <c r="K117" s="4"/>
      <c r="L117" s="4"/>
      <c r="M117" s="4">
        <v>0</v>
      </c>
      <c r="N117" s="4" t="s">
        <v>157</v>
      </c>
      <c r="O117" s="4">
        <v>30.5</v>
      </c>
      <c r="P117" s="4"/>
      <c r="Q117" s="4" t="s">
        <v>622</v>
      </c>
      <c r="R117" s="4" t="s">
        <v>604</v>
      </c>
    </row>
    <row r="118" spans="1:18" x14ac:dyDescent="0.3">
      <c r="A118" s="4" t="s">
        <v>412</v>
      </c>
      <c r="B118" s="4" t="s">
        <v>830</v>
      </c>
      <c r="C118" s="4">
        <v>1</v>
      </c>
      <c r="D118" s="4">
        <v>1</v>
      </c>
      <c r="E118" s="4">
        <v>0</v>
      </c>
      <c r="F118" s="4" t="s">
        <v>604</v>
      </c>
      <c r="G118" s="4" t="s">
        <v>820</v>
      </c>
      <c r="H118" s="4">
        <v>1</v>
      </c>
      <c r="I118" s="4" t="s">
        <v>143</v>
      </c>
      <c r="J118" s="4">
        <v>0</v>
      </c>
      <c r="K118" s="4">
        <v>0</v>
      </c>
      <c r="L118" s="4">
        <v>6</v>
      </c>
      <c r="M118" s="4">
        <v>0</v>
      </c>
      <c r="N118" s="4" t="s">
        <v>157</v>
      </c>
      <c r="O118" s="4">
        <v>30.5</v>
      </c>
      <c r="P118" s="4" t="s">
        <v>638</v>
      </c>
      <c r="Q118" s="4" t="s">
        <v>638</v>
      </c>
      <c r="R118" s="4" t="s">
        <v>604</v>
      </c>
    </row>
    <row r="119" spans="1:18" x14ac:dyDescent="0.3">
      <c r="A119" s="4" t="s">
        <v>417</v>
      </c>
      <c r="B119" s="4" t="s">
        <v>831</v>
      </c>
      <c r="C119" s="4">
        <v>1</v>
      </c>
      <c r="D119" s="4">
        <v>1</v>
      </c>
      <c r="E119" s="4">
        <v>0</v>
      </c>
      <c r="F119" s="4" t="s">
        <v>604</v>
      </c>
      <c r="G119" s="4" t="s">
        <v>832</v>
      </c>
      <c r="H119" s="4">
        <v>2</v>
      </c>
      <c r="I119" s="4" t="s">
        <v>96</v>
      </c>
      <c r="J119" s="4">
        <v>1</v>
      </c>
      <c r="K119" s="4">
        <v>0</v>
      </c>
      <c r="L119" s="4">
        <v>7</v>
      </c>
      <c r="M119" s="4">
        <v>0</v>
      </c>
      <c r="N119" s="4" t="s">
        <v>157</v>
      </c>
      <c r="O119" s="4">
        <v>30.5</v>
      </c>
      <c r="P119" s="4" t="s">
        <v>638</v>
      </c>
      <c r="Q119" s="4" t="s">
        <v>622</v>
      </c>
      <c r="R119" s="4" t="s">
        <v>604</v>
      </c>
    </row>
    <row r="120" spans="1:18" x14ac:dyDescent="0.3">
      <c r="A120" s="4" t="s">
        <v>417</v>
      </c>
      <c r="B120" s="4" t="s">
        <v>833</v>
      </c>
      <c r="C120" s="4">
        <v>1</v>
      </c>
      <c r="D120" s="4">
        <v>1</v>
      </c>
      <c r="E120" s="4">
        <v>0</v>
      </c>
      <c r="F120" s="4" t="s">
        <v>604</v>
      </c>
      <c r="G120" s="4" t="s">
        <v>834</v>
      </c>
      <c r="H120" s="4">
        <v>2</v>
      </c>
      <c r="I120" s="4" t="s">
        <v>96</v>
      </c>
      <c r="J120" s="4">
        <v>0</v>
      </c>
      <c r="K120" s="4"/>
      <c r="L120" s="4">
        <v>7</v>
      </c>
      <c r="M120" s="4">
        <v>0</v>
      </c>
      <c r="N120" s="4" t="s">
        <v>157</v>
      </c>
      <c r="O120" s="4">
        <v>30.5</v>
      </c>
      <c r="P120" s="4"/>
      <c r="Q120" s="4" t="s">
        <v>638</v>
      </c>
      <c r="R120" s="4" t="s">
        <v>604</v>
      </c>
    </row>
    <row r="121" spans="1:18" x14ac:dyDescent="0.3">
      <c r="A121" s="4" t="s">
        <v>421</v>
      </c>
      <c r="B121" s="4" t="s">
        <v>438</v>
      </c>
      <c r="C121" s="4">
        <v>0</v>
      </c>
      <c r="D121" s="4">
        <v>0</v>
      </c>
      <c r="E121" s="4">
        <v>0</v>
      </c>
      <c r="F121" s="4" t="s">
        <v>258</v>
      </c>
      <c r="G121" s="4" t="s">
        <v>438</v>
      </c>
      <c r="H121" s="4"/>
      <c r="I121" s="4"/>
      <c r="J121" s="4"/>
      <c r="K121" s="4"/>
      <c r="L121" s="4"/>
      <c r="M121" s="4">
        <v>0</v>
      </c>
      <c r="N121" s="4" t="s">
        <v>438</v>
      </c>
      <c r="O121" s="4"/>
      <c r="P121" s="4" t="s">
        <v>438</v>
      </c>
      <c r="Q121" s="4" t="s">
        <v>438</v>
      </c>
      <c r="R121" s="4" t="s">
        <v>438</v>
      </c>
    </row>
    <row r="122" spans="1:18" x14ac:dyDescent="0.3">
      <c r="A122" s="4" t="s">
        <v>427</v>
      </c>
      <c r="B122" s="4" t="s">
        <v>835</v>
      </c>
      <c r="C122" s="4">
        <v>1</v>
      </c>
      <c r="D122" s="4">
        <v>1</v>
      </c>
      <c r="E122" s="4">
        <v>0</v>
      </c>
      <c r="F122" s="4" t="s">
        <v>604</v>
      </c>
      <c r="G122" s="4" t="s">
        <v>836</v>
      </c>
      <c r="H122" s="4">
        <v>2</v>
      </c>
      <c r="I122" s="4" t="s">
        <v>96</v>
      </c>
      <c r="J122" s="4">
        <v>1</v>
      </c>
      <c r="K122" s="4">
        <v>1</v>
      </c>
      <c r="L122" s="4">
        <v>20</v>
      </c>
      <c r="M122" s="4">
        <v>1</v>
      </c>
      <c r="N122" s="4" t="s">
        <v>157</v>
      </c>
      <c r="O122" s="4">
        <v>30.5</v>
      </c>
      <c r="P122" s="4" t="s">
        <v>622</v>
      </c>
      <c r="Q122" s="4" t="s">
        <v>622</v>
      </c>
      <c r="R122" s="4" t="s">
        <v>604</v>
      </c>
    </row>
    <row r="123" spans="1:18" x14ac:dyDescent="0.3">
      <c r="A123" s="4" t="s">
        <v>432</v>
      </c>
      <c r="B123" s="4" t="s">
        <v>837</v>
      </c>
      <c r="C123" s="4">
        <v>1</v>
      </c>
      <c r="D123" s="4">
        <v>1</v>
      </c>
      <c r="E123" s="4">
        <v>0</v>
      </c>
      <c r="F123" s="4" t="s">
        <v>604</v>
      </c>
      <c r="G123" s="4" t="s">
        <v>838</v>
      </c>
      <c r="H123" s="4">
        <v>2</v>
      </c>
      <c r="I123" s="4" t="s">
        <v>96</v>
      </c>
      <c r="J123" s="4">
        <v>0</v>
      </c>
      <c r="K123" s="4">
        <v>0</v>
      </c>
      <c r="L123" s="4">
        <v>8</v>
      </c>
      <c r="M123" s="4">
        <v>0</v>
      </c>
      <c r="N123" s="4" t="s">
        <v>157</v>
      </c>
      <c r="O123" s="4">
        <v>30.5</v>
      </c>
      <c r="P123" s="4" t="s">
        <v>638</v>
      </c>
      <c r="Q123" s="4" t="s">
        <v>638</v>
      </c>
      <c r="R123" s="4" t="s">
        <v>604</v>
      </c>
    </row>
    <row r="124" spans="1:18" x14ac:dyDescent="0.3">
      <c r="A124" s="4" t="s">
        <v>432</v>
      </c>
      <c r="B124" s="4" t="s">
        <v>839</v>
      </c>
      <c r="C124" s="4">
        <v>1</v>
      </c>
      <c r="D124" s="4">
        <v>1</v>
      </c>
      <c r="E124" s="4">
        <v>0</v>
      </c>
      <c r="F124" s="4" t="s">
        <v>604</v>
      </c>
      <c r="G124" s="4" t="s">
        <v>820</v>
      </c>
      <c r="H124" s="4">
        <v>1</v>
      </c>
      <c r="I124" s="4" t="s">
        <v>143</v>
      </c>
      <c r="J124" s="4">
        <v>0</v>
      </c>
      <c r="K124" s="4">
        <v>0</v>
      </c>
      <c r="L124" s="4">
        <v>8</v>
      </c>
      <c r="M124" s="4">
        <v>0</v>
      </c>
      <c r="N124" s="4" t="s">
        <v>157</v>
      </c>
      <c r="O124" s="4">
        <v>30.5</v>
      </c>
      <c r="P124" s="4" t="s">
        <v>638</v>
      </c>
      <c r="Q124" s="4" t="s">
        <v>638</v>
      </c>
      <c r="R124" s="4" t="s">
        <v>604</v>
      </c>
    </row>
    <row r="125" spans="1:18" x14ac:dyDescent="0.3">
      <c r="A125" s="4" t="s">
        <v>435</v>
      </c>
      <c r="B125" s="4" t="s">
        <v>438</v>
      </c>
      <c r="C125" s="4">
        <v>0</v>
      </c>
      <c r="D125" s="4">
        <v>0</v>
      </c>
      <c r="E125" s="4">
        <v>0</v>
      </c>
      <c r="F125" s="4" t="s">
        <v>258</v>
      </c>
      <c r="G125" s="4" t="s">
        <v>438</v>
      </c>
      <c r="H125" s="4"/>
      <c r="I125" s="4"/>
      <c r="J125" s="4"/>
      <c r="K125" s="4"/>
      <c r="L125" s="4"/>
      <c r="M125" s="4">
        <v>0</v>
      </c>
      <c r="N125" s="4" t="s">
        <v>438</v>
      </c>
      <c r="O125" s="4"/>
      <c r="P125" s="4" t="s">
        <v>438</v>
      </c>
      <c r="Q125" s="4" t="s">
        <v>438</v>
      </c>
      <c r="R125" s="4" t="s">
        <v>438</v>
      </c>
    </row>
    <row r="126" spans="1:18" x14ac:dyDescent="0.3">
      <c r="A126" s="4" t="s">
        <v>439</v>
      </c>
      <c r="B126" s="4" t="s">
        <v>840</v>
      </c>
      <c r="C126" s="4">
        <v>1</v>
      </c>
      <c r="D126" s="4">
        <v>0</v>
      </c>
      <c r="E126" s="4">
        <v>1</v>
      </c>
      <c r="F126" s="4" t="s">
        <v>628</v>
      </c>
      <c r="G126" s="4" t="s">
        <v>841</v>
      </c>
      <c r="H126" s="4">
        <v>1</v>
      </c>
      <c r="I126" s="4" t="s">
        <v>143</v>
      </c>
      <c r="J126" s="4">
        <v>1</v>
      </c>
      <c r="K126" s="4">
        <v>1</v>
      </c>
      <c r="L126" s="4">
        <v>6</v>
      </c>
      <c r="M126" s="4">
        <v>1</v>
      </c>
      <c r="N126" s="4" t="s">
        <v>126</v>
      </c>
      <c r="O126" s="4">
        <v>125.5</v>
      </c>
      <c r="P126" s="4" t="s">
        <v>622</v>
      </c>
      <c r="Q126" s="4" t="s">
        <v>622</v>
      </c>
      <c r="R126" s="4" t="s">
        <v>628</v>
      </c>
    </row>
    <row r="127" spans="1:18" x14ac:dyDescent="0.3">
      <c r="A127" s="4" t="s">
        <v>439</v>
      </c>
      <c r="B127" s="4" t="s">
        <v>842</v>
      </c>
      <c r="C127" s="4">
        <v>1</v>
      </c>
      <c r="D127" s="4">
        <v>1</v>
      </c>
      <c r="E127" s="4">
        <v>0</v>
      </c>
      <c r="F127" s="4" t="s">
        <v>604</v>
      </c>
      <c r="G127" s="4" t="s">
        <v>843</v>
      </c>
      <c r="H127" s="4">
        <v>2</v>
      </c>
      <c r="I127" s="4" t="s">
        <v>96</v>
      </c>
      <c r="J127" s="4">
        <v>1</v>
      </c>
      <c r="K127" s="4">
        <v>1</v>
      </c>
      <c r="L127" s="4">
        <v>6</v>
      </c>
      <c r="M127" s="4">
        <v>1</v>
      </c>
      <c r="N127" s="4" t="s">
        <v>126</v>
      </c>
      <c r="O127" s="4">
        <v>125.5</v>
      </c>
      <c r="P127" s="4" t="s">
        <v>622</v>
      </c>
      <c r="Q127" s="4" t="s">
        <v>622</v>
      </c>
      <c r="R127" s="4" t="s">
        <v>604</v>
      </c>
    </row>
    <row r="128" spans="1:18" x14ac:dyDescent="0.3">
      <c r="A128" s="4" t="s">
        <v>439</v>
      </c>
      <c r="B128" s="4" t="s">
        <v>844</v>
      </c>
      <c r="C128" s="4">
        <v>1</v>
      </c>
      <c r="D128" s="4">
        <v>1</v>
      </c>
      <c r="E128" s="4">
        <v>0</v>
      </c>
      <c r="F128" s="4" t="s">
        <v>604</v>
      </c>
      <c r="G128" s="4" t="s">
        <v>845</v>
      </c>
      <c r="H128" s="4"/>
      <c r="I128" s="4"/>
      <c r="J128" s="4">
        <v>1</v>
      </c>
      <c r="K128" s="4">
        <v>1</v>
      </c>
      <c r="L128" s="4">
        <v>6</v>
      </c>
      <c r="M128" s="4">
        <v>0</v>
      </c>
      <c r="N128" s="4" t="s">
        <v>126</v>
      </c>
      <c r="O128" s="4">
        <v>125.5</v>
      </c>
      <c r="P128" s="4" t="s">
        <v>622</v>
      </c>
      <c r="Q128" s="4" t="s">
        <v>622</v>
      </c>
      <c r="R128" s="4" t="s">
        <v>604</v>
      </c>
    </row>
    <row r="129" spans="1:18" x14ac:dyDescent="0.3">
      <c r="A129" s="4" t="s">
        <v>445</v>
      </c>
      <c r="B129" s="4" t="s">
        <v>846</v>
      </c>
      <c r="C129" s="4">
        <v>1</v>
      </c>
      <c r="D129" s="4">
        <v>1</v>
      </c>
      <c r="E129" s="4">
        <v>0</v>
      </c>
      <c r="F129" s="4" t="s">
        <v>604</v>
      </c>
      <c r="G129" s="4" t="s">
        <v>847</v>
      </c>
      <c r="H129" s="4">
        <v>1</v>
      </c>
      <c r="I129" s="4" t="s">
        <v>143</v>
      </c>
      <c r="J129" s="4">
        <v>0</v>
      </c>
      <c r="K129" s="4">
        <v>1</v>
      </c>
      <c r="L129" s="4">
        <v>12</v>
      </c>
      <c r="M129" s="4">
        <v>0</v>
      </c>
      <c r="N129" s="4" t="s">
        <v>157</v>
      </c>
      <c r="O129" s="4">
        <v>30.5</v>
      </c>
      <c r="P129" s="4" t="s">
        <v>622</v>
      </c>
      <c r="Q129" s="4" t="s">
        <v>638</v>
      </c>
      <c r="R129" s="4" t="s">
        <v>604</v>
      </c>
    </row>
    <row r="130" spans="1:18" x14ac:dyDescent="0.3">
      <c r="A130" s="4" t="s">
        <v>450</v>
      </c>
      <c r="B130" s="4" t="s">
        <v>848</v>
      </c>
      <c r="C130" s="4">
        <v>1</v>
      </c>
      <c r="D130" s="4">
        <v>1</v>
      </c>
      <c r="E130" s="4">
        <v>0</v>
      </c>
      <c r="F130" s="4" t="s">
        <v>604</v>
      </c>
      <c r="G130" s="4" t="s">
        <v>849</v>
      </c>
      <c r="H130" s="4">
        <v>1</v>
      </c>
      <c r="I130" s="4" t="s">
        <v>143</v>
      </c>
      <c r="J130" s="4">
        <v>1</v>
      </c>
      <c r="K130" s="4">
        <v>1</v>
      </c>
      <c r="L130" s="4">
        <v>6</v>
      </c>
      <c r="M130" s="4">
        <v>1</v>
      </c>
      <c r="N130" s="4" t="s">
        <v>157</v>
      </c>
      <c r="O130" s="4">
        <v>30.5</v>
      </c>
      <c r="P130" s="4" t="s">
        <v>622</v>
      </c>
      <c r="Q130" s="4" t="s">
        <v>622</v>
      </c>
      <c r="R130" s="4" t="s">
        <v>604</v>
      </c>
    </row>
    <row r="131" spans="1:18" x14ac:dyDescent="0.3">
      <c r="A131" s="4" t="s">
        <v>455</v>
      </c>
      <c r="B131" s="4" t="s">
        <v>850</v>
      </c>
      <c r="C131" s="4">
        <v>1</v>
      </c>
      <c r="D131" s="4">
        <v>1</v>
      </c>
      <c r="E131" s="4">
        <v>0</v>
      </c>
      <c r="F131" s="4" t="s">
        <v>604</v>
      </c>
      <c r="G131" s="4" t="s">
        <v>820</v>
      </c>
      <c r="H131" s="4">
        <v>1</v>
      </c>
      <c r="I131" s="4" t="s">
        <v>143</v>
      </c>
      <c r="J131" s="4">
        <v>1</v>
      </c>
      <c r="K131" s="4">
        <v>1</v>
      </c>
      <c r="L131" s="4">
        <v>15</v>
      </c>
      <c r="M131" s="4">
        <v>1</v>
      </c>
      <c r="N131" s="4" t="s">
        <v>126</v>
      </c>
      <c r="O131" s="4">
        <v>125.5</v>
      </c>
      <c r="P131" s="4" t="s">
        <v>622</v>
      </c>
      <c r="Q131" s="4" t="s">
        <v>622</v>
      </c>
      <c r="R131" s="4" t="s">
        <v>604</v>
      </c>
    </row>
    <row r="132" spans="1:18" x14ac:dyDescent="0.3">
      <c r="A132" s="4" t="s">
        <v>455</v>
      </c>
      <c r="B132" s="4" t="s">
        <v>851</v>
      </c>
      <c r="C132" s="4">
        <v>1</v>
      </c>
      <c r="D132" s="4">
        <v>1</v>
      </c>
      <c r="E132" s="4">
        <v>0</v>
      </c>
      <c r="F132" s="4" t="s">
        <v>604</v>
      </c>
      <c r="G132" s="4" t="s">
        <v>852</v>
      </c>
      <c r="H132" s="4">
        <v>2</v>
      </c>
      <c r="I132" s="4" t="s">
        <v>96</v>
      </c>
      <c r="J132" s="4">
        <v>1</v>
      </c>
      <c r="K132" s="4">
        <v>1</v>
      </c>
      <c r="L132" s="4">
        <v>15</v>
      </c>
      <c r="M132" s="4">
        <v>1</v>
      </c>
      <c r="N132" s="4" t="s">
        <v>126</v>
      </c>
      <c r="O132" s="4">
        <v>125.5</v>
      </c>
      <c r="P132" s="4" t="s">
        <v>622</v>
      </c>
      <c r="Q132" s="4" t="s">
        <v>622</v>
      </c>
      <c r="R132" s="4" t="s">
        <v>604</v>
      </c>
    </row>
    <row r="133" spans="1:18" x14ac:dyDescent="0.3">
      <c r="A133" s="4" t="s">
        <v>455</v>
      </c>
      <c r="B133" s="4" t="s">
        <v>853</v>
      </c>
      <c r="C133" s="4">
        <v>1</v>
      </c>
      <c r="D133" s="4">
        <v>0</v>
      </c>
      <c r="E133" s="4">
        <v>1</v>
      </c>
      <c r="F133" s="4" t="s">
        <v>628</v>
      </c>
      <c r="G133" s="4" t="s">
        <v>820</v>
      </c>
      <c r="H133" s="4">
        <v>1</v>
      </c>
      <c r="I133" s="4" t="s">
        <v>143</v>
      </c>
      <c r="J133" s="4">
        <v>0</v>
      </c>
      <c r="K133" s="4">
        <v>1</v>
      </c>
      <c r="L133" s="4">
        <v>10</v>
      </c>
      <c r="M133" s="4">
        <v>1</v>
      </c>
      <c r="N133" s="4" t="s">
        <v>126</v>
      </c>
      <c r="O133" s="4">
        <v>125.5</v>
      </c>
      <c r="P133" s="4" t="s">
        <v>622</v>
      </c>
      <c r="Q133" s="4" t="s">
        <v>638</v>
      </c>
      <c r="R133" s="4" t="s">
        <v>628</v>
      </c>
    </row>
    <row r="134" spans="1:18" x14ac:dyDescent="0.3">
      <c r="A134" s="4" t="s">
        <v>455</v>
      </c>
      <c r="B134" s="4" t="s">
        <v>854</v>
      </c>
      <c r="C134" s="4">
        <v>1</v>
      </c>
      <c r="D134" s="4">
        <v>1</v>
      </c>
      <c r="E134" s="4">
        <v>0</v>
      </c>
      <c r="F134" s="4" t="s">
        <v>604</v>
      </c>
      <c r="G134" s="4" t="s">
        <v>820</v>
      </c>
      <c r="H134" s="4">
        <v>1</v>
      </c>
      <c r="I134" s="4" t="s">
        <v>143</v>
      </c>
      <c r="J134" s="4">
        <v>0</v>
      </c>
      <c r="K134" s="4">
        <v>1</v>
      </c>
      <c r="L134" s="4">
        <v>8</v>
      </c>
      <c r="M134" s="4">
        <v>1</v>
      </c>
      <c r="N134" s="4" t="s">
        <v>126</v>
      </c>
      <c r="O134" s="4">
        <v>125.5</v>
      </c>
      <c r="P134" s="4" t="s">
        <v>622</v>
      </c>
      <c r="Q134" s="4" t="s">
        <v>638</v>
      </c>
      <c r="R134" s="4" t="s">
        <v>604</v>
      </c>
    </row>
    <row r="135" spans="1:18" x14ac:dyDescent="0.3">
      <c r="A135" s="4" t="s">
        <v>461</v>
      </c>
      <c r="B135" s="4" t="s">
        <v>855</v>
      </c>
      <c r="C135" s="4">
        <v>2</v>
      </c>
      <c r="D135" s="4">
        <v>2</v>
      </c>
      <c r="E135" s="4">
        <v>0</v>
      </c>
      <c r="F135" s="4" t="s">
        <v>604</v>
      </c>
      <c r="G135" s="4" t="s">
        <v>856</v>
      </c>
      <c r="H135" s="4">
        <v>2</v>
      </c>
      <c r="I135" s="4" t="s">
        <v>96</v>
      </c>
      <c r="J135" s="4">
        <v>1</v>
      </c>
      <c r="K135" s="4"/>
      <c r="L135" s="4">
        <v>11</v>
      </c>
      <c r="M135" s="4">
        <v>0</v>
      </c>
      <c r="N135" s="4" t="s">
        <v>857</v>
      </c>
      <c r="O135" s="4">
        <v>30.5</v>
      </c>
      <c r="P135" s="4"/>
      <c r="Q135" s="4" t="s">
        <v>622</v>
      </c>
      <c r="R135" s="4" t="s">
        <v>858</v>
      </c>
    </row>
    <row r="136" spans="1:18" x14ac:dyDescent="0.3">
      <c r="A136" s="4" t="s">
        <v>467</v>
      </c>
      <c r="B136" s="4" t="s">
        <v>859</v>
      </c>
      <c r="C136" s="4">
        <v>2</v>
      </c>
      <c r="D136" s="4">
        <v>2</v>
      </c>
      <c r="E136" s="4">
        <v>0</v>
      </c>
      <c r="F136" s="4" t="s">
        <v>604</v>
      </c>
      <c r="G136" s="4" t="s">
        <v>860</v>
      </c>
      <c r="H136" s="4">
        <v>2</v>
      </c>
      <c r="I136" s="4" t="s">
        <v>96</v>
      </c>
      <c r="J136" s="4"/>
      <c r="K136" s="4"/>
      <c r="L136" s="4">
        <v>23</v>
      </c>
      <c r="M136" s="4">
        <v>0</v>
      </c>
      <c r="N136" s="4" t="s">
        <v>857</v>
      </c>
      <c r="O136" s="4">
        <v>30.5</v>
      </c>
      <c r="P136" s="4"/>
      <c r="Q136" s="4"/>
      <c r="R136" s="4" t="s">
        <v>858</v>
      </c>
    </row>
    <row r="137" spans="1:18" x14ac:dyDescent="0.3">
      <c r="A137" s="4" t="s">
        <v>472</v>
      </c>
      <c r="B137" s="4" t="s">
        <v>861</v>
      </c>
      <c r="C137" s="4">
        <v>1</v>
      </c>
      <c r="D137" s="4">
        <v>1</v>
      </c>
      <c r="E137" s="4">
        <v>0</v>
      </c>
      <c r="F137" s="4" t="s">
        <v>604</v>
      </c>
      <c r="G137" s="4" t="s">
        <v>862</v>
      </c>
      <c r="H137" s="4">
        <v>1</v>
      </c>
      <c r="I137" s="4" t="s">
        <v>143</v>
      </c>
      <c r="J137" s="4"/>
      <c r="K137" s="4">
        <v>1</v>
      </c>
      <c r="L137" s="4">
        <v>11</v>
      </c>
      <c r="M137" s="4">
        <v>0</v>
      </c>
      <c r="N137" s="4" t="s">
        <v>863</v>
      </c>
      <c r="O137" s="4">
        <v>350.5</v>
      </c>
      <c r="P137" s="4" t="s">
        <v>864</v>
      </c>
      <c r="Q137" s="4"/>
      <c r="R137" s="4" t="s">
        <v>865</v>
      </c>
    </row>
    <row r="138" spans="1:18" x14ac:dyDescent="0.3">
      <c r="A138" s="4" t="s">
        <v>477</v>
      </c>
      <c r="B138" s="4" t="s">
        <v>866</v>
      </c>
      <c r="C138" s="4">
        <v>2</v>
      </c>
      <c r="D138" s="4">
        <v>0</v>
      </c>
      <c r="E138" s="4">
        <v>2</v>
      </c>
      <c r="F138" s="4" t="s">
        <v>628</v>
      </c>
      <c r="G138" s="4" t="s">
        <v>867</v>
      </c>
      <c r="H138" s="4">
        <v>2</v>
      </c>
      <c r="I138" s="4" t="s">
        <v>96</v>
      </c>
      <c r="J138" s="4">
        <v>1</v>
      </c>
      <c r="K138" s="4"/>
      <c r="L138" s="4">
        <v>8</v>
      </c>
      <c r="M138" s="4">
        <v>0</v>
      </c>
      <c r="N138" s="4" t="s">
        <v>857</v>
      </c>
      <c r="O138" s="4">
        <v>30.5</v>
      </c>
      <c r="P138" s="4"/>
      <c r="Q138" s="4" t="s">
        <v>868</v>
      </c>
      <c r="R138" s="4" t="s">
        <v>869</v>
      </c>
    </row>
    <row r="139" spans="1:18" x14ac:dyDescent="0.3">
      <c r="A139" s="4" t="s">
        <v>483</v>
      </c>
      <c r="B139" s="4" t="s">
        <v>855</v>
      </c>
      <c r="C139" s="4">
        <v>2</v>
      </c>
      <c r="D139" s="4">
        <v>2</v>
      </c>
      <c r="E139" s="4">
        <v>0</v>
      </c>
      <c r="F139" s="4" t="s">
        <v>604</v>
      </c>
      <c r="G139" s="4" t="s">
        <v>856</v>
      </c>
      <c r="H139" s="4">
        <v>2</v>
      </c>
      <c r="I139" s="4" t="s">
        <v>96</v>
      </c>
      <c r="J139" s="4">
        <v>1</v>
      </c>
      <c r="K139" s="4">
        <v>1</v>
      </c>
      <c r="L139" s="4">
        <v>11</v>
      </c>
      <c r="M139" s="4">
        <v>0</v>
      </c>
      <c r="N139" s="4" t="s">
        <v>857</v>
      </c>
      <c r="O139" s="4">
        <v>30.5</v>
      </c>
      <c r="P139" s="4" t="s">
        <v>870</v>
      </c>
      <c r="Q139" s="4" t="s">
        <v>868</v>
      </c>
      <c r="R139" s="4" t="s">
        <v>871</v>
      </c>
    </row>
    <row r="140" spans="1:18" x14ac:dyDescent="0.3">
      <c r="A140" s="4" t="s">
        <v>487</v>
      </c>
      <c r="B140" s="4" t="s">
        <v>872</v>
      </c>
      <c r="C140" s="4">
        <v>2</v>
      </c>
      <c r="D140" s="4">
        <v>2</v>
      </c>
      <c r="E140" s="4">
        <v>0</v>
      </c>
      <c r="F140" s="4" t="s">
        <v>604</v>
      </c>
      <c r="G140" s="4" t="s">
        <v>860</v>
      </c>
      <c r="H140" s="4">
        <v>2</v>
      </c>
      <c r="I140" s="4" t="s">
        <v>96</v>
      </c>
      <c r="J140" s="4"/>
      <c r="K140" s="4"/>
      <c r="L140" s="4">
        <v>25</v>
      </c>
      <c r="M140" s="4">
        <v>0</v>
      </c>
      <c r="N140" s="4" t="s">
        <v>857</v>
      </c>
      <c r="O140" s="4">
        <v>30.5</v>
      </c>
      <c r="P140" s="4"/>
      <c r="Q140" s="4"/>
      <c r="R140" s="4" t="s">
        <v>871</v>
      </c>
    </row>
    <row r="141" spans="1:18" x14ac:dyDescent="0.3">
      <c r="A141" s="4" t="s">
        <v>492</v>
      </c>
      <c r="B141" s="4" t="s">
        <v>873</v>
      </c>
      <c r="C141" s="4">
        <v>1</v>
      </c>
      <c r="D141" s="4">
        <v>1</v>
      </c>
      <c r="E141" s="4">
        <v>0</v>
      </c>
      <c r="F141" s="4" t="s">
        <v>604</v>
      </c>
      <c r="G141" s="4" t="s">
        <v>874</v>
      </c>
      <c r="H141" s="4">
        <v>1</v>
      </c>
      <c r="I141" s="4" t="s">
        <v>143</v>
      </c>
      <c r="J141" s="4">
        <v>1</v>
      </c>
      <c r="K141" s="4"/>
      <c r="L141" s="4">
        <v>12</v>
      </c>
      <c r="M141" s="4">
        <v>0</v>
      </c>
      <c r="N141" s="4" t="s">
        <v>857</v>
      </c>
      <c r="O141" s="4">
        <v>30.5</v>
      </c>
      <c r="P141" s="4"/>
      <c r="Q141" s="4" t="s">
        <v>868</v>
      </c>
      <c r="R141" s="4" t="s">
        <v>875</v>
      </c>
    </row>
    <row r="142" spans="1:18" x14ac:dyDescent="0.3">
      <c r="A142" s="4" t="s">
        <v>497</v>
      </c>
      <c r="B142" s="4" t="s">
        <v>876</v>
      </c>
      <c r="C142" s="4">
        <v>1</v>
      </c>
      <c r="D142" s="4">
        <v>1</v>
      </c>
      <c r="E142" s="4">
        <v>0</v>
      </c>
      <c r="F142" s="4" t="s">
        <v>604</v>
      </c>
      <c r="G142" s="4" t="s">
        <v>877</v>
      </c>
      <c r="H142" s="4">
        <v>2</v>
      </c>
      <c r="I142" s="4" t="s">
        <v>96</v>
      </c>
      <c r="J142" s="4"/>
      <c r="K142" s="4"/>
      <c r="L142" s="4">
        <v>12</v>
      </c>
      <c r="M142" s="4">
        <v>0</v>
      </c>
      <c r="N142" s="4" t="s">
        <v>878</v>
      </c>
      <c r="O142" s="4">
        <v>125.5</v>
      </c>
      <c r="P142" s="4"/>
      <c r="Q142" s="4"/>
      <c r="R142" s="4" t="s">
        <v>875</v>
      </c>
    </row>
    <row r="143" spans="1:18" x14ac:dyDescent="0.3">
      <c r="A143" s="4" t="s">
        <v>501</v>
      </c>
      <c r="B143" s="4" t="s">
        <v>879</v>
      </c>
      <c r="C143" s="4">
        <v>2</v>
      </c>
      <c r="D143" s="4">
        <v>2</v>
      </c>
      <c r="E143" s="4">
        <v>0</v>
      </c>
      <c r="F143" s="4" t="s">
        <v>604</v>
      </c>
      <c r="G143" s="4" t="s">
        <v>880</v>
      </c>
      <c r="H143" s="4">
        <v>2</v>
      </c>
      <c r="I143" s="4" t="s">
        <v>96</v>
      </c>
      <c r="J143" s="4">
        <v>1</v>
      </c>
      <c r="K143" s="4"/>
      <c r="L143" s="4">
        <v>12</v>
      </c>
      <c r="M143" s="4">
        <v>0</v>
      </c>
      <c r="N143" s="4" t="s">
        <v>878</v>
      </c>
      <c r="O143" s="4">
        <v>125.5</v>
      </c>
      <c r="P143" s="4"/>
      <c r="Q143" s="4" t="s">
        <v>868</v>
      </c>
      <c r="R143" s="4" t="s">
        <v>871</v>
      </c>
    </row>
    <row r="144" spans="1:18" x14ac:dyDescent="0.3">
      <c r="A144" s="4" t="s">
        <v>504</v>
      </c>
      <c r="B144" s="4" t="s">
        <v>881</v>
      </c>
      <c r="C144" s="4">
        <v>3</v>
      </c>
      <c r="D144" s="4">
        <v>3</v>
      </c>
      <c r="E144" s="4">
        <v>0</v>
      </c>
      <c r="F144" s="4" t="s">
        <v>604</v>
      </c>
      <c r="G144" s="4" t="s">
        <v>882</v>
      </c>
      <c r="H144" s="4">
        <v>3</v>
      </c>
      <c r="I144" s="4" t="s">
        <v>116</v>
      </c>
      <c r="J144" s="4"/>
      <c r="K144" s="4"/>
      <c r="L144" s="4">
        <v>15</v>
      </c>
      <c r="M144" s="4">
        <v>0</v>
      </c>
      <c r="N144" s="4" t="s">
        <v>883</v>
      </c>
      <c r="O144" s="4">
        <v>54</v>
      </c>
      <c r="P144" s="4"/>
      <c r="Q144" s="4"/>
      <c r="R144" s="4" t="s">
        <v>884</v>
      </c>
    </row>
    <row r="145" spans="1:18" x14ac:dyDescent="0.3">
      <c r="A145" s="4" t="s">
        <v>509</v>
      </c>
      <c r="B145" s="4" t="s">
        <v>885</v>
      </c>
      <c r="C145" s="4">
        <v>2</v>
      </c>
      <c r="D145" s="4">
        <v>2</v>
      </c>
      <c r="E145" s="4">
        <v>0</v>
      </c>
      <c r="F145" s="4" t="s">
        <v>604</v>
      </c>
      <c r="G145" s="4" t="s">
        <v>886</v>
      </c>
      <c r="H145" s="4">
        <v>1</v>
      </c>
      <c r="I145" s="4" t="s">
        <v>143</v>
      </c>
      <c r="J145" s="4"/>
      <c r="K145" s="4"/>
      <c r="L145" s="4">
        <v>18</v>
      </c>
      <c r="M145" s="4">
        <v>0</v>
      </c>
      <c r="N145" s="4" t="s">
        <v>863</v>
      </c>
      <c r="O145" s="4">
        <v>350.5</v>
      </c>
      <c r="P145" s="4"/>
      <c r="Q145" s="4"/>
      <c r="R145" s="4" t="s">
        <v>884</v>
      </c>
    </row>
    <row r="146" spans="1:18" x14ac:dyDescent="0.3">
      <c r="A146" s="4" t="s">
        <v>515</v>
      </c>
      <c r="B146" s="4" t="s">
        <v>887</v>
      </c>
      <c r="C146" s="4">
        <v>1</v>
      </c>
      <c r="D146" s="4">
        <v>1</v>
      </c>
      <c r="E146" s="4">
        <v>0</v>
      </c>
      <c r="F146" s="4" t="s">
        <v>604</v>
      </c>
      <c r="G146" s="4" t="s">
        <v>888</v>
      </c>
      <c r="H146" s="4">
        <v>1</v>
      </c>
      <c r="I146" s="4" t="s">
        <v>143</v>
      </c>
      <c r="J146" s="4"/>
      <c r="K146" s="4"/>
      <c r="L146" s="4">
        <v>19</v>
      </c>
      <c r="M146" s="4">
        <v>0</v>
      </c>
      <c r="N146" s="4" t="s">
        <v>878</v>
      </c>
      <c r="O146" s="4">
        <v>125.5</v>
      </c>
      <c r="P146" s="4"/>
      <c r="Q146" s="4"/>
      <c r="R146" s="4" t="s">
        <v>875</v>
      </c>
    </row>
    <row r="147" spans="1:18" x14ac:dyDescent="0.3">
      <c r="A147" s="4" t="s">
        <v>520</v>
      </c>
      <c r="B147" s="4" t="s">
        <v>889</v>
      </c>
      <c r="C147" s="4">
        <v>1</v>
      </c>
      <c r="D147" s="4">
        <v>1</v>
      </c>
      <c r="E147" s="4">
        <v>0</v>
      </c>
      <c r="F147" s="4" t="s">
        <v>604</v>
      </c>
      <c r="G147" s="4" t="s">
        <v>860</v>
      </c>
      <c r="H147" s="4">
        <v>2</v>
      </c>
      <c r="I147" s="4" t="s">
        <v>96</v>
      </c>
      <c r="J147" s="4"/>
      <c r="K147" s="4"/>
      <c r="L147" s="4">
        <v>26</v>
      </c>
      <c r="M147" s="4">
        <v>0</v>
      </c>
      <c r="N147" s="4" t="s">
        <v>863</v>
      </c>
      <c r="O147" s="4">
        <v>350.5</v>
      </c>
      <c r="P147" s="4"/>
      <c r="Q147" s="4"/>
      <c r="R147" s="4" t="s">
        <v>875</v>
      </c>
    </row>
    <row r="148" spans="1:18" x14ac:dyDescent="0.3">
      <c r="A148" s="4" t="s">
        <v>526</v>
      </c>
      <c r="B148" s="4" t="s">
        <v>890</v>
      </c>
      <c r="C148" s="4">
        <v>2</v>
      </c>
      <c r="D148" s="4">
        <v>1</v>
      </c>
      <c r="E148" s="4">
        <v>1</v>
      </c>
      <c r="F148" s="4" t="s">
        <v>891</v>
      </c>
      <c r="G148" s="4" t="s">
        <v>892</v>
      </c>
      <c r="H148" s="4">
        <v>1</v>
      </c>
      <c r="I148" s="4" t="s">
        <v>143</v>
      </c>
      <c r="J148" s="4"/>
      <c r="K148" s="4"/>
      <c r="L148" s="4">
        <v>6</v>
      </c>
      <c r="M148" s="4">
        <v>0</v>
      </c>
      <c r="N148" s="4" t="s">
        <v>893</v>
      </c>
      <c r="O148" s="4">
        <v>5.5</v>
      </c>
      <c r="P148" s="4"/>
      <c r="Q148" s="4"/>
      <c r="R148" s="4" t="s">
        <v>894</v>
      </c>
    </row>
    <row r="149" spans="1:18" x14ac:dyDescent="0.3">
      <c r="A149" s="4" t="s">
        <v>531</v>
      </c>
      <c r="B149" s="4" t="s">
        <v>895</v>
      </c>
      <c r="C149" s="4">
        <v>2</v>
      </c>
      <c r="D149" s="4">
        <v>2</v>
      </c>
      <c r="E149" s="4">
        <v>0</v>
      </c>
      <c r="F149" s="4" t="s">
        <v>604</v>
      </c>
      <c r="G149" s="4" t="s">
        <v>896</v>
      </c>
      <c r="H149" s="4">
        <v>1</v>
      </c>
      <c r="I149" s="4" t="s">
        <v>143</v>
      </c>
      <c r="J149" s="4">
        <v>1</v>
      </c>
      <c r="K149" s="4"/>
      <c r="L149" s="4">
        <v>15</v>
      </c>
      <c r="M149" s="4">
        <v>0</v>
      </c>
      <c r="N149" s="4" t="s">
        <v>863</v>
      </c>
      <c r="O149" s="4">
        <v>350.5</v>
      </c>
      <c r="P149" s="4"/>
      <c r="Q149" s="4" t="s">
        <v>868</v>
      </c>
      <c r="R149" s="4" t="s">
        <v>884</v>
      </c>
    </row>
    <row r="150" spans="1:18" x14ac:dyDescent="0.3">
      <c r="A150" s="4" t="s">
        <v>533</v>
      </c>
      <c r="B150" s="4" t="s">
        <v>895</v>
      </c>
      <c r="C150" s="4">
        <v>2</v>
      </c>
      <c r="D150" s="4">
        <v>1</v>
      </c>
      <c r="E150" s="4">
        <v>0</v>
      </c>
      <c r="F150" s="4" t="s">
        <v>604</v>
      </c>
      <c r="G150" s="4" t="s">
        <v>896</v>
      </c>
      <c r="H150" s="4">
        <v>1</v>
      </c>
      <c r="I150" s="4" t="s">
        <v>143</v>
      </c>
      <c r="J150" s="4">
        <v>1</v>
      </c>
      <c r="K150" s="4"/>
      <c r="L150" s="4">
        <v>15</v>
      </c>
      <c r="M150" s="4">
        <v>0</v>
      </c>
      <c r="N150" s="4" t="s">
        <v>863</v>
      </c>
      <c r="O150" s="4">
        <v>350.5</v>
      </c>
      <c r="P150" s="4"/>
      <c r="Q150" s="4" t="s">
        <v>868</v>
      </c>
      <c r="R150" s="4" t="s">
        <v>875</v>
      </c>
    </row>
    <row r="151" spans="1:18" x14ac:dyDescent="0.3">
      <c r="A151" s="4" t="s">
        <v>540</v>
      </c>
      <c r="B151" s="4" t="s">
        <v>897</v>
      </c>
      <c r="C151" s="4">
        <v>1</v>
      </c>
      <c r="D151" s="4">
        <v>1</v>
      </c>
      <c r="E151" s="4">
        <v>0</v>
      </c>
      <c r="F151" s="4" t="s">
        <v>604</v>
      </c>
      <c r="G151" s="4" t="s">
        <v>860</v>
      </c>
      <c r="H151" s="4">
        <v>2</v>
      </c>
      <c r="I151" s="4" t="s">
        <v>96</v>
      </c>
      <c r="J151" s="4"/>
      <c r="K151" s="4"/>
      <c r="L151" s="4">
        <v>35</v>
      </c>
      <c r="M151" s="4">
        <v>0</v>
      </c>
      <c r="N151" s="4" t="s">
        <v>898</v>
      </c>
      <c r="O151" s="4">
        <v>2500</v>
      </c>
      <c r="P151" s="4"/>
      <c r="Q151" s="4"/>
      <c r="R151" s="4" t="s">
        <v>875</v>
      </c>
    </row>
    <row r="152" spans="1:18" x14ac:dyDescent="0.3">
      <c r="A152" s="4" t="s">
        <v>545</v>
      </c>
      <c r="B152" s="4" t="s">
        <v>899</v>
      </c>
      <c r="C152" s="4">
        <v>1</v>
      </c>
      <c r="D152" s="4">
        <v>1</v>
      </c>
      <c r="E152" s="4">
        <v>0</v>
      </c>
      <c r="F152" s="4" t="s">
        <v>604</v>
      </c>
      <c r="G152" s="4" t="s">
        <v>900</v>
      </c>
      <c r="H152" s="4">
        <v>1</v>
      </c>
      <c r="I152" s="4" t="s">
        <v>143</v>
      </c>
      <c r="J152" s="4"/>
      <c r="K152" s="4"/>
      <c r="L152" s="4">
        <v>4</v>
      </c>
      <c r="M152" s="4">
        <v>0</v>
      </c>
      <c r="N152" s="4" t="s">
        <v>857</v>
      </c>
      <c r="O152" s="4">
        <v>30.5</v>
      </c>
      <c r="P152" s="4"/>
      <c r="Q152" s="4"/>
      <c r="R152" s="4" t="s">
        <v>875</v>
      </c>
    </row>
    <row r="153" spans="1:18" x14ac:dyDescent="0.3">
      <c r="A153" s="4" t="s">
        <v>550</v>
      </c>
      <c r="B153" s="4" t="s">
        <v>901</v>
      </c>
      <c r="C153" s="4">
        <v>2</v>
      </c>
      <c r="D153" s="4">
        <v>2</v>
      </c>
      <c r="E153" s="4">
        <v>0</v>
      </c>
      <c r="F153" s="4" t="s">
        <v>604</v>
      </c>
      <c r="G153" s="4" t="s">
        <v>902</v>
      </c>
      <c r="H153" s="4">
        <v>1</v>
      </c>
      <c r="I153" s="4" t="s">
        <v>143</v>
      </c>
      <c r="J153" s="4">
        <v>1</v>
      </c>
      <c r="K153" s="4"/>
      <c r="L153" s="4">
        <v>6</v>
      </c>
      <c r="M153" s="4">
        <v>0</v>
      </c>
      <c r="N153" s="4" t="s">
        <v>857</v>
      </c>
      <c r="O153" s="4">
        <v>30.5</v>
      </c>
      <c r="P153" s="4"/>
      <c r="Q153" s="4" t="s">
        <v>868</v>
      </c>
      <c r="R153" s="4" t="s">
        <v>884</v>
      </c>
    </row>
    <row r="154" spans="1:18" x14ac:dyDescent="0.3">
      <c r="A154" s="4" t="s">
        <v>554</v>
      </c>
      <c r="B154" s="4" t="s">
        <v>903</v>
      </c>
      <c r="C154" s="4">
        <v>1</v>
      </c>
      <c r="D154" s="4">
        <v>1</v>
      </c>
      <c r="E154" s="4">
        <v>0</v>
      </c>
      <c r="F154" s="4" t="s">
        <v>604</v>
      </c>
      <c r="G154" s="4" t="s">
        <v>904</v>
      </c>
      <c r="H154" s="4">
        <v>2</v>
      </c>
      <c r="I154" s="4" t="s">
        <v>96</v>
      </c>
      <c r="J154" s="4">
        <v>1</v>
      </c>
      <c r="K154" s="4"/>
      <c r="L154" s="4">
        <v>30</v>
      </c>
      <c r="M154" s="4">
        <v>1</v>
      </c>
      <c r="N154" s="4" t="s">
        <v>878</v>
      </c>
      <c r="O154" s="4">
        <v>125.5</v>
      </c>
      <c r="P154" s="4"/>
      <c r="Q154" s="4" t="s">
        <v>868</v>
      </c>
      <c r="R154" s="4" t="s">
        <v>875</v>
      </c>
    </row>
    <row r="155" spans="1:18" x14ac:dyDescent="0.3">
      <c r="A155" s="4" t="s">
        <v>121</v>
      </c>
      <c r="B155" s="4" t="s">
        <v>905</v>
      </c>
      <c r="C155" s="4">
        <v>1</v>
      </c>
      <c r="D155" s="4">
        <v>0</v>
      </c>
      <c r="E155" s="4">
        <v>0</v>
      </c>
      <c r="F155" s="4" t="s">
        <v>258</v>
      </c>
      <c r="G155" s="4"/>
      <c r="H155" s="4"/>
      <c r="I155" s="4"/>
      <c r="J155" s="4"/>
      <c r="K155" s="4"/>
      <c r="L155" s="4"/>
      <c r="M155" s="4">
        <v>0</v>
      </c>
      <c r="N155" s="4" t="s">
        <v>906</v>
      </c>
      <c r="O155" s="4"/>
      <c r="P155" s="4"/>
      <c r="Q155" s="4"/>
      <c r="R155" s="4"/>
    </row>
    <row r="156" spans="1:18" x14ac:dyDescent="0.3">
      <c r="A156" s="4" t="s">
        <v>164</v>
      </c>
      <c r="B156" s="4" t="s">
        <v>907</v>
      </c>
      <c r="C156" s="4">
        <v>2</v>
      </c>
      <c r="D156" s="4">
        <v>0</v>
      </c>
      <c r="E156" s="4">
        <v>0</v>
      </c>
      <c r="F156" s="4" t="s">
        <v>258</v>
      </c>
      <c r="G156" s="4"/>
      <c r="H156" s="4"/>
      <c r="I156" s="4"/>
      <c r="J156" s="4"/>
      <c r="K156" s="4"/>
      <c r="L156" s="4"/>
      <c r="M156" s="4">
        <v>0</v>
      </c>
      <c r="N156" s="4"/>
      <c r="O156" s="4"/>
      <c r="P156" s="4"/>
      <c r="Q156" s="4"/>
      <c r="R156" s="4"/>
    </row>
    <row r="157" spans="1:18" x14ac:dyDescent="0.3">
      <c r="A157" s="4" t="s">
        <v>220</v>
      </c>
      <c r="B157" s="4" t="s">
        <v>908</v>
      </c>
      <c r="C157" s="4">
        <v>1</v>
      </c>
      <c r="D157" s="4">
        <v>1</v>
      </c>
      <c r="E157" s="4">
        <v>0</v>
      </c>
      <c r="F157" s="4" t="s">
        <v>604</v>
      </c>
      <c r="G157" s="4"/>
      <c r="H157" s="4"/>
      <c r="I157" s="4"/>
      <c r="J157" s="4"/>
      <c r="K157" s="4">
        <v>0</v>
      </c>
      <c r="L157" s="4"/>
      <c r="M157" s="4">
        <v>0</v>
      </c>
      <c r="N157" s="4"/>
      <c r="O157" s="4"/>
      <c r="P157" s="4" t="s">
        <v>638</v>
      </c>
      <c r="Q157" s="4"/>
      <c r="R157" s="4" t="s">
        <v>604</v>
      </c>
    </row>
    <row r="158" spans="1:18" x14ac:dyDescent="0.3">
      <c r="A158" s="4" t="s">
        <v>220</v>
      </c>
      <c r="B158" s="4" t="s">
        <v>909</v>
      </c>
      <c r="C158" s="4">
        <v>1</v>
      </c>
      <c r="D158" s="4">
        <v>1</v>
      </c>
      <c r="E158" s="4">
        <v>0</v>
      </c>
      <c r="F158" s="4" t="s">
        <v>604</v>
      </c>
      <c r="G158" s="4"/>
      <c r="H158" s="4"/>
      <c r="I158" s="4"/>
      <c r="J158" s="4"/>
      <c r="K158" s="4">
        <v>0</v>
      </c>
      <c r="L158" s="4"/>
      <c r="M158" s="4">
        <v>0</v>
      </c>
      <c r="N158" s="4"/>
      <c r="O158" s="4"/>
      <c r="P158" s="4" t="s">
        <v>638</v>
      </c>
      <c r="Q158" s="4"/>
      <c r="R158" s="4" t="s">
        <v>604</v>
      </c>
    </row>
    <row r="159" spans="1:18" x14ac:dyDescent="0.3">
      <c r="A159" s="4" t="s">
        <v>220</v>
      </c>
      <c r="B159" s="4" t="s">
        <v>910</v>
      </c>
      <c r="C159" s="4">
        <v>1</v>
      </c>
      <c r="D159" s="4">
        <v>1</v>
      </c>
      <c r="E159" s="4">
        <v>0</v>
      </c>
      <c r="F159" s="4" t="s">
        <v>604</v>
      </c>
      <c r="G159" s="4"/>
      <c r="H159" s="4"/>
      <c r="I159" s="4"/>
      <c r="J159" s="4"/>
      <c r="K159" s="4">
        <v>0</v>
      </c>
      <c r="L159" s="4"/>
      <c r="M159" s="4">
        <v>0</v>
      </c>
      <c r="N159" s="4"/>
      <c r="O159" s="4"/>
      <c r="P159" s="4" t="s">
        <v>638</v>
      </c>
      <c r="Q159" s="4"/>
      <c r="R159" s="4" t="s">
        <v>604</v>
      </c>
    </row>
  </sheetData>
  <autoFilter ref="A1:R159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50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6" customWidth="1"/>
    <col min="2" max="2" width="34" customWidth="1"/>
    <col min="3" max="3" width="20" customWidth="1"/>
    <col min="4" max="4" width="18" customWidth="1"/>
    <col min="5" max="23" width="16" customWidth="1"/>
    <col min="24" max="25" width="24" customWidth="1"/>
    <col min="26" max="26" width="60" customWidth="1"/>
  </cols>
  <sheetData>
    <row r="1" spans="1:26" ht="42" customHeight="1" x14ac:dyDescent="0.3">
      <c r="A1" s="1" t="s">
        <v>0</v>
      </c>
      <c r="B1" s="1" t="s">
        <v>911</v>
      </c>
      <c r="C1" s="1" t="s">
        <v>912</v>
      </c>
      <c r="D1" s="2" t="s">
        <v>913</v>
      </c>
      <c r="E1" s="2" t="s">
        <v>914</v>
      </c>
      <c r="F1" s="2" t="s">
        <v>915</v>
      </c>
      <c r="G1" s="2" t="s">
        <v>916</v>
      </c>
      <c r="H1" s="2" t="s">
        <v>917</v>
      </c>
      <c r="I1" s="2" t="s">
        <v>918</v>
      </c>
      <c r="J1" s="2" t="s">
        <v>919</v>
      </c>
      <c r="K1" s="2" t="s">
        <v>920</v>
      </c>
      <c r="L1" s="2" t="s">
        <v>921</v>
      </c>
      <c r="M1" s="2" t="s">
        <v>922</v>
      </c>
      <c r="N1" s="2" t="s">
        <v>923</v>
      </c>
      <c r="O1" s="2" t="s">
        <v>924</v>
      </c>
      <c r="P1" s="2" t="s">
        <v>925</v>
      </c>
      <c r="Q1" s="2" t="s">
        <v>926</v>
      </c>
      <c r="R1" s="2" t="s">
        <v>927</v>
      </c>
      <c r="S1" s="2" t="s">
        <v>928</v>
      </c>
      <c r="T1" s="2" t="s">
        <v>929</v>
      </c>
      <c r="U1" s="2" t="s">
        <v>70</v>
      </c>
      <c r="V1" s="2" t="s">
        <v>930</v>
      </c>
      <c r="W1" s="2" t="s">
        <v>931</v>
      </c>
      <c r="X1" s="1" t="s">
        <v>932</v>
      </c>
      <c r="Y1" s="1" t="s">
        <v>933</v>
      </c>
      <c r="Z1" s="1" t="s">
        <v>934</v>
      </c>
    </row>
    <row r="2" spans="1:26" x14ac:dyDescent="0.3">
      <c r="A2" s="4" t="s">
        <v>85</v>
      </c>
      <c r="B2" s="4" t="s">
        <v>935</v>
      </c>
      <c r="C2" s="4" t="s">
        <v>936</v>
      </c>
      <c r="D2" s="4" t="s">
        <v>937</v>
      </c>
      <c r="E2" s="4" t="s">
        <v>938</v>
      </c>
      <c r="F2" s="4" t="s">
        <v>939</v>
      </c>
      <c r="G2" s="4">
        <v>1</v>
      </c>
      <c r="H2" s="4">
        <v>1</v>
      </c>
      <c r="I2" s="4"/>
      <c r="J2" s="4"/>
      <c r="K2" s="4"/>
      <c r="L2" s="7"/>
      <c r="M2" s="7">
        <v>250000000</v>
      </c>
      <c r="N2" s="7"/>
      <c r="O2" s="4">
        <v>0</v>
      </c>
      <c r="P2" s="4">
        <v>0</v>
      </c>
      <c r="Q2" s="7"/>
      <c r="R2" s="7">
        <v>2000000000</v>
      </c>
      <c r="S2" s="7">
        <v>2000000000</v>
      </c>
      <c r="T2" s="7">
        <v>2000000000</v>
      </c>
      <c r="U2" s="4"/>
      <c r="V2" s="4">
        <v>0</v>
      </c>
      <c r="W2" s="4">
        <v>0</v>
      </c>
      <c r="X2" s="4">
        <v>250000000</v>
      </c>
      <c r="Y2" s="4">
        <v>2000000000</v>
      </c>
      <c r="Z2" s="4" t="s">
        <v>940</v>
      </c>
    </row>
    <row r="3" spans="1:26" x14ac:dyDescent="0.3">
      <c r="A3" s="4" t="s">
        <v>85</v>
      </c>
      <c r="B3" s="4" t="s">
        <v>941</v>
      </c>
      <c r="C3" s="4" t="s">
        <v>942</v>
      </c>
      <c r="D3" s="4" t="s">
        <v>943</v>
      </c>
      <c r="E3" s="4" t="s">
        <v>938</v>
      </c>
      <c r="F3" s="4" t="s">
        <v>939</v>
      </c>
      <c r="G3" s="4">
        <v>1</v>
      </c>
      <c r="H3" s="4">
        <v>1</v>
      </c>
      <c r="I3" s="4"/>
      <c r="J3" s="4"/>
      <c r="K3" s="4"/>
      <c r="L3" s="7"/>
      <c r="M3" s="7">
        <v>10000000</v>
      </c>
      <c r="N3" s="7"/>
      <c r="O3" s="4">
        <v>0</v>
      </c>
      <c r="P3" s="4">
        <v>0</v>
      </c>
      <c r="Q3" s="7"/>
      <c r="R3" s="7"/>
      <c r="S3" s="7"/>
      <c r="T3" s="7"/>
      <c r="U3" s="4"/>
      <c r="V3" s="4">
        <v>0</v>
      </c>
      <c r="W3" s="4">
        <v>0</v>
      </c>
      <c r="X3" s="4">
        <v>10000000</v>
      </c>
      <c r="Y3" s="4"/>
      <c r="Z3" s="4" t="s">
        <v>944</v>
      </c>
    </row>
    <row r="4" spans="1:26" x14ac:dyDescent="0.3">
      <c r="A4" s="4" t="s">
        <v>113</v>
      </c>
      <c r="B4" s="4" t="s">
        <v>945</v>
      </c>
      <c r="C4" s="4" t="s">
        <v>946</v>
      </c>
      <c r="D4" s="4" t="s">
        <v>937</v>
      </c>
      <c r="E4" s="4" t="s">
        <v>938</v>
      </c>
      <c r="F4" s="4" t="s">
        <v>939</v>
      </c>
      <c r="G4" s="4">
        <v>1</v>
      </c>
      <c r="H4" s="4">
        <v>1</v>
      </c>
      <c r="I4" s="4"/>
      <c r="J4" s="4"/>
      <c r="K4" s="4"/>
      <c r="L4" s="7"/>
      <c r="M4" s="7">
        <v>7000000</v>
      </c>
      <c r="N4" s="7"/>
      <c r="O4" s="4">
        <v>0</v>
      </c>
      <c r="P4" s="4">
        <v>0</v>
      </c>
      <c r="Q4" s="7"/>
      <c r="R4" s="7"/>
      <c r="S4" s="7"/>
      <c r="T4" s="7"/>
      <c r="U4" s="4"/>
      <c r="V4" s="4">
        <v>0</v>
      </c>
      <c r="W4" s="4">
        <v>0</v>
      </c>
      <c r="X4" s="4">
        <v>7000000</v>
      </c>
      <c r="Y4" s="4"/>
      <c r="Z4" s="4" t="s">
        <v>947</v>
      </c>
    </row>
    <row r="5" spans="1:26" x14ac:dyDescent="0.3">
      <c r="A5" s="4" t="s">
        <v>148</v>
      </c>
      <c r="B5" s="4" t="s">
        <v>948</v>
      </c>
      <c r="C5" s="4" t="s">
        <v>949</v>
      </c>
      <c r="D5" s="4" t="s">
        <v>950</v>
      </c>
      <c r="E5" s="4" t="s">
        <v>938</v>
      </c>
      <c r="F5" s="4" t="s">
        <v>939</v>
      </c>
      <c r="G5" s="4">
        <v>1</v>
      </c>
      <c r="H5" s="4">
        <v>1</v>
      </c>
      <c r="I5" s="4"/>
      <c r="J5" s="4"/>
      <c r="K5" s="4"/>
      <c r="L5" s="7"/>
      <c r="M5" s="7">
        <v>37100</v>
      </c>
      <c r="N5" s="7"/>
      <c r="O5" s="4">
        <v>0</v>
      </c>
      <c r="P5" s="4">
        <v>0</v>
      </c>
      <c r="Q5" s="7"/>
      <c r="R5" s="7"/>
      <c r="S5" s="7"/>
      <c r="T5" s="7"/>
      <c r="U5" s="4"/>
      <c r="V5" s="4">
        <v>0</v>
      </c>
      <c r="W5" s="4">
        <v>0</v>
      </c>
      <c r="X5" s="4">
        <v>37100</v>
      </c>
      <c r="Y5" s="4"/>
      <c r="Z5" s="4" t="s">
        <v>951</v>
      </c>
    </row>
    <row r="6" spans="1:26" x14ac:dyDescent="0.3">
      <c r="A6" s="4" t="s">
        <v>158</v>
      </c>
      <c r="B6" s="4" t="s">
        <v>952</v>
      </c>
      <c r="C6" s="4" t="s">
        <v>936</v>
      </c>
      <c r="D6" s="4" t="s">
        <v>937</v>
      </c>
      <c r="E6" s="4" t="s">
        <v>938</v>
      </c>
      <c r="F6" s="4" t="s">
        <v>939</v>
      </c>
      <c r="G6" s="4">
        <v>1</v>
      </c>
      <c r="H6" s="4">
        <v>1</v>
      </c>
      <c r="I6" s="4"/>
      <c r="J6" s="4"/>
      <c r="K6" s="4"/>
      <c r="L6" s="7"/>
      <c r="M6" s="7">
        <v>5500000</v>
      </c>
      <c r="N6" s="7"/>
      <c r="O6" s="4">
        <v>0</v>
      </c>
      <c r="P6" s="4">
        <v>0</v>
      </c>
      <c r="Q6" s="7"/>
      <c r="R6" s="7"/>
      <c r="S6" s="7"/>
      <c r="T6" s="7"/>
      <c r="U6" s="4"/>
      <c r="V6" s="4">
        <v>0</v>
      </c>
      <c r="W6" s="4">
        <v>0</v>
      </c>
      <c r="X6" s="4">
        <v>5500000</v>
      </c>
      <c r="Y6" s="4"/>
      <c r="Z6" s="4" t="s">
        <v>953</v>
      </c>
    </row>
    <row r="7" spans="1:26" x14ac:dyDescent="0.3">
      <c r="A7" s="4" t="s">
        <v>158</v>
      </c>
      <c r="B7" s="4" t="s">
        <v>954</v>
      </c>
      <c r="C7" s="4" t="s">
        <v>936</v>
      </c>
      <c r="D7" s="4" t="s">
        <v>937</v>
      </c>
      <c r="E7" s="4" t="s">
        <v>938</v>
      </c>
      <c r="F7" s="4" t="s">
        <v>939</v>
      </c>
      <c r="G7" s="4">
        <v>1</v>
      </c>
      <c r="H7" s="4">
        <v>1</v>
      </c>
      <c r="I7" s="4"/>
      <c r="J7" s="4"/>
      <c r="K7" s="4"/>
      <c r="L7" s="7"/>
      <c r="M7" s="7">
        <v>10000000</v>
      </c>
      <c r="N7" s="7"/>
      <c r="O7" s="4">
        <v>0</v>
      </c>
      <c r="P7" s="4">
        <v>0</v>
      </c>
      <c r="Q7" s="7"/>
      <c r="R7" s="7"/>
      <c r="S7" s="7"/>
      <c r="T7" s="7"/>
      <c r="U7" s="4"/>
      <c r="V7" s="4">
        <v>0</v>
      </c>
      <c r="W7" s="4">
        <v>0</v>
      </c>
      <c r="X7" s="4">
        <v>10000000</v>
      </c>
      <c r="Y7" s="4"/>
      <c r="Z7" s="4" t="s">
        <v>955</v>
      </c>
    </row>
    <row r="8" spans="1:26" x14ac:dyDescent="0.3">
      <c r="A8" s="4" t="s">
        <v>181</v>
      </c>
      <c r="B8" s="4" t="s">
        <v>956</v>
      </c>
      <c r="C8" s="4" t="s">
        <v>936</v>
      </c>
      <c r="D8" s="4" t="s">
        <v>937</v>
      </c>
      <c r="E8" s="4" t="s">
        <v>938</v>
      </c>
      <c r="F8" s="4" t="s">
        <v>939</v>
      </c>
      <c r="G8" s="4">
        <v>1</v>
      </c>
      <c r="H8" s="4">
        <v>1</v>
      </c>
      <c r="I8" s="4"/>
      <c r="J8" s="4"/>
      <c r="K8" s="4"/>
      <c r="L8" s="7"/>
      <c r="M8" s="7">
        <v>1500000</v>
      </c>
      <c r="N8" s="7"/>
      <c r="O8" s="4">
        <v>0</v>
      </c>
      <c r="P8" s="4">
        <v>0</v>
      </c>
      <c r="Q8" s="7"/>
      <c r="R8" s="7"/>
      <c r="S8" s="7"/>
      <c r="T8" s="7"/>
      <c r="U8" s="4"/>
      <c r="V8" s="4">
        <v>0</v>
      </c>
      <c r="W8" s="4">
        <v>0</v>
      </c>
      <c r="X8" s="4">
        <v>1500000</v>
      </c>
      <c r="Y8" s="4"/>
      <c r="Z8" s="4" t="s">
        <v>957</v>
      </c>
    </row>
    <row r="9" spans="1:26" x14ac:dyDescent="0.3">
      <c r="A9" s="4" t="s">
        <v>185</v>
      </c>
      <c r="B9" s="4" t="s">
        <v>958</v>
      </c>
      <c r="C9" s="4" t="s">
        <v>936</v>
      </c>
      <c r="D9" s="4" t="s">
        <v>937</v>
      </c>
      <c r="E9" s="4" t="s">
        <v>938</v>
      </c>
      <c r="F9" s="4" t="s">
        <v>939</v>
      </c>
      <c r="G9" s="4">
        <v>1</v>
      </c>
      <c r="H9" s="4">
        <v>1</v>
      </c>
      <c r="I9" s="4"/>
      <c r="J9" s="4"/>
      <c r="K9" s="4"/>
      <c r="L9" s="7"/>
      <c r="M9" s="7">
        <v>5000000</v>
      </c>
      <c r="N9" s="7"/>
      <c r="O9" s="4">
        <v>0</v>
      </c>
      <c r="P9" s="4">
        <v>0</v>
      </c>
      <c r="Q9" s="7"/>
      <c r="R9" s="7"/>
      <c r="S9" s="7"/>
      <c r="T9" s="7"/>
      <c r="U9" s="4"/>
      <c r="V9" s="4">
        <v>0</v>
      </c>
      <c r="W9" s="4">
        <v>0</v>
      </c>
      <c r="X9" s="4">
        <v>5000000</v>
      </c>
      <c r="Y9" s="4"/>
      <c r="Z9" s="4" t="s">
        <v>959</v>
      </c>
    </row>
    <row r="10" spans="1:26" x14ac:dyDescent="0.3">
      <c r="A10" s="4" t="s">
        <v>193</v>
      </c>
      <c r="B10" s="4" t="s">
        <v>198</v>
      </c>
      <c r="C10" s="4" t="s">
        <v>960</v>
      </c>
      <c r="D10" s="4" t="s">
        <v>950</v>
      </c>
      <c r="E10" s="4" t="s">
        <v>938</v>
      </c>
      <c r="F10" s="4" t="s">
        <v>939</v>
      </c>
      <c r="G10" s="4">
        <v>0</v>
      </c>
      <c r="H10" s="4">
        <v>1</v>
      </c>
      <c r="I10" s="4"/>
      <c r="J10" s="4"/>
      <c r="K10" s="4"/>
      <c r="L10" s="7"/>
      <c r="M10" s="7">
        <v>2150000</v>
      </c>
      <c r="N10" s="7"/>
      <c r="O10" s="4">
        <v>0</v>
      </c>
      <c r="P10" s="4">
        <v>0</v>
      </c>
      <c r="Q10" s="7"/>
      <c r="R10" s="7"/>
      <c r="S10" s="7"/>
      <c r="T10" s="7"/>
      <c r="U10" s="4"/>
      <c r="V10" s="4">
        <v>0</v>
      </c>
      <c r="W10" s="4"/>
      <c r="X10" s="4">
        <v>2150000</v>
      </c>
      <c r="Y10" s="4"/>
      <c r="Z10" s="4"/>
    </row>
    <row r="11" spans="1:26" x14ac:dyDescent="0.3">
      <c r="A11" s="4" t="s">
        <v>203</v>
      </c>
      <c r="B11" s="4" t="s">
        <v>961</v>
      </c>
      <c r="C11" s="4" t="s">
        <v>962</v>
      </c>
      <c r="D11" s="4" t="s">
        <v>937</v>
      </c>
      <c r="E11" s="4" t="s">
        <v>938</v>
      </c>
      <c r="F11" s="4" t="s">
        <v>939</v>
      </c>
      <c r="G11" s="4">
        <v>0</v>
      </c>
      <c r="H11" s="4">
        <v>1</v>
      </c>
      <c r="I11" s="4"/>
      <c r="J11" s="4"/>
      <c r="K11" s="4"/>
      <c r="L11" s="7"/>
      <c r="M11" s="7">
        <v>12000000</v>
      </c>
      <c r="N11" s="7"/>
      <c r="O11" s="4">
        <v>0</v>
      </c>
      <c r="P11" s="4">
        <v>0</v>
      </c>
      <c r="Q11" s="7"/>
      <c r="R11" s="7"/>
      <c r="S11" s="7"/>
      <c r="T11" s="7"/>
      <c r="U11" s="4"/>
      <c r="V11" s="4">
        <v>0</v>
      </c>
      <c r="W11" s="4"/>
      <c r="X11" s="4">
        <v>12000000</v>
      </c>
      <c r="Y11" s="4"/>
      <c r="Z11" s="4"/>
    </row>
    <row r="12" spans="1:26" x14ac:dyDescent="0.3">
      <c r="A12" s="4" t="s">
        <v>208</v>
      </c>
      <c r="B12" s="4"/>
      <c r="C12" s="4" t="s">
        <v>962</v>
      </c>
      <c r="D12" s="4" t="s">
        <v>937</v>
      </c>
      <c r="E12" s="4" t="s">
        <v>938</v>
      </c>
      <c r="F12" s="4" t="s">
        <v>939</v>
      </c>
      <c r="G12" s="4">
        <v>0</v>
      </c>
      <c r="H12" s="4">
        <v>1</v>
      </c>
      <c r="I12" s="4"/>
      <c r="J12" s="4"/>
      <c r="K12" s="4"/>
      <c r="L12" s="7"/>
      <c r="M12" s="7">
        <v>3440000</v>
      </c>
      <c r="N12" s="7"/>
      <c r="O12" s="4">
        <v>0</v>
      </c>
      <c r="P12" s="4">
        <v>0</v>
      </c>
      <c r="Q12" s="7"/>
      <c r="R12" s="7"/>
      <c r="S12" s="7"/>
      <c r="T12" s="7"/>
      <c r="U12" s="4"/>
      <c r="V12" s="4">
        <v>0</v>
      </c>
      <c r="W12" s="4"/>
      <c r="X12" s="4">
        <v>3440000</v>
      </c>
      <c r="Y12" s="4"/>
      <c r="Z12" s="4"/>
    </row>
    <row r="13" spans="1:26" x14ac:dyDescent="0.3">
      <c r="A13" s="4" t="s">
        <v>216</v>
      </c>
      <c r="B13" s="4" t="s">
        <v>963</v>
      </c>
      <c r="C13" s="4" t="s">
        <v>964</v>
      </c>
      <c r="D13" s="4" t="s">
        <v>965</v>
      </c>
      <c r="E13" s="4" t="s">
        <v>938</v>
      </c>
      <c r="F13" s="4" t="s">
        <v>939</v>
      </c>
      <c r="G13" s="4">
        <v>0</v>
      </c>
      <c r="H13" s="4">
        <v>1</v>
      </c>
      <c r="I13" s="4"/>
      <c r="J13" s="4"/>
      <c r="K13" s="4"/>
      <c r="L13" s="7"/>
      <c r="M13" s="7">
        <v>4000000</v>
      </c>
      <c r="N13" s="7"/>
      <c r="O13" s="4">
        <v>0</v>
      </c>
      <c r="P13" s="4">
        <v>0</v>
      </c>
      <c r="Q13" s="7"/>
      <c r="R13" s="7"/>
      <c r="S13" s="7"/>
      <c r="T13" s="7"/>
      <c r="U13" s="4"/>
      <c r="V13" s="4">
        <v>0</v>
      </c>
      <c r="W13" s="4"/>
      <c r="X13" s="4">
        <v>4000000</v>
      </c>
      <c r="Y13" s="4"/>
      <c r="Z13" s="4"/>
    </row>
    <row r="14" spans="1:26" x14ac:dyDescent="0.3">
      <c r="A14" s="4" t="s">
        <v>220</v>
      </c>
      <c r="B14" s="4" t="s">
        <v>966</v>
      </c>
      <c r="C14" s="4" t="s">
        <v>967</v>
      </c>
      <c r="D14" s="4" t="s">
        <v>968</v>
      </c>
      <c r="E14" s="4" t="s">
        <v>938</v>
      </c>
      <c r="F14" s="4" t="s">
        <v>939</v>
      </c>
      <c r="G14" s="4">
        <v>0</v>
      </c>
      <c r="H14" s="4">
        <v>1</v>
      </c>
      <c r="I14" s="4"/>
      <c r="J14" s="4"/>
      <c r="K14" s="4"/>
      <c r="L14" s="7"/>
      <c r="M14" s="7"/>
      <c r="N14" s="7"/>
      <c r="O14" s="4">
        <v>0</v>
      </c>
      <c r="P14" s="4">
        <v>0</v>
      </c>
      <c r="Q14" s="7"/>
      <c r="R14" s="7"/>
      <c r="S14" s="7"/>
      <c r="T14" s="7"/>
      <c r="U14" s="4"/>
      <c r="V14" s="4">
        <v>0</v>
      </c>
      <c r="W14" s="4"/>
      <c r="X14" s="4"/>
      <c r="Y14" s="4"/>
      <c r="Z14" s="4"/>
    </row>
    <row r="15" spans="1:26" x14ac:dyDescent="0.3">
      <c r="A15" s="4" t="s">
        <v>224</v>
      </c>
      <c r="B15" s="4" t="s">
        <v>969</v>
      </c>
      <c r="C15" s="4" t="s">
        <v>962</v>
      </c>
      <c r="D15" s="4" t="s">
        <v>937</v>
      </c>
      <c r="E15" s="4" t="s">
        <v>938</v>
      </c>
      <c r="F15" s="4" t="s">
        <v>939</v>
      </c>
      <c r="G15" s="4">
        <v>0</v>
      </c>
      <c r="H15" s="4">
        <v>1</v>
      </c>
      <c r="I15" s="4"/>
      <c r="J15" s="4"/>
      <c r="K15" s="4"/>
      <c r="L15" s="7"/>
      <c r="M15" s="7">
        <v>1500000</v>
      </c>
      <c r="N15" s="7"/>
      <c r="O15" s="4">
        <v>0</v>
      </c>
      <c r="P15" s="4">
        <v>0</v>
      </c>
      <c r="Q15" s="7"/>
      <c r="R15" s="7"/>
      <c r="S15" s="7"/>
      <c r="T15" s="7"/>
      <c r="U15" s="4"/>
      <c r="V15" s="4">
        <v>0</v>
      </c>
      <c r="W15" s="4"/>
      <c r="X15" s="4">
        <v>1500000</v>
      </c>
      <c r="Y15" s="4"/>
      <c r="Z15" s="4"/>
    </row>
    <row r="16" spans="1:26" x14ac:dyDescent="0.3">
      <c r="A16" s="4" t="s">
        <v>229</v>
      </c>
      <c r="B16" s="4" t="s">
        <v>970</v>
      </c>
      <c r="C16" s="4" t="s">
        <v>971</v>
      </c>
      <c r="D16" s="4" t="s">
        <v>971</v>
      </c>
      <c r="E16" s="4" t="s">
        <v>938</v>
      </c>
      <c r="F16" s="4" t="s">
        <v>939</v>
      </c>
      <c r="G16" s="4">
        <v>0</v>
      </c>
      <c r="H16" s="4">
        <v>1</v>
      </c>
      <c r="I16" s="4"/>
      <c r="J16" s="4"/>
      <c r="K16" s="4"/>
      <c r="L16" s="7"/>
      <c r="M16" s="7">
        <v>11000000</v>
      </c>
      <c r="N16" s="7"/>
      <c r="O16" s="4">
        <v>0</v>
      </c>
      <c r="P16" s="4">
        <v>0</v>
      </c>
      <c r="Q16" s="7"/>
      <c r="R16" s="7"/>
      <c r="S16" s="7"/>
      <c r="T16" s="7"/>
      <c r="U16" s="4"/>
      <c r="V16" s="4">
        <v>0</v>
      </c>
      <c r="W16" s="4"/>
      <c r="X16" s="4">
        <v>11000000</v>
      </c>
      <c r="Y16" s="4"/>
      <c r="Z16" s="4"/>
    </row>
    <row r="17" spans="1:26" x14ac:dyDescent="0.3">
      <c r="A17" s="4" t="s">
        <v>233</v>
      </c>
      <c r="B17" s="4" t="s">
        <v>972</v>
      </c>
      <c r="C17" s="4" t="s">
        <v>973</v>
      </c>
      <c r="D17" s="4" t="s">
        <v>974</v>
      </c>
      <c r="E17" s="4" t="s">
        <v>938</v>
      </c>
      <c r="F17" s="4" t="s">
        <v>939</v>
      </c>
      <c r="G17" s="4">
        <v>0</v>
      </c>
      <c r="H17" s="4">
        <v>1</v>
      </c>
      <c r="I17" s="4"/>
      <c r="J17" s="4"/>
      <c r="K17" s="4"/>
      <c r="L17" s="7"/>
      <c r="M17" s="7">
        <v>1000000</v>
      </c>
      <c r="N17" s="7"/>
      <c r="O17" s="4">
        <v>0</v>
      </c>
      <c r="P17" s="4">
        <v>0</v>
      </c>
      <c r="Q17" s="7"/>
      <c r="R17" s="7"/>
      <c r="S17" s="7"/>
      <c r="T17" s="7"/>
      <c r="U17" s="4"/>
      <c r="V17" s="4">
        <v>0</v>
      </c>
      <c r="W17" s="4"/>
      <c r="X17" s="4">
        <v>1000000</v>
      </c>
      <c r="Y17" s="4"/>
      <c r="Z17" s="4"/>
    </row>
    <row r="18" spans="1:26" x14ac:dyDescent="0.3">
      <c r="A18" s="4" t="s">
        <v>246</v>
      </c>
      <c r="B18" s="4" t="s">
        <v>975</v>
      </c>
      <c r="C18" s="4" t="s">
        <v>962</v>
      </c>
      <c r="D18" s="4" t="s">
        <v>937</v>
      </c>
      <c r="E18" s="4" t="s">
        <v>938</v>
      </c>
      <c r="F18" s="4" t="s">
        <v>939</v>
      </c>
      <c r="G18" s="4">
        <v>0</v>
      </c>
      <c r="H18" s="4">
        <v>1</v>
      </c>
      <c r="I18" s="4"/>
      <c r="J18" s="4"/>
      <c r="K18" s="4"/>
      <c r="L18" s="7"/>
      <c r="M18" s="7">
        <v>2600000</v>
      </c>
      <c r="N18" s="7"/>
      <c r="O18" s="4">
        <v>0</v>
      </c>
      <c r="P18" s="4">
        <v>0</v>
      </c>
      <c r="Q18" s="7"/>
      <c r="R18" s="7"/>
      <c r="S18" s="7"/>
      <c r="T18" s="7"/>
      <c r="U18" s="4"/>
      <c r="V18" s="4">
        <v>0</v>
      </c>
      <c r="W18" s="4"/>
      <c r="X18" s="4">
        <v>2600000</v>
      </c>
      <c r="Y18" s="4"/>
      <c r="Z18" s="4"/>
    </row>
    <row r="19" spans="1:26" x14ac:dyDescent="0.3">
      <c r="A19" s="4" t="s">
        <v>250</v>
      </c>
      <c r="B19" s="4" t="s">
        <v>976</v>
      </c>
      <c r="C19" s="4" t="s">
        <v>977</v>
      </c>
      <c r="D19" s="4" t="s">
        <v>974</v>
      </c>
      <c r="E19" s="4" t="s">
        <v>938</v>
      </c>
      <c r="F19" s="4" t="s">
        <v>939</v>
      </c>
      <c r="G19" s="4">
        <v>0</v>
      </c>
      <c r="H19" s="4">
        <v>1</v>
      </c>
      <c r="I19" s="4"/>
      <c r="J19" s="4"/>
      <c r="K19" s="4"/>
      <c r="L19" s="7"/>
      <c r="M19" s="7">
        <v>500000</v>
      </c>
      <c r="N19" s="7"/>
      <c r="O19" s="4">
        <v>0</v>
      </c>
      <c r="P19" s="4">
        <v>0</v>
      </c>
      <c r="Q19" s="7"/>
      <c r="R19" s="7"/>
      <c r="S19" s="7"/>
      <c r="T19" s="7"/>
      <c r="U19" s="4"/>
      <c r="V19" s="4">
        <v>0</v>
      </c>
      <c r="W19" s="4"/>
      <c r="X19" s="4">
        <v>500000</v>
      </c>
      <c r="Y19" s="4"/>
      <c r="Z19" s="4"/>
    </row>
    <row r="20" spans="1:26" x14ac:dyDescent="0.3">
      <c r="A20" s="4" t="s">
        <v>261</v>
      </c>
      <c r="B20" s="4" t="s">
        <v>978</v>
      </c>
      <c r="C20" s="4" t="s">
        <v>962</v>
      </c>
      <c r="D20" s="4" t="s">
        <v>937</v>
      </c>
      <c r="E20" s="4" t="s">
        <v>938</v>
      </c>
      <c r="F20" s="4" t="s">
        <v>939</v>
      </c>
      <c r="G20" s="4">
        <v>0</v>
      </c>
      <c r="H20" s="4">
        <v>1</v>
      </c>
      <c r="I20" s="4"/>
      <c r="J20" s="4"/>
      <c r="K20" s="4"/>
      <c r="L20" s="7"/>
      <c r="M20" s="7">
        <v>5500000</v>
      </c>
      <c r="N20" s="7"/>
      <c r="O20" s="4">
        <v>0</v>
      </c>
      <c r="P20" s="4">
        <v>0</v>
      </c>
      <c r="Q20" s="7"/>
      <c r="R20" s="7"/>
      <c r="S20" s="7"/>
      <c r="T20" s="7"/>
      <c r="U20" s="4"/>
      <c r="V20" s="4">
        <v>0</v>
      </c>
      <c r="W20" s="4"/>
      <c r="X20" s="4">
        <v>5500000</v>
      </c>
      <c r="Y20" s="4"/>
      <c r="Z20" s="4"/>
    </row>
    <row r="21" spans="1:26" x14ac:dyDescent="0.3">
      <c r="A21" s="4" t="s">
        <v>266</v>
      </c>
      <c r="B21" s="4" t="s">
        <v>975</v>
      </c>
      <c r="C21" s="4" t="s">
        <v>962</v>
      </c>
      <c r="D21" s="4" t="s">
        <v>937</v>
      </c>
      <c r="E21" s="4" t="s">
        <v>938</v>
      </c>
      <c r="F21" s="4" t="s">
        <v>939</v>
      </c>
      <c r="G21" s="4">
        <v>0</v>
      </c>
      <c r="H21" s="4">
        <v>1</v>
      </c>
      <c r="I21" s="4"/>
      <c r="J21" s="4"/>
      <c r="K21" s="4"/>
      <c r="L21" s="7"/>
      <c r="M21" s="7">
        <v>4000000</v>
      </c>
      <c r="N21" s="7"/>
      <c r="O21" s="4">
        <v>0</v>
      </c>
      <c r="P21" s="4">
        <v>0</v>
      </c>
      <c r="Q21" s="7"/>
      <c r="R21" s="7"/>
      <c r="S21" s="7"/>
      <c r="T21" s="7"/>
      <c r="U21" s="4"/>
      <c r="V21" s="4">
        <v>0</v>
      </c>
      <c r="W21" s="4"/>
      <c r="X21" s="4">
        <v>4000000</v>
      </c>
      <c r="Y21" s="4"/>
      <c r="Z21" s="4"/>
    </row>
    <row r="22" spans="1:26" x14ac:dyDescent="0.3">
      <c r="A22" s="4" t="s">
        <v>271</v>
      </c>
      <c r="B22" s="4" t="s">
        <v>979</v>
      </c>
      <c r="C22" s="4" t="s">
        <v>971</v>
      </c>
      <c r="D22" s="4" t="s">
        <v>971</v>
      </c>
      <c r="E22" s="4" t="s">
        <v>938</v>
      </c>
      <c r="F22" s="4" t="s">
        <v>939</v>
      </c>
      <c r="G22" s="4">
        <v>0</v>
      </c>
      <c r="H22" s="4">
        <v>1</v>
      </c>
      <c r="I22" s="4"/>
      <c r="J22" s="4"/>
      <c r="K22" s="4"/>
      <c r="L22" s="7"/>
      <c r="M22" s="7">
        <v>180000</v>
      </c>
      <c r="N22" s="7"/>
      <c r="O22" s="4">
        <v>0</v>
      </c>
      <c r="P22" s="4">
        <v>0</v>
      </c>
      <c r="Q22" s="7"/>
      <c r="R22" s="7"/>
      <c r="S22" s="7"/>
      <c r="T22" s="7"/>
      <c r="U22" s="4"/>
      <c r="V22" s="4">
        <v>0</v>
      </c>
      <c r="W22" s="4"/>
      <c r="X22" s="4">
        <v>180000</v>
      </c>
      <c r="Y22" s="4"/>
      <c r="Z22" s="4"/>
    </row>
    <row r="23" spans="1:26" x14ac:dyDescent="0.3">
      <c r="A23" s="4" t="s">
        <v>280</v>
      </c>
      <c r="B23" s="4" t="s">
        <v>284</v>
      </c>
      <c r="C23" s="4" t="s">
        <v>950</v>
      </c>
      <c r="D23" s="4" t="s">
        <v>950</v>
      </c>
      <c r="E23" s="4" t="s">
        <v>938</v>
      </c>
      <c r="F23" s="4" t="s">
        <v>939</v>
      </c>
      <c r="G23" s="4">
        <v>0</v>
      </c>
      <c r="H23" s="4">
        <v>1</v>
      </c>
      <c r="I23" s="4"/>
      <c r="J23" s="4"/>
      <c r="K23" s="4"/>
      <c r="L23" s="7"/>
      <c r="M23" s="7"/>
      <c r="N23" s="7"/>
      <c r="O23" s="4">
        <v>0</v>
      </c>
      <c r="P23" s="4">
        <v>0</v>
      </c>
      <c r="Q23" s="7"/>
      <c r="R23" s="7"/>
      <c r="S23" s="7"/>
      <c r="T23" s="7"/>
      <c r="U23" s="4"/>
      <c r="V23" s="4">
        <v>0</v>
      </c>
      <c r="W23" s="4"/>
      <c r="X23" s="4"/>
      <c r="Y23" s="4"/>
      <c r="Z23" s="4"/>
    </row>
    <row r="24" spans="1:26" x14ac:dyDescent="0.3">
      <c r="A24" s="4" t="s">
        <v>280</v>
      </c>
      <c r="B24" s="4" t="s">
        <v>980</v>
      </c>
      <c r="C24" s="4" t="s">
        <v>981</v>
      </c>
      <c r="D24" s="4" t="s">
        <v>968</v>
      </c>
      <c r="E24" s="4" t="s">
        <v>938</v>
      </c>
      <c r="F24" s="4" t="s">
        <v>939</v>
      </c>
      <c r="G24" s="4">
        <v>0</v>
      </c>
      <c r="H24" s="4">
        <v>1</v>
      </c>
      <c r="I24" s="4"/>
      <c r="J24" s="4">
        <v>2019</v>
      </c>
      <c r="K24" s="4"/>
      <c r="L24" s="7"/>
      <c r="M24" s="7"/>
      <c r="N24" s="7"/>
      <c r="O24" s="4">
        <v>0</v>
      </c>
      <c r="P24" s="4">
        <v>0</v>
      </c>
      <c r="Q24" s="7"/>
      <c r="R24" s="7"/>
      <c r="S24" s="7"/>
      <c r="T24" s="7"/>
      <c r="U24" s="4"/>
      <c r="V24" s="4">
        <v>0</v>
      </c>
      <c r="W24" s="4">
        <v>0</v>
      </c>
      <c r="X24" s="4" t="s">
        <v>982</v>
      </c>
      <c r="Y24" s="4"/>
      <c r="Z24" s="4" t="s">
        <v>983</v>
      </c>
    </row>
    <row r="25" spans="1:26" x14ac:dyDescent="0.3">
      <c r="A25" s="4" t="s">
        <v>280</v>
      </c>
      <c r="B25" s="4" t="s">
        <v>984</v>
      </c>
      <c r="C25" s="4" t="s">
        <v>981</v>
      </c>
      <c r="D25" s="4" t="s">
        <v>968</v>
      </c>
      <c r="E25" s="4" t="s">
        <v>938</v>
      </c>
      <c r="F25" s="4" t="s">
        <v>939</v>
      </c>
      <c r="G25" s="4">
        <v>0</v>
      </c>
      <c r="H25" s="4">
        <v>1</v>
      </c>
      <c r="I25" s="4"/>
      <c r="J25" s="4">
        <v>2021</v>
      </c>
      <c r="K25" s="4"/>
      <c r="L25" s="7"/>
      <c r="M25" s="7">
        <v>100000</v>
      </c>
      <c r="N25" s="7"/>
      <c r="O25" s="4">
        <v>1</v>
      </c>
      <c r="P25" s="4">
        <v>0</v>
      </c>
      <c r="Q25" s="7"/>
      <c r="R25" s="7"/>
      <c r="S25" s="7"/>
      <c r="T25" s="7"/>
      <c r="U25" s="4"/>
      <c r="V25" s="4">
        <v>0</v>
      </c>
      <c r="W25" s="4">
        <v>0</v>
      </c>
      <c r="X25" s="4" t="s">
        <v>985</v>
      </c>
      <c r="Y25" s="4"/>
      <c r="Z25" s="4" t="s">
        <v>986</v>
      </c>
    </row>
    <row r="26" spans="1:26" x14ac:dyDescent="0.3">
      <c r="A26" s="4" t="s">
        <v>285</v>
      </c>
      <c r="B26" s="4" t="s">
        <v>987</v>
      </c>
      <c r="C26" s="4" t="s">
        <v>962</v>
      </c>
      <c r="D26" s="4" t="s">
        <v>937</v>
      </c>
      <c r="E26" s="4" t="s">
        <v>938</v>
      </c>
      <c r="F26" s="4" t="s">
        <v>939</v>
      </c>
      <c r="G26" s="4">
        <v>0</v>
      </c>
      <c r="H26" s="4">
        <v>1</v>
      </c>
      <c r="I26" s="4"/>
      <c r="J26" s="4">
        <v>2023</v>
      </c>
      <c r="K26" s="4"/>
      <c r="L26" s="7"/>
      <c r="M26" s="7"/>
      <c r="N26" s="7"/>
      <c r="O26" s="4">
        <v>0</v>
      </c>
      <c r="P26" s="4">
        <v>1</v>
      </c>
      <c r="Q26" s="7">
        <v>220000</v>
      </c>
      <c r="R26" s="7"/>
      <c r="S26" s="7"/>
      <c r="T26" s="7"/>
      <c r="U26" s="4"/>
      <c r="V26" s="4">
        <v>0</v>
      </c>
      <c r="W26" s="4"/>
      <c r="X26" s="4" t="s">
        <v>988</v>
      </c>
      <c r="Y26" s="4"/>
      <c r="Z26" s="4"/>
    </row>
    <row r="27" spans="1:26" x14ac:dyDescent="0.3">
      <c r="A27" s="4" t="s">
        <v>285</v>
      </c>
      <c r="B27" s="4" t="s">
        <v>989</v>
      </c>
      <c r="C27" s="4" t="s">
        <v>962</v>
      </c>
      <c r="D27" s="4" t="s">
        <v>937</v>
      </c>
      <c r="E27" s="4" t="s">
        <v>938</v>
      </c>
      <c r="F27" s="4" t="s">
        <v>939</v>
      </c>
      <c r="G27" s="4">
        <v>0</v>
      </c>
      <c r="H27" s="4">
        <v>1</v>
      </c>
      <c r="I27" s="4"/>
      <c r="J27" s="4">
        <v>2023</v>
      </c>
      <c r="K27" s="4"/>
      <c r="L27" s="7"/>
      <c r="M27" s="7"/>
      <c r="N27" s="7"/>
      <c r="O27" s="4">
        <v>0</v>
      </c>
      <c r="P27" s="4">
        <v>1</v>
      </c>
      <c r="Q27" s="7">
        <v>220000</v>
      </c>
      <c r="R27" s="7"/>
      <c r="S27" s="7"/>
      <c r="T27" s="7"/>
      <c r="U27" s="4"/>
      <c r="V27" s="4">
        <v>0</v>
      </c>
      <c r="W27" s="4"/>
      <c r="X27" s="4" t="s">
        <v>988</v>
      </c>
      <c r="Y27" s="4"/>
      <c r="Z27" s="4"/>
    </row>
    <row r="28" spans="1:26" x14ac:dyDescent="0.3">
      <c r="A28" s="4" t="s">
        <v>285</v>
      </c>
      <c r="B28" s="4" t="s">
        <v>990</v>
      </c>
      <c r="C28" s="4" t="s">
        <v>981</v>
      </c>
      <c r="D28" s="4" t="s">
        <v>968</v>
      </c>
      <c r="E28" s="4" t="s">
        <v>938</v>
      </c>
      <c r="F28" s="4" t="s">
        <v>939</v>
      </c>
      <c r="G28" s="4">
        <v>0</v>
      </c>
      <c r="H28" s="4">
        <v>1</v>
      </c>
      <c r="I28" s="4"/>
      <c r="J28" s="4">
        <v>2023</v>
      </c>
      <c r="K28" s="4"/>
      <c r="L28" s="7"/>
      <c r="M28" s="7"/>
      <c r="N28" s="7"/>
      <c r="O28" s="4">
        <v>0</v>
      </c>
      <c r="P28" s="4">
        <v>1</v>
      </c>
      <c r="Q28" s="7">
        <v>220000</v>
      </c>
      <c r="R28" s="7"/>
      <c r="S28" s="7"/>
      <c r="T28" s="7"/>
      <c r="U28" s="4"/>
      <c r="V28" s="4">
        <v>0</v>
      </c>
      <c r="W28" s="4"/>
      <c r="X28" s="4" t="s">
        <v>988</v>
      </c>
      <c r="Y28" s="4"/>
      <c r="Z28" s="4"/>
    </row>
    <row r="29" spans="1:26" x14ac:dyDescent="0.3">
      <c r="A29" s="4" t="s">
        <v>285</v>
      </c>
      <c r="B29" s="4" t="s">
        <v>991</v>
      </c>
      <c r="C29" s="4" t="s">
        <v>950</v>
      </c>
      <c r="D29" s="4" t="s">
        <v>950</v>
      </c>
      <c r="E29" s="4" t="s">
        <v>938</v>
      </c>
      <c r="F29" s="4" t="s">
        <v>939</v>
      </c>
      <c r="G29" s="4">
        <v>0</v>
      </c>
      <c r="H29" s="4">
        <v>1</v>
      </c>
      <c r="I29" s="4"/>
      <c r="J29" s="4">
        <v>2023</v>
      </c>
      <c r="K29" s="4"/>
      <c r="L29" s="7"/>
      <c r="M29" s="7"/>
      <c r="N29" s="7"/>
      <c r="O29" s="4">
        <v>0</v>
      </c>
      <c r="P29" s="4">
        <v>0</v>
      </c>
      <c r="Q29" s="7"/>
      <c r="R29" s="7"/>
      <c r="S29" s="7"/>
      <c r="T29" s="7"/>
      <c r="U29" s="4"/>
      <c r="V29" s="4">
        <v>0</v>
      </c>
      <c r="W29" s="4">
        <v>0</v>
      </c>
      <c r="X29" s="4"/>
      <c r="Y29" s="4"/>
      <c r="Z29" s="4" t="s">
        <v>992</v>
      </c>
    </row>
    <row r="30" spans="1:26" x14ac:dyDescent="0.3">
      <c r="A30" s="4" t="s">
        <v>285</v>
      </c>
      <c r="B30" s="4" t="s">
        <v>228</v>
      </c>
      <c r="C30" s="4" t="s">
        <v>960</v>
      </c>
      <c r="D30" s="4" t="s">
        <v>950</v>
      </c>
      <c r="E30" s="4" t="s">
        <v>938</v>
      </c>
      <c r="F30" s="4" t="s">
        <v>939</v>
      </c>
      <c r="G30" s="4">
        <v>0</v>
      </c>
      <c r="H30" s="4">
        <v>1</v>
      </c>
      <c r="I30" s="4"/>
      <c r="J30" s="4">
        <v>2023</v>
      </c>
      <c r="K30" s="4"/>
      <c r="L30" s="7"/>
      <c r="M30" s="7">
        <v>100000</v>
      </c>
      <c r="N30" s="7"/>
      <c r="O30" s="4">
        <v>0</v>
      </c>
      <c r="P30" s="4">
        <v>0</v>
      </c>
      <c r="Q30" s="7"/>
      <c r="R30" s="7"/>
      <c r="S30" s="7"/>
      <c r="T30" s="7"/>
      <c r="U30" s="4"/>
      <c r="V30" s="4">
        <v>0</v>
      </c>
      <c r="W30" s="4">
        <v>0</v>
      </c>
      <c r="X30" s="4" t="s">
        <v>993</v>
      </c>
      <c r="Y30" s="4"/>
      <c r="Z30" s="4" t="s">
        <v>994</v>
      </c>
    </row>
    <row r="31" spans="1:26" x14ac:dyDescent="0.3">
      <c r="A31" s="4" t="s">
        <v>285</v>
      </c>
      <c r="B31" s="4" t="s">
        <v>995</v>
      </c>
      <c r="C31" s="4" t="s">
        <v>996</v>
      </c>
      <c r="D31" s="4" t="s">
        <v>943</v>
      </c>
      <c r="E31" s="4" t="s">
        <v>938</v>
      </c>
      <c r="F31" s="4" t="s">
        <v>939</v>
      </c>
      <c r="G31" s="4">
        <v>0</v>
      </c>
      <c r="H31" s="4">
        <v>1</v>
      </c>
      <c r="I31" s="4"/>
      <c r="J31" s="4">
        <v>2024</v>
      </c>
      <c r="K31" s="4"/>
      <c r="L31" s="7"/>
      <c r="M31" s="7">
        <v>100000</v>
      </c>
      <c r="N31" s="7"/>
      <c r="O31" s="4">
        <v>0</v>
      </c>
      <c r="P31" s="4">
        <v>0</v>
      </c>
      <c r="Q31" s="7"/>
      <c r="R31" s="7"/>
      <c r="S31" s="7"/>
      <c r="T31" s="7"/>
      <c r="U31" s="4"/>
      <c r="V31" s="4">
        <v>0</v>
      </c>
      <c r="W31" s="4"/>
      <c r="X31" s="4" t="s">
        <v>997</v>
      </c>
      <c r="Y31" s="4"/>
      <c r="Z31" s="4"/>
    </row>
    <row r="32" spans="1:26" x14ac:dyDescent="0.3">
      <c r="A32" s="4" t="s">
        <v>291</v>
      </c>
      <c r="B32" s="4" t="s">
        <v>976</v>
      </c>
      <c r="C32" s="4" t="s">
        <v>977</v>
      </c>
      <c r="D32" s="4" t="s">
        <v>974</v>
      </c>
      <c r="E32" s="4" t="s">
        <v>938</v>
      </c>
      <c r="F32" s="4" t="s">
        <v>939</v>
      </c>
      <c r="G32" s="4">
        <v>0</v>
      </c>
      <c r="H32" s="4">
        <v>1</v>
      </c>
      <c r="I32" s="4"/>
      <c r="J32" s="4">
        <v>2021</v>
      </c>
      <c r="K32" s="4"/>
      <c r="L32" s="7"/>
      <c r="M32" s="7"/>
      <c r="N32" s="7"/>
      <c r="O32" s="4">
        <v>0</v>
      </c>
      <c r="P32" s="4">
        <v>1</v>
      </c>
      <c r="Q32" s="7">
        <v>1750000</v>
      </c>
      <c r="R32" s="7"/>
      <c r="S32" s="7"/>
      <c r="T32" s="7"/>
      <c r="U32" s="4"/>
      <c r="V32" s="4">
        <v>0</v>
      </c>
      <c r="W32" s="4"/>
      <c r="X32" s="4" t="s">
        <v>998</v>
      </c>
      <c r="Y32" s="4"/>
      <c r="Z32" s="4"/>
    </row>
    <row r="33" spans="1:26" x14ac:dyDescent="0.3">
      <c r="A33" s="4" t="s">
        <v>298</v>
      </c>
      <c r="B33" s="4" t="s">
        <v>284</v>
      </c>
      <c r="C33" s="4" t="s">
        <v>950</v>
      </c>
      <c r="D33" s="4" t="s">
        <v>950</v>
      </c>
      <c r="E33" s="4" t="s">
        <v>938</v>
      </c>
      <c r="F33" s="4" t="s">
        <v>939</v>
      </c>
      <c r="G33" s="4">
        <v>0</v>
      </c>
      <c r="H33" s="4">
        <v>1</v>
      </c>
      <c r="I33" s="4"/>
      <c r="J33" s="4"/>
      <c r="K33" s="4"/>
      <c r="L33" s="7"/>
      <c r="M33" s="7"/>
      <c r="N33" s="7"/>
      <c r="O33" s="4">
        <v>0</v>
      </c>
      <c r="P33" s="4">
        <v>0</v>
      </c>
      <c r="Q33" s="7"/>
      <c r="R33" s="7"/>
      <c r="S33" s="7"/>
      <c r="T33" s="7"/>
      <c r="U33" s="4"/>
      <c r="V33" s="4">
        <v>0</v>
      </c>
      <c r="W33" s="4"/>
      <c r="X33" s="4"/>
      <c r="Y33" s="4"/>
      <c r="Z33" s="4"/>
    </row>
    <row r="34" spans="1:26" x14ac:dyDescent="0.3">
      <c r="A34" s="4" t="s">
        <v>298</v>
      </c>
      <c r="B34" s="4" t="s">
        <v>999</v>
      </c>
      <c r="C34" s="4" t="s">
        <v>1000</v>
      </c>
      <c r="D34" s="4" t="s">
        <v>974</v>
      </c>
      <c r="E34" s="4" t="s">
        <v>938</v>
      </c>
      <c r="F34" s="4" t="s">
        <v>939</v>
      </c>
      <c r="G34" s="4">
        <v>0</v>
      </c>
      <c r="H34" s="4">
        <v>1</v>
      </c>
      <c r="I34" s="4"/>
      <c r="J34" s="4"/>
      <c r="K34" s="4"/>
      <c r="L34" s="7"/>
      <c r="M34" s="7"/>
      <c r="N34" s="7"/>
      <c r="O34" s="4">
        <v>0</v>
      </c>
      <c r="P34" s="4">
        <v>0</v>
      </c>
      <c r="Q34" s="7"/>
      <c r="R34" s="7"/>
      <c r="S34" s="7"/>
      <c r="T34" s="7"/>
      <c r="U34" s="4"/>
      <c r="V34" s="4">
        <v>0</v>
      </c>
      <c r="W34" s="4"/>
      <c r="X34" s="4"/>
      <c r="Y34" s="4"/>
      <c r="Z34" s="4"/>
    </row>
    <row r="35" spans="1:26" x14ac:dyDescent="0.3">
      <c r="A35" s="4" t="s">
        <v>298</v>
      </c>
      <c r="B35" s="4" t="s">
        <v>1001</v>
      </c>
      <c r="C35" s="4" t="s">
        <v>1002</v>
      </c>
      <c r="D35" s="4" t="s">
        <v>943</v>
      </c>
      <c r="E35" s="4" t="s">
        <v>938</v>
      </c>
      <c r="F35" s="4" t="s">
        <v>939</v>
      </c>
      <c r="G35" s="4">
        <v>0</v>
      </c>
      <c r="H35" s="4">
        <v>1</v>
      </c>
      <c r="I35" s="4"/>
      <c r="J35" s="4"/>
      <c r="K35" s="4"/>
      <c r="L35" s="7"/>
      <c r="M35" s="7"/>
      <c r="N35" s="7"/>
      <c r="O35" s="4">
        <v>0</v>
      </c>
      <c r="P35" s="4">
        <v>0</v>
      </c>
      <c r="Q35" s="7"/>
      <c r="R35" s="7"/>
      <c r="S35" s="7"/>
      <c r="T35" s="7"/>
      <c r="U35" s="4"/>
      <c r="V35" s="4">
        <v>0</v>
      </c>
      <c r="W35" s="4"/>
      <c r="X35" s="4"/>
      <c r="Y35" s="4"/>
      <c r="Z35" s="4"/>
    </row>
    <row r="36" spans="1:26" x14ac:dyDescent="0.3">
      <c r="A36" s="4" t="s">
        <v>306</v>
      </c>
      <c r="B36" s="4" t="s">
        <v>284</v>
      </c>
      <c r="C36" s="4" t="s">
        <v>950</v>
      </c>
      <c r="D36" s="4" t="s">
        <v>950</v>
      </c>
      <c r="E36" s="4" t="s">
        <v>938</v>
      </c>
      <c r="F36" s="4" t="s">
        <v>939</v>
      </c>
      <c r="G36" s="4">
        <v>0</v>
      </c>
      <c r="H36" s="4">
        <v>1</v>
      </c>
      <c r="I36" s="4"/>
      <c r="J36" s="4"/>
      <c r="K36" s="4"/>
      <c r="L36" s="7"/>
      <c r="M36" s="7"/>
      <c r="N36" s="7"/>
      <c r="O36" s="4">
        <v>0</v>
      </c>
      <c r="P36" s="4">
        <v>0</v>
      </c>
      <c r="Q36" s="7"/>
      <c r="R36" s="7"/>
      <c r="S36" s="7"/>
      <c r="T36" s="7"/>
      <c r="U36" s="4"/>
      <c r="V36" s="4">
        <v>0</v>
      </c>
      <c r="W36" s="4"/>
      <c r="X36" s="4"/>
      <c r="Y36" s="4"/>
      <c r="Z36" s="4"/>
    </row>
    <row r="37" spans="1:26" x14ac:dyDescent="0.3">
      <c r="A37" s="4" t="s">
        <v>310</v>
      </c>
      <c r="B37" s="4" t="s">
        <v>228</v>
      </c>
      <c r="C37" s="4" t="s">
        <v>950</v>
      </c>
      <c r="D37" s="4" t="s">
        <v>950</v>
      </c>
      <c r="E37" s="4" t="s">
        <v>938</v>
      </c>
      <c r="F37" s="4" t="s">
        <v>939</v>
      </c>
      <c r="G37" s="4">
        <v>0</v>
      </c>
      <c r="H37" s="4">
        <v>1</v>
      </c>
      <c r="I37" s="4"/>
      <c r="J37" s="4"/>
      <c r="K37" s="4"/>
      <c r="L37" s="7"/>
      <c r="M37" s="7"/>
      <c r="N37" s="7"/>
      <c r="O37" s="4">
        <v>0</v>
      </c>
      <c r="P37" s="4">
        <v>0</v>
      </c>
      <c r="Q37" s="7"/>
      <c r="R37" s="7"/>
      <c r="S37" s="7"/>
      <c r="T37" s="7"/>
      <c r="U37" s="4"/>
      <c r="V37" s="4">
        <v>0</v>
      </c>
      <c r="W37" s="4"/>
      <c r="X37" s="4"/>
      <c r="Y37" s="4"/>
      <c r="Z37" s="4"/>
    </row>
    <row r="38" spans="1:26" x14ac:dyDescent="0.3">
      <c r="A38" s="4" t="s">
        <v>310</v>
      </c>
      <c r="B38" s="4" t="s">
        <v>1003</v>
      </c>
      <c r="C38" s="4" t="s">
        <v>962</v>
      </c>
      <c r="D38" s="4" t="s">
        <v>937</v>
      </c>
      <c r="E38" s="4" t="s">
        <v>938</v>
      </c>
      <c r="F38" s="4" t="s">
        <v>939</v>
      </c>
      <c r="G38" s="4">
        <v>0</v>
      </c>
      <c r="H38" s="4">
        <v>1</v>
      </c>
      <c r="I38" s="4"/>
      <c r="J38" s="4"/>
      <c r="K38" s="4"/>
      <c r="L38" s="7"/>
      <c r="M38" s="7"/>
      <c r="N38" s="7"/>
      <c r="O38" s="4">
        <v>0</v>
      </c>
      <c r="P38" s="4">
        <v>1</v>
      </c>
      <c r="Q38" s="7">
        <v>170000</v>
      </c>
      <c r="R38" s="7"/>
      <c r="S38" s="7"/>
      <c r="T38" s="7"/>
      <c r="U38" s="4"/>
      <c r="V38" s="4">
        <v>0</v>
      </c>
      <c r="W38" s="4"/>
      <c r="X38" s="4" t="s">
        <v>1004</v>
      </c>
      <c r="Y38" s="4"/>
      <c r="Z38" s="4"/>
    </row>
    <row r="39" spans="1:26" x14ac:dyDescent="0.3">
      <c r="A39" s="4" t="s">
        <v>310</v>
      </c>
      <c r="B39" s="4" t="s">
        <v>1005</v>
      </c>
      <c r="C39" s="4" t="s">
        <v>962</v>
      </c>
      <c r="D39" s="4" t="s">
        <v>937</v>
      </c>
      <c r="E39" s="4" t="s">
        <v>938</v>
      </c>
      <c r="F39" s="4" t="s">
        <v>939</v>
      </c>
      <c r="G39" s="4">
        <v>0</v>
      </c>
      <c r="H39" s="4">
        <v>1</v>
      </c>
      <c r="I39" s="4"/>
      <c r="J39" s="4"/>
      <c r="K39" s="4"/>
      <c r="L39" s="7"/>
      <c r="M39" s="7"/>
      <c r="N39" s="7"/>
      <c r="O39" s="4">
        <v>0</v>
      </c>
      <c r="P39" s="4">
        <v>1</v>
      </c>
      <c r="Q39" s="7">
        <v>170000</v>
      </c>
      <c r="R39" s="7"/>
      <c r="S39" s="7"/>
      <c r="T39" s="7"/>
      <c r="U39" s="4"/>
      <c r="V39" s="4">
        <v>0</v>
      </c>
      <c r="W39" s="4"/>
      <c r="X39" s="4" t="s">
        <v>1004</v>
      </c>
      <c r="Y39" s="4"/>
      <c r="Z39" s="4"/>
    </row>
    <row r="40" spans="1:26" x14ac:dyDescent="0.3">
      <c r="A40" s="4" t="s">
        <v>321</v>
      </c>
      <c r="B40" s="4" t="s">
        <v>1006</v>
      </c>
      <c r="C40" s="4" t="s">
        <v>962</v>
      </c>
      <c r="D40" s="4" t="s">
        <v>937</v>
      </c>
      <c r="E40" s="4" t="s">
        <v>938</v>
      </c>
      <c r="F40" s="4" t="s">
        <v>939</v>
      </c>
      <c r="G40" s="4">
        <v>0</v>
      </c>
      <c r="H40" s="4">
        <v>1</v>
      </c>
      <c r="I40" s="4"/>
      <c r="J40" s="4">
        <v>2021</v>
      </c>
      <c r="K40" s="4"/>
      <c r="L40" s="7"/>
      <c r="M40" s="7">
        <v>10600000</v>
      </c>
      <c r="N40" s="7"/>
      <c r="O40" s="4">
        <v>0</v>
      </c>
      <c r="P40" s="4">
        <v>0</v>
      </c>
      <c r="Q40" s="7"/>
      <c r="R40" s="7"/>
      <c r="S40" s="7"/>
      <c r="T40" s="7"/>
      <c r="U40" s="4"/>
      <c r="V40" s="4">
        <v>0</v>
      </c>
      <c r="W40" s="4"/>
      <c r="X40" s="4" t="s">
        <v>1007</v>
      </c>
      <c r="Y40" s="4"/>
      <c r="Z40" s="4"/>
    </row>
    <row r="41" spans="1:26" x14ac:dyDescent="0.3">
      <c r="A41" s="4" t="s">
        <v>321</v>
      </c>
      <c r="B41" s="4" t="s">
        <v>1008</v>
      </c>
      <c r="C41" s="4" t="s">
        <v>962</v>
      </c>
      <c r="D41" s="4" t="s">
        <v>937</v>
      </c>
      <c r="E41" s="4" t="s">
        <v>938</v>
      </c>
      <c r="F41" s="4" t="s">
        <v>1009</v>
      </c>
      <c r="G41" s="4">
        <v>0</v>
      </c>
      <c r="H41" s="4"/>
      <c r="I41" s="4"/>
      <c r="J41" s="4">
        <v>2022</v>
      </c>
      <c r="K41" s="4"/>
      <c r="L41" s="7">
        <v>15000000</v>
      </c>
      <c r="M41" s="7"/>
      <c r="N41" s="7"/>
      <c r="O41" s="4">
        <v>0</v>
      </c>
      <c r="P41" s="4">
        <v>0</v>
      </c>
      <c r="Q41" s="7"/>
      <c r="R41" s="7"/>
      <c r="S41" s="7"/>
      <c r="T41" s="7"/>
      <c r="U41" s="4"/>
      <c r="V41" s="4">
        <v>0</v>
      </c>
      <c r="W41" s="4">
        <v>0</v>
      </c>
      <c r="X41" s="4"/>
      <c r="Y41" s="4"/>
      <c r="Z41" s="4" t="s">
        <v>1010</v>
      </c>
    </row>
    <row r="42" spans="1:26" x14ac:dyDescent="0.3">
      <c r="A42" s="4" t="s">
        <v>326</v>
      </c>
      <c r="B42" s="4" t="s">
        <v>284</v>
      </c>
      <c r="C42" s="4" t="s">
        <v>950</v>
      </c>
      <c r="D42" s="4" t="s">
        <v>950</v>
      </c>
      <c r="E42" s="4" t="s">
        <v>938</v>
      </c>
      <c r="F42" s="4" t="s">
        <v>939</v>
      </c>
      <c r="G42" s="4">
        <v>0</v>
      </c>
      <c r="H42" s="4">
        <v>1</v>
      </c>
      <c r="I42" s="4"/>
      <c r="J42" s="4"/>
      <c r="K42" s="4"/>
      <c r="L42" s="7"/>
      <c r="M42" s="7"/>
      <c r="N42" s="7"/>
      <c r="O42" s="4">
        <v>0</v>
      </c>
      <c r="P42" s="4">
        <v>0</v>
      </c>
      <c r="Q42" s="7"/>
      <c r="R42" s="7"/>
      <c r="S42" s="7"/>
      <c r="T42" s="7"/>
      <c r="U42" s="4"/>
      <c r="V42" s="4">
        <v>0</v>
      </c>
      <c r="W42" s="4"/>
      <c r="X42" s="4"/>
      <c r="Y42" s="4"/>
      <c r="Z42" s="4"/>
    </row>
    <row r="43" spans="1:26" x14ac:dyDescent="0.3">
      <c r="A43" s="4" t="s">
        <v>330</v>
      </c>
      <c r="B43" s="4" t="s">
        <v>1011</v>
      </c>
      <c r="C43" s="4" t="s">
        <v>962</v>
      </c>
      <c r="D43" s="4" t="s">
        <v>937</v>
      </c>
      <c r="E43" s="4" t="s">
        <v>938</v>
      </c>
      <c r="F43" s="4" t="s">
        <v>939</v>
      </c>
      <c r="G43" s="4">
        <v>0</v>
      </c>
      <c r="H43" s="4">
        <v>1</v>
      </c>
      <c r="I43" s="4"/>
      <c r="J43" s="4">
        <v>2021</v>
      </c>
      <c r="K43" s="4"/>
      <c r="L43" s="7"/>
      <c r="M43" s="7"/>
      <c r="N43" s="7"/>
      <c r="O43" s="4">
        <v>0</v>
      </c>
      <c r="P43" s="4">
        <v>1</v>
      </c>
      <c r="Q43" s="7">
        <v>200000</v>
      </c>
      <c r="R43" s="7"/>
      <c r="S43" s="7"/>
      <c r="T43" s="7"/>
      <c r="U43" s="4"/>
      <c r="V43" s="4">
        <v>0</v>
      </c>
      <c r="W43" s="4"/>
      <c r="X43" s="4" t="s">
        <v>1012</v>
      </c>
      <c r="Y43" s="4"/>
      <c r="Z43" s="4"/>
    </row>
    <row r="44" spans="1:26" x14ac:dyDescent="0.3">
      <c r="A44" s="4" t="s">
        <v>330</v>
      </c>
      <c r="B44" s="4" t="s">
        <v>1013</v>
      </c>
      <c r="C44" s="4" t="s">
        <v>981</v>
      </c>
      <c r="D44" s="4" t="s">
        <v>968</v>
      </c>
      <c r="E44" s="4" t="s">
        <v>938</v>
      </c>
      <c r="F44" s="4" t="s">
        <v>939</v>
      </c>
      <c r="G44" s="4">
        <v>0</v>
      </c>
      <c r="H44" s="4">
        <v>1</v>
      </c>
      <c r="I44" s="4"/>
      <c r="J44" s="4">
        <v>2021</v>
      </c>
      <c r="K44" s="4"/>
      <c r="L44" s="7"/>
      <c r="M44" s="7"/>
      <c r="N44" s="7"/>
      <c r="O44" s="4">
        <v>0</v>
      </c>
      <c r="P44" s="4">
        <v>1</v>
      </c>
      <c r="Q44" s="7">
        <v>200000</v>
      </c>
      <c r="R44" s="7"/>
      <c r="S44" s="7"/>
      <c r="T44" s="7"/>
      <c r="U44" s="4"/>
      <c r="V44" s="4">
        <v>0</v>
      </c>
      <c r="W44" s="4">
        <v>0</v>
      </c>
      <c r="X44" s="4" t="s">
        <v>1012</v>
      </c>
      <c r="Y44" s="4"/>
      <c r="Z44" s="4" t="s">
        <v>1014</v>
      </c>
    </row>
    <row r="45" spans="1:26" x14ac:dyDescent="0.3">
      <c r="A45" s="4" t="s">
        <v>330</v>
      </c>
      <c r="B45" s="4" t="s">
        <v>1015</v>
      </c>
      <c r="C45" s="4" t="s">
        <v>960</v>
      </c>
      <c r="D45" s="4" t="s">
        <v>950</v>
      </c>
      <c r="E45" s="4" t="s">
        <v>938</v>
      </c>
      <c r="F45" s="4" t="s">
        <v>939</v>
      </c>
      <c r="G45" s="4">
        <v>0</v>
      </c>
      <c r="H45" s="4">
        <v>1</v>
      </c>
      <c r="I45" s="4"/>
      <c r="J45" s="4">
        <v>2022</v>
      </c>
      <c r="K45" s="4"/>
      <c r="L45" s="7"/>
      <c r="M45" s="7"/>
      <c r="N45" s="7"/>
      <c r="O45" s="4">
        <v>0</v>
      </c>
      <c r="P45" s="4">
        <v>1</v>
      </c>
      <c r="Q45" s="7">
        <v>1300000</v>
      </c>
      <c r="R45" s="7"/>
      <c r="S45" s="7"/>
      <c r="T45" s="7"/>
      <c r="U45" s="4"/>
      <c r="V45" s="4">
        <v>0</v>
      </c>
      <c r="W45" s="4">
        <v>0</v>
      </c>
      <c r="X45" s="4" t="s">
        <v>1016</v>
      </c>
      <c r="Y45" s="4"/>
      <c r="Z45" s="4" t="s">
        <v>1017</v>
      </c>
    </row>
    <row r="46" spans="1:26" x14ac:dyDescent="0.3">
      <c r="A46" s="4" t="s">
        <v>330</v>
      </c>
      <c r="B46" s="4" t="s">
        <v>1018</v>
      </c>
      <c r="C46" s="4" t="s">
        <v>1019</v>
      </c>
      <c r="D46" s="4" t="s">
        <v>968</v>
      </c>
      <c r="E46" s="4" t="s">
        <v>938</v>
      </c>
      <c r="F46" s="4" t="s">
        <v>939</v>
      </c>
      <c r="G46" s="4">
        <v>0</v>
      </c>
      <c r="H46" s="4">
        <v>1</v>
      </c>
      <c r="I46" s="4"/>
      <c r="J46" s="4">
        <v>2022</v>
      </c>
      <c r="K46" s="4"/>
      <c r="L46" s="7"/>
      <c r="M46" s="7"/>
      <c r="N46" s="7"/>
      <c r="O46" s="4">
        <v>0</v>
      </c>
      <c r="P46" s="4">
        <v>1</v>
      </c>
      <c r="Q46" s="7">
        <v>1300000</v>
      </c>
      <c r="R46" s="7"/>
      <c r="S46" s="7"/>
      <c r="T46" s="7"/>
      <c r="U46" s="4"/>
      <c r="V46" s="4">
        <v>0</v>
      </c>
      <c r="W46" s="4"/>
      <c r="X46" s="4" t="s">
        <v>1016</v>
      </c>
      <c r="Y46" s="4"/>
      <c r="Z46" s="4"/>
    </row>
    <row r="47" spans="1:26" x14ac:dyDescent="0.3">
      <c r="A47" s="4" t="s">
        <v>330</v>
      </c>
      <c r="B47" s="4" t="s">
        <v>1020</v>
      </c>
      <c r="C47" s="4" t="s">
        <v>962</v>
      </c>
      <c r="D47" s="4" t="s">
        <v>937</v>
      </c>
      <c r="E47" s="4" t="s">
        <v>938</v>
      </c>
      <c r="F47" s="4" t="s">
        <v>939</v>
      </c>
      <c r="G47" s="4">
        <v>0</v>
      </c>
      <c r="H47" s="4">
        <v>1</v>
      </c>
      <c r="I47" s="4"/>
      <c r="J47" s="4">
        <v>2023</v>
      </c>
      <c r="K47" s="4"/>
      <c r="L47" s="7"/>
      <c r="M47" s="7">
        <v>4000000</v>
      </c>
      <c r="N47" s="7"/>
      <c r="O47" s="4">
        <v>0</v>
      </c>
      <c r="P47" s="4">
        <v>0</v>
      </c>
      <c r="Q47" s="7">
        <v>5500000</v>
      </c>
      <c r="R47" s="7"/>
      <c r="S47" s="7"/>
      <c r="T47" s="7"/>
      <c r="U47" s="4"/>
      <c r="V47" s="4">
        <v>0</v>
      </c>
      <c r="W47" s="4">
        <v>0</v>
      </c>
      <c r="X47" s="4" t="s">
        <v>1021</v>
      </c>
      <c r="Y47" s="4"/>
      <c r="Z47" s="4" t="s">
        <v>1022</v>
      </c>
    </row>
    <row r="48" spans="1:26" x14ac:dyDescent="0.3">
      <c r="A48" s="4" t="s">
        <v>335</v>
      </c>
      <c r="B48" s="4" t="s">
        <v>228</v>
      </c>
      <c r="C48" s="4" t="s">
        <v>950</v>
      </c>
      <c r="D48" s="4" t="s">
        <v>950</v>
      </c>
      <c r="E48" s="4" t="s">
        <v>938</v>
      </c>
      <c r="F48" s="4" t="s">
        <v>939</v>
      </c>
      <c r="G48" s="4">
        <v>0</v>
      </c>
      <c r="H48" s="4">
        <v>1</v>
      </c>
      <c r="I48" s="4"/>
      <c r="J48" s="4"/>
      <c r="K48" s="4"/>
      <c r="L48" s="7"/>
      <c r="M48" s="7"/>
      <c r="N48" s="7"/>
      <c r="O48" s="4">
        <v>0</v>
      </c>
      <c r="P48" s="4">
        <v>0</v>
      </c>
      <c r="Q48" s="7"/>
      <c r="R48" s="7"/>
      <c r="S48" s="7"/>
      <c r="T48" s="7"/>
      <c r="U48" s="4"/>
      <c r="V48" s="4">
        <v>0</v>
      </c>
      <c r="W48" s="4"/>
      <c r="X48" s="4"/>
      <c r="Y48" s="4"/>
      <c r="Z48" s="4"/>
    </row>
    <row r="49" spans="1:26" x14ac:dyDescent="0.3">
      <c r="A49" s="4" t="s">
        <v>335</v>
      </c>
      <c r="B49" s="4" t="s">
        <v>1023</v>
      </c>
      <c r="C49" s="4" t="s">
        <v>1024</v>
      </c>
      <c r="D49" s="4" t="s">
        <v>943</v>
      </c>
      <c r="E49" s="4" t="s">
        <v>938</v>
      </c>
      <c r="F49" s="4" t="s">
        <v>939</v>
      </c>
      <c r="G49" s="4">
        <v>0</v>
      </c>
      <c r="H49" s="4">
        <v>1</v>
      </c>
      <c r="I49" s="4"/>
      <c r="J49" s="4">
        <v>2023</v>
      </c>
      <c r="K49" s="4"/>
      <c r="L49" s="7"/>
      <c r="M49" s="7">
        <v>108000</v>
      </c>
      <c r="N49" s="7"/>
      <c r="O49" s="4">
        <v>0</v>
      </c>
      <c r="P49" s="4">
        <v>0</v>
      </c>
      <c r="Q49" s="7"/>
      <c r="R49" s="7"/>
      <c r="S49" s="7"/>
      <c r="T49" s="7"/>
      <c r="U49" s="4"/>
      <c r="V49" s="4">
        <v>0</v>
      </c>
      <c r="W49" s="4"/>
      <c r="X49" s="4" t="s">
        <v>1025</v>
      </c>
      <c r="Y49" s="4"/>
      <c r="Z49" s="4"/>
    </row>
    <row r="50" spans="1:26" x14ac:dyDescent="0.3">
      <c r="A50" s="4" t="s">
        <v>335</v>
      </c>
      <c r="B50" s="4" t="s">
        <v>1026</v>
      </c>
      <c r="C50" s="4" t="s">
        <v>1027</v>
      </c>
      <c r="D50" s="4" t="s">
        <v>943</v>
      </c>
      <c r="E50" s="4" t="s">
        <v>938</v>
      </c>
      <c r="F50" s="4" t="s">
        <v>939</v>
      </c>
      <c r="G50" s="4">
        <v>0</v>
      </c>
      <c r="H50" s="4">
        <v>1</v>
      </c>
      <c r="I50" s="4"/>
      <c r="J50" s="4">
        <v>2017</v>
      </c>
      <c r="K50" s="4"/>
      <c r="L50" s="7"/>
      <c r="M50" s="7"/>
      <c r="N50" s="7"/>
      <c r="O50" s="4">
        <v>0</v>
      </c>
      <c r="P50" s="4">
        <v>0</v>
      </c>
      <c r="Q50" s="7"/>
      <c r="R50" s="7"/>
      <c r="S50" s="7"/>
      <c r="T50" s="7"/>
      <c r="U50" s="4"/>
      <c r="V50" s="4">
        <v>0</v>
      </c>
      <c r="W50" s="4"/>
      <c r="X50" s="4" t="s">
        <v>1028</v>
      </c>
      <c r="Y50" s="4"/>
      <c r="Z50" s="4"/>
    </row>
    <row r="51" spans="1:26" x14ac:dyDescent="0.3">
      <c r="A51" s="4" t="s">
        <v>340</v>
      </c>
      <c r="B51" s="4" t="s">
        <v>1029</v>
      </c>
      <c r="C51" s="4" t="s">
        <v>950</v>
      </c>
      <c r="D51" s="4" t="s">
        <v>950</v>
      </c>
      <c r="E51" s="4" t="s">
        <v>938</v>
      </c>
      <c r="F51" s="4" t="s">
        <v>939</v>
      </c>
      <c r="G51" s="4">
        <v>0</v>
      </c>
      <c r="H51" s="4">
        <v>1</v>
      </c>
      <c r="I51" s="4"/>
      <c r="J51" s="4">
        <v>2017</v>
      </c>
      <c r="K51" s="4"/>
      <c r="L51" s="7"/>
      <c r="M51" s="7"/>
      <c r="N51" s="7"/>
      <c r="O51" s="4">
        <v>0</v>
      </c>
      <c r="P51" s="4">
        <v>0</v>
      </c>
      <c r="Q51" s="7"/>
      <c r="R51" s="7"/>
      <c r="S51" s="7"/>
      <c r="T51" s="7"/>
      <c r="U51" s="4"/>
      <c r="V51" s="4">
        <v>0</v>
      </c>
      <c r="W51" s="4">
        <v>0</v>
      </c>
      <c r="X51" s="4"/>
      <c r="Y51" s="4"/>
      <c r="Z51" s="4" t="s">
        <v>1030</v>
      </c>
    </row>
    <row r="52" spans="1:26" x14ac:dyDescent="0.3">
      <c r="A52" s="4" t="s">
        <v>340</v>
      </c>
      <c r="B52" s="4" t="s">
        <v>1031</v>
      </c>
      <c r="C52" s="4" t="s">
        <v>950</v>
      </c>
      <c r="D52" s="4" t="s">
        <v>950</v>
      </c>
      <c r="E52" s="4" t="s">
        <v>938</v>
      </c>
      <c r="F52" s="4" t="s">
        <v>939</v>
      </c>
      <c r="G52" s="4">
        <v>0</v>
      </c>
      <c r="H52" s="4">
        <v>1</v>
      </c>
      <c r="I52" s="4"/>
      <c r="J52" s="4"/>
      <c r="K52" s="4"/>
      <c r="L52" s="7"/>
      <c r="M52" s="7"/>
      <c r="N52" s="7"/>
      <c r="O52" s="4">
        <v>0</v>
      </c>
      <c r="P52" s="4">
        <v>0</v>
      </c>
      <c r="Q52" s="7"/>
      <c r="R52" s="7"/>
      <c r="S52" s="7"/>
      <c r="T52" s="7"/>
      <c r="U52" s="4"/>
      <c r="V52" s="4">
        <v>0</v>
      </c>
      <c r="W52" s="4"/>
      <c r="X52" s="4"/>
      <c r="Y52" s="4"/>
      <c r="Z52" s="4"/>
    </row>
    <row r="53" spans="1:26" x14ac:dyDescent="0.3">
      <c r="A53" s="4" t="s">
        <v>340</v>
      </c>
      <c r="B53" s="4" t="s">
        <v>1032</v>
      </c>
      <c r="C53" s="4" t="s">
        <v>1033</v>
      </c>
      <c r="D53" s="4" t="s">
        <v>943</v>
      </c>
      <c r="E53" s="4" t="s">
        <v>938</v>
      </c>
      <c r="F53" s="4" t="s">
        <v>939</v>
      </c>
      <c r="G53" s="4">
        <v>0</v>
      </c>
      <c r="H53" s="4">
        <v>1</v>
      </c>
      <c r="I53" s="4"/>
      <c r="J53" s="4">
        <v>2017</v>
      </c>
      <c r="K53" s="4"/>
      <c r="L53" s="7"/>
      <c r="M53" s="7"/>
      <c r="N53" s="7"/>
      <c r="O53" s="4">
        <v>0</v>
      </c>
      <c r="P53" s="4">
        <v>0</v>
      </c>
      <c r="Q53" s="7"/>
      <c r="R53" s="7"/>
      <c r="S53" s="7"/>
      <c r="T53" s="7"/>
      <c r="U53" s="4"/>
      <c r="V53" s="4">
        <v>0</v>
      </c>
      <c r="W53" s="4"/>
      <c r="X53" s="4" t="s">
        <v>1028</v>
      </c>
      <c r="Y53" s="4"/>
      <c r="Z53" s="4"/>
    </row>
    <row r="54" spans="1:26" x14ac:dyDescent="0.3">
      <c r="A54" s="4" t="s">
        <v>340</v>
      </c>
      <c r="B54" s="4" t="s">
        <v>1034</v>
      </c>
      <c r="C54" s="4" t="s">
        <v>962</v>
      </c>
      <c r="D54" s="4" t="s">
        <v>937</v>
      </c>
      <c r="E54" s="4" t="s">
        <v>938</v>
      </c>
      <c r="F54" s="4" t="s">
        <v>939</v>
      </c>
      <c r="G54" s="4">
        <v>0</v>
      </c>
      <c r="H54" s="4">
        <v>1</v>
      </c>
      <c r="I54" s="4"/>
      <c r="J54" s="4">
        <v>2021</v>
      </c>
      <c r="K54" s="4"/>
      <c r="L54" s="7"/>
      <c r="M54" s="7"/>
      <c r="N54" s="7"/>
      <c r="O54" s="4">
        <v>0</v>
      </c>
      <c r="P54" s="4">
        <v>1</v>
      </c>
      <c r="Q54" s="7">
        <v>2200000</v>
      </c>
      <c r="R54" s="7"/>
      <c r="S54" s="7"/>
      <c r="T54" s="7"/>
      <c r="U54" s="4"/>
      <c r="V54" s="4">
        <v>0</v>
      </c>
      <c r="W54" s="4">
        <v>0</v>
      </c>
      <c r="X54" s="4" t="s">
        <v>1035</v>
      </c>
      <c r="Y54" s="4"/>
      <c r="Z54" s="4" t="s">
        <v>1036</v>
      </c>
    </row>
    <row r="55" spans="1:26" x14ac:dyDescent="0.3">
      <c r="A55" s="4" t="s">
        <v>340</v>
      </c>
      <c r="B55" s="4" t="s">
        <v>945</v>
      </c>
      <c r="C55" s="4" t="s">
        <v>1037</v>
      </c>
      <c r="D55" s="4" t="s">
        <v>965</v>
      </c>
      <c r="E55" s="4" t="s">
        <v>938</v>
      </c>
      <c r="F55" s="4" t="s">
        <v>939</v>
      </c>
      <c r="G55" s="4">
        <v>0</v>
      </c>
      <c r="H55" s="4">
        <v>1</v>
      </c>
      <c r="I55" s="4"/>
      <c r="J55" s="4">
        <v>2021</v>
      </c>
      <c r="K55" s="4"/>
      <c r="L55" s="7"/>
      <c r="M55" s="7"/>
      <c r="N55" s="7"/>
      <c r="O55" s="4">
        <v>0</v>
      </c>
      <c r="P55" s="4">
        <v>1</v>
      </c>
      <c r="Q55" s="7">
        <v>2200000</v>
      </c>
      <c r="R55" s="7"/>
      <c r="S55" s="7"/>
      <c r="T55" s="7"/>
      <c r="U55" s="4"/>
      <c r="V55" s="4">
        <v>0</v>
      </c>
      <c r="W55" s="4"/>
      <c r="X55" s="4" t="s">
        <v>1035</v>
      </c>
      <c r="Y55" s="4"/>
      <c r="Z55" s="4"/>
    </row>
    <row r="56" spans="1:26" x14ac:dyDescent="0.3">
      <c r="A56" s="4" t="s">
        <v>345</v>
      </c>
      <c r="B56" s="4" t="s">
        <v>1038</v>
      </c>
      <c r="C56" s="4" t="s">
        <v>1039</v>
      </c>
      <c r="D56" s="4" t="s">
        <v>943</v>
      </c>
      <c r="E56" s="4" t="s">
        <v>938</v>
      </c>
      <c r="F56" s="4" t="s">
        <v>939</v>
      </c>
      <c r="G56" s="4">
        <v>0</v>
      </c>
      <c r="H56" s="4">
        <v>1</v>
      </c>
      <c r="I56" s="4"/>
      <c r="J56" s="4"/>
      <c r="K56" s="4"/>
      <c r="L56" s="7"/>
      <c r="M56" s="7"/>
      <c r="N56" s="7"/>
      <c r="O56" s="4">
        <v>0</v>
      </c>
      <c r="P56" s="4">
        <v>0</v>
      </c>
      <c r="Q56" s="7"/>
      <c r="R56" s="7"/>
      <c r="S56" s="7"/>
      <c r="T56" s="7"/>
      <c r="U56" s="4"/>
      <c r="V56" s="4">
        <v>0</v>
      </c>
      <c r="W56" s="4"/>
      <c r="X56" s="4"/>
      <c r="Y56" s="4"/>
      <c r="Z56" s="4"/>
    </row>
    <row r="57" spans="1:26" x14ac:dyDescent="0.3">
      <c r="A57" s="4" t="s">
        <v>345</v>
      </c>
      <c r="B57" s="4" t="s">
        <v>1040</v>
      </c>
      <c r="C57" s="4" t="s">
        <v>1041</v>
      </c>
      <c r="D57" s="4" t="s">
        <v>943</v>
      </c>
      <c r="E57" s="4" t="s">
        <v>938</v>
      </c>
      <c r="F57" s="4" t="s">
        <v>939</v>
      </c>
      <c r="G57" s="4">
        <v>0</v>
      </c>
      <c r="H57" s="4">
        <v>1</v>
      </c>
      <c r="I57" s="4"/>
      <c r="J57" s="4"/>
      <c r="K57" s="4"/>
      <c r="L57" s="7"/>
      <c r="M57" s="7"/>
      <c r="N57" s="7"/>
      <c r="O57" s="4">
        <v>0</v>
      </c>
      <c r="P57" s="4">
        <v>0</v>
      </c>
      <c r="Q57" s="7"/>
      <c r="R57" s="7"/>
      <c r="S57" s="7"/>
      <c r="T57" s="7"/>
      <c r="U57" s="4"/>
      <c r="V57" s="4">
        <v>0</v>
      </c>
      <c r="W57" s="4"/>
      <c r="X57" s="4"/>
      <c r="Y57" s="4"/>
      <c r="Z57" s="4"/>
    </row>
    <row r="58" spans="1:26" x14ac:dyDescent="0.3">
      <c r="A58" s="4" t="s">
        <v>345</v>
      </c>
      <c r="B58" s="4" t="s">
        <v>1042</v>
      </c>
      <c r="C58" s="4" t="s">
        <v>1027</v>
      </c>
      <c r="D58" s="4" t="s">
        <v>943</v>
      </c>
      <c r="E58" s="4" t="s">
        <v>938</v>
      </c>
      <c r="F58" s="4" t="s">
        <v>939</v>
      </c>
      <c r="G58" s="4">
        <v>0</v>
      </c>
      <c r="H58" s="4">
        <v>1</v>
      </c>
      <c r="I58" s="4"/>
      <c r="J58" s="4"/>
      <c r="K58" s="4"/>
      <c r="L58" s="7"/>
      <c r="M58" s="7"/>
      <c r="N58" s="7"/>
      <c r="O58" s="4">
        <v>0</v>
      </c>
      <c r="P58" s="4">
        <v>0</v>
      </c>
      <c r="Q58" s="7"/>
      <c r="R58" s="7"/>
      <c r="S58" s="7"/>
      <c r="T58" s="7"/>
      <c r="U58" s="4"/>
      <c r="V58" s="4">
        <v>0</v>
      </c>
      <c r="W58" s="4"/>
      <c r="X58" s="4"/>
      <c r="Y58" s="4"/>
      <c r="Z58" s="4"/>
    </row>
    <row r="59" spans="1:26" x14ac:dyDescent="0.3">
      <c r="A59" s="4" t="s">
        <v>345</v>
      </c>
      <c r="B59" s="4" t="s">
        <v>1043</v>
      </c>
      <c r="C59" s="4" t="s">
        <v>1027</v>
      </c>
      <c r="D59" s="4" t="s">
        <v>943</v>
      </c>
      <c r="E59" s="4" t="s">
        <v>938</v>
      </c>
      <c r="F59" s="4" t="s">
        <v>939</v>
      </c>
      <c r="G59" s="4">
        <v>0</v>
      </c>
      <c r="H59" s="4">
        <v>1</v>
      </c>
      <c r="I59" s="4"/>
      <c r="J59" s="4"/>
      <c r="K59" s="4"/>
      <c r="L59" s="7"/>
      <c r="M59" s="7"/>
      <c r="N59" s="7"/>
      <c r="O59" s="4">
        <v>0</v>
      </c>
      <c r="P59" s="4">
        <v>0</v>
      </c>
      <c r="Q59" s="7"/>
      <c r="R59" s="7"/>
      <c r="S59" s="7"/>
      <c r="T59" s="7"/>
      <c r="U59" s="4"/>
      <c r="V59" s="4">
        <v>0</v>
      </c>
      <c r="W59" s="4"/>
      <c r="X59" s="4"/>
      <c r="Y59" s="4"/>
      <c r="Z59" s="4"/>
    </row>
    <row r="60" spans="1:26" x14ac:dyDescent="0.3">
      <c r="A60" s="4" t="s">
        <v>350</v>
      </c>
      <c r="B60" s="4" t="s">
        <v>1044</v>
      </c>
      <c r="C60" s="4" t="s">
        <v>962</v>
      </c>
      <c r="D60" s="4" t="s">
        <v>937</v>
      </c>
      <c r="E60" s="4" t="s">
        <v>938</v>
      </c>
      <c r="F60" s="4" t="s">
        <v>939</v>
      </c>
      <c r="G60" s="4">
        <v>0</v>
      </c>
      <c r="H60" s="4">
        <v>1</v>
      </c>
      <c r="I60" s="4"/>
      <c r="J60" s="4">
        <v>2023</v>
      </c>
      <c r="K60" s="4"/>
      <c r="L60" s="7"/>
      <c r="M60" s="7"/>
      <c r="N60" s="7"/>
      <c r="O60" s="4">
        <v>0</v>
      </c>
      <c r="P60" s="4">
        <v>1</v>
      </c>
      <c r="Q60" s="7">
        <v>750000</v>
      </c>
      <c r="R60" s="7"/>
      <c r="S60" s="7"/>
      <c r="T60" s="7"/>
      <c r="U60" s="4"/>
      <c r="V60" s="4">
        <v>0</v>
      </c>
      <c r="W60" s="4">
        <v>0</v>
      </c>
      <c r="X60" s="4" t="s">
        <v>1045</v>
      </c>
      <c r="Y60" s="4"/>
      <c r="Z60" s="4" t="s">
        <v>1046</v>
      </c>
    </row>
    <row r="61" spans="1:26" x14ac:dyDescent="0.3">
      <c r="A61" s="4" t="s">
        <v>350</v>
      </c>
      <c r="B61" s="4" t="s">
        <v>1047</v>
      </c>
      <c r="C61" s="4" t="s">
        <v>981</v>
      </c>
      <c r="D61" s="4" t="s">
        <v>968</v>
      </c>
      <c r="E61" s="4" t="s">
        <v>938</v>
      </c>
      <c r="F61" s="4" t="s">
        <v>939</v>
      </c>
      <c r="G61" s="4">
        <v>0</v>
      </c>
      <c r="H61" s="4">
        <v>1</v>
      </c>
      <c r="I61" s="4"/>
      <c r="J61" s="4">
        <v>2023</v>
      </c>
      <c r="K61" s="4"/>
      <c r="L61" s="7"/>
      <c r="M61" s="7"/>
      <c r="N61" s="7"/>
      <c r="O61" s="4">
        <v>0</v>
      </c>
      <c r="P61" s="4">
        <v>1</v>
      </c>
      <c r="Q61" s="7">
        <v>750000</v>
      </c>
      <c r="R61" s="7"/>
      <c r="S61" s="7"/>
      <c r="T61" s="7"/>
      <c r="U61" s="4"/>
      <c r="V61" s="4">
        <v>0</v>
      </c>
      <c r="W61" s="4"/>
      <c r="X61" s="4" t="s">
        <v>1045</v>
      </c>
      <c r="Y61" s="4"/>
      <c r="Z61" s="4"/>
    </row>
    <row r="62" spans="1:26" x14ac:dyDescent="0.3">
      <c r="A62" s="4" t="s">
        <v>350</v>
      </c>
      <c r="B62" s="4" t="s">
        <v>976</v>
      </c>
      <c r="C62" s="4" t="s">
        <v>977</v>
      </c>
      <c r="D62" s="4" t="s">
        <v>974</v>
      </c>
      <c r="E62" s="4" t="s">
        <v>938</v>
      </c>
      <c r="F62" s="4" t="s">
        <v>939</v>
      </c>
      <c r="G62" s="4">
        <v>0</v>
      </c>
      <c r="H62" s="4">
        <v>1</v>
      </c>
      <c r="I62" s="4"/>
      <c r="J62" s="4">
        <v>2023</v>
      </c>
      <c r="K62" s="4"/>
      <c r="L62" s="7"/>
      <c r="M62" s="7"/>
      <c r="N62" s="7"/>
      <c r="O62" s="4">
        <v>0</v>
      </c>
      <c r="P62" s="4">
        <v>1</v>
      </c>
      <c r="Q62" s="7">
        <v>750000</v>
      </c>
      <c r="R62" s="7"/>
      <c r="S62" s="7"/>
      <c r="T62" s="7"/>
      <c r="U62" s="4"/>
      <c r="V62" s="4">
        <v>0</v>
      </c>
      <c r="W62" s="4"/>
      <c r="X62" s="4" t="s">
        <v>1045</v>
      </c>
      <c r="Y62" s="4"/>
      <c r="Z62" s="4"/>
    </row>
    <row r="63" spans="1:26" x14ac:dyDescent="0.3">
      <c r="A63" s="4" t="s">
        <v>350</v>
      </c>
      <c r="B63" s="4" t="s">
        <v>228</v>
      </c>
      <c r="C63" s="4" t="s">
        <v>950</v>
      </c>
      <c r="D63" s="4" t="s">
        <v>950</v>
      </c>
      <c r="E63" s="4" t="s">
        <v>938</v>
      </c>
      <c r="F63" s="4" t="s">
        <v>939</v>
      </c>
      <c r="G63" s="4">
        <v>0</v>
      </c>
      <c r="H63" s="4">
        <v>1</v>
      </c>
      <c r="I63" s="4"/>
      <c r="J63" s="4">
        <v>2023</v>
      </c>
      <c r="K63" s="4"/>
      <c r="L63" s="7"/>
      <c r="M63" s="7"/>
      <c r="N63" s="7"/>
      <c r="O63" s="4">
        <v>0</v>
      </c>
      <c r="P63" s="4">
        <v>1</v>
      </c>
      <c r="Q63" s="7">
        <v>750000</v>
      </c>
      <c r="R63" s="7"/>
      <c r="S63" s="7"/>
      <c r="T63" s="7"/>
      <c r="U63" s="4"/>
      <c r="V63" s="4">
        <v>0</v>
      </c>
      <c r="W63" s="4"/>
      <c r="X63" s="4" t="s">
        <v>1045</v>
      </c>
      <c r="Y63" s="4"/>
      <c r="Z63" s="4"/>
    </row>
    <row r="64" spans="1:26" x14ac:dyDescent="0.3">
      <c r="A64" s="4" t="s">
        <v>350</v>
      </c>
      <c r="B64" s="4" t="s">
        <v>1048</v>
      </c>
      <c r="C64" s="4" t="s">
        <v>962</v>
      </c>
      <c r="D64" s="4" t="s">
        <v>937</v>
      </c>
      <c r="E64" s="4" t="s">
        <v>938</v>
      </c>
      <c r="F64" s="4" t="s">
        <v>939</v>
      </c>
      <c r="G64" s="4">
        <v>0</v>
      </c>
      <c r="H64" s="4">
        <v>1</v>
      </c>
      <c r="I64" s="4"/>
      <c r="J64" s="4">
        <v>2023</v>
      </c>
      <c r="K64" s="4"/>
      <c r="L64" s="7"/>
      <c r="M64" s="7"/>
      <c r="N64" s="7"/>
      <c r="O64" s="4">
        <v>0</v>
      </c>
      <c r="P64" s="4">
        <v>1</v>
      </c>
      <c r="Q64" s="7">
        <v>750000</v>
      </c>
      <c r="R64" s="7"/>
      <c r="S64" s="7"/>
      <c r="T64" s="7"/>
      <c r="U64" s="4"/>
      <c r="V64" s="4">
        <v>0</v>
      </c>
      <c r="W64" s="4"/>
      <c r="X64" s="4" t="s">
        <v>1045</v>
      </c>
      <c r="Y64" s="4"/>
      <c r="Z64" s="4"/>
    </row>
    <row r="65" spans="1:26" x14ac:dyDescent="0.3">
      <c r="A65" s="4" t="s">
        <v>350</v>
      </c>
      <c r="B65" s="4" t="s">
        <v>1001</v>
      </c>
      <c r="C65" s="4" t="s">
        <v>1002</v>
      </c>
      <c r="D65" s="4" t="s">
        <v>943</v>
      </c>
      <c r="E65" s="4" t="s">
        <v>938</v>
      </c>
      <c r="F65" s="4" t="s">
        <v>939</v>
      </c>
      <c r="G65" s="4">
        <v>0</v>
      </c>
      <c r="H65" s="4">
        <v>1</v>
      </c>
      <c r="I65" s="4"/>
      <c r="J65" s="4"/>
      <c r="K65" s="4"/>
      <c r="L65" s="7"/>
      <c r="M65" s="7"/>
      <c r="N65" s="7"/>
      <c r="O65" s="4">
        <v>0</v>
      </c>
      <c r="P65" s="4">
        <v>0</v>
      </c>
      <c r="Q65" s="7"/>
      <c r="R65" s="7"/>
      <c r="S65" s="7"/>
      <c r="T65" s="7"/>
      <c r="U65" s="4"/>
      <c r="V65" s="4">
        <v>0</v>
      </c>
      <c r="W65" s="4"/>
      <c r="X65" s="4"/>
      <c r="Y65" s="4"/>
      <c r="Z65" s="4"/>
    </row>
    <row r="66" spans="1:26" x14ac:dyDescent="0.3">
      <c r="A66" s="4" t="s">
        <v>355</v>
      </c>
      <c r="B66" s="4" t="s">
        <v>1049</v>
      </c>
      <c r="C66" s="4" t="s">
        <v>962</v>
      </c>
      <c r="D66" s="4" t="s">
        <v>937</v>
      </c>
      <c r="E66" s="4" t="s">
        <v>938</v>
      </c>
      <c r="F66" s="4" t="s">
        <v>939</v>
      </c>
      <c r="G66" s="4">
        <v>0</v>
      </c>
      <c r="H66" s="4">
        <v>1</v>
      </c>
      <c r="I66" s="4"/>
      <c r="J66" s="4">
        <v>2015</v>
      </c>
      <c r="K66" s="4"/>
      <c r="L66" s="7"/>
      <c r="M66" s="7">
        <v>250000</v>
      </c>
      <c r="N66" s="7"/>
      <c r="O66" s="4">
        <v>0</v>
      </c>
      <c r="P66" s="4">
        <v>0</v>
      </c>
      <c r="Q66" s="7"/>
      <c r="R66" s="7"/>
      <c r="S66" s="7"/>
      <c r="T66" s="7"/>
      <c r="U66" s="4"/>
      <c r="V66" s="4">
        <v>0</v>
      </c>
      <c r="W66" s="4">
        <v>0</v>
      </c>
      <c r="X66" s="4" t="s">
        <v>1050</v>
      </c>
      <c r="Y66" s="4"/>
      <c r="Z66" s="4" t="s">
        <v>1051</v>
      </c>
    </row>
    <row r="67" spans="1:26" x14ac:dyDescent="0.3">
      <c r="A67" s="4" t="s">
        <v>358</v>
      </c>
      <c r="B67" s="4" t="s">
        <v>284</v>
      </c>
      <c r="C67" s="4" t="s">
        <v>950</v>
      </c>
      <c r="D67" s="4" t="s">
        <v>950</v>
      </c>
      <c r="E67" s="4" t="s">
        <v>938</v>
      </c>
      <c r="F67" s="4" t="s">
        <v>939</v>
      </c>
      <c r="G67" s="4">
        <v>0</v>
      </c>
      <c r="H67" s="4">
        <v>1</v>
      </c>
      <c r="I67" s="4"/>
      <c r="J67" s="4">
        <v>2017</v>
      </c>
      <c r="K67" s="4"/>
      <c r="L67" s="7"/>
      <c r="M67" s="7"/>
      <c r="N67" s="7"/>
      <c r="O67" s="4">
        <v>0</v>
      </c>
      <c r="P67" s="4">
        <v>0</v>
      </c>
      <c r="Q67" s="7"/>
      <c r="R67" s="7"/>
      <c r="S67" s="7"/>
      <c r="T67" s="7"/>
      <c r="U67" s="4"/>
      <c r="V67" s="4">
        <v>0</v>
      </c>
      <c r="W67" s="4"/>
      <c r="X67" s="4"/>
      <c r="Y67" s="4"/>
      <c r="Z67" s="4"/>
    </row>
    <row r="68" spans="1:26" x14ac:dyDescent="0.3">
      <c r="A68" s="4" t="s">
        <v>358</v>
      </c>
      <c r="B68" s="4" t="s">
        <v>1052</v>
      </c>
      <c r="C68" s="4" t="s">
        <v>1053</v>
      </c>
      <c r="D68" s="4" t="s">
        <v>968</v>
      </c>
      <c r="E68" s="4" t="s">
        <v>938</v>
      </c>
      <c r="F68" s="4" t="s">
        <v>939</v>
      </c>
      <c r="G68" s="4">
        <v>0</v>
      </c>
      <c r="H68" s="4">
        <v>1</v>
      </c>
      <c r="I68" s="4"/>
      <c r="J68" s="4"/>
      <c r="K68" s="4"/>
      <c r="L68" s="7"/>
      <c r="M68" s="7"/>
      <c r="N68" s="7"/>
      <c r="O68" s="4">
        <v>0</v>
      </c>
      <c r="P68" s="4">
        <v>0</v>
      </c>
      <c r="Q68" s="7"/>
      <c r="R68" s="7"/>
      <c r="S68" s="7"/>
      <c r="T68" s="7"/>
      <c r="U68" s="4"/>
      <c r="V68" s="4">
        <v>0</v>
      </c>
      <c r="W68" s="4"/>
      <c r="X68" s="4" t="s">
        <v>1054</v>
      </c>
      <c r="Y68" s="4"/>
      <c r="Z68" s="4"/>
    </row>
    <row r="69" spans="1:26" x14ac:dyDescent="0.3">
      <c r="A69" s="4" t="s">
        <v>358</v>
      </c>
      <c r="B69" s="4" t="s">
        <v>228</v>
      </c>
      <c r="C69" s="4" t="s">
        <v>950</v>
      </c>
      <c r="D69" s="4" t="s">
        <v>950</v>
      </c>
      <c r="E69" s="4" t="s">
        <v>938</v>
      </c>
      <c r="F69" s="4" t="s">
        <v>939</v>
      </c>
      <c r="G69" s="4">
        <v>0</v>
      </c>
      <c r="H69" s="4">
        <v>1</v>
      </c>
      <c r="I69" s="4"/>
      <c r="J69" s="4"/>
      <c r="K69" s="4"/>
      <c r="L69" s="7"/>
      <c r="M69" s="7"/>
      <c r="N69" s="7"/>
      <c r="O69" s="4">
        <v>0</v>
      </c>
      <c r="P69" s="4">
        <v>0</v>
      </c>
      <c r="Q69" s="7"/>
      <c r="R69" s="7"/>
      <c r="S69" s="7"/>
      <c r="T69" s="7"/>
      <c r="U69" s="4"/>
      <c r="V69" s="4">
        <v>0</v>
      </c>
      <c r="W69" s="4"/>
      <c r="X69" s="4"/>
      <c r="Y69" s="4"/>
      <c r="Z69" s="4"/>
    </row>
    <row r="70" spans="1:26" x14ac:dyDescent="0.3">
      <c r="A70" s="4" t="s">
        <v>358</v>
      </c>
      <c r="B70" s="4" t="s">
        <v>1055</v>
      </c>
      <c r="C70" s="4" t="s">
        <v>962</v>
      </c>
      <c r="D70" s="4" t="s">
        <v>937</v>
      </c>
      <c r="E70" s="4" t="s">
        <v>938</v>
      </c>
      <c r="F70" s="4" t="s">
        <v>939</v>
      </c>
      <c r="G70" s="4">
        <v>0</v>
      </c>
      <c r="H70" s="4">
        <v>1</v>
      </c>
      <c r="I70" s="4"/>
      <c r="J70" s="4">
        <v>2022</v>
      </c>
      <c r="K70" s="4"/>
      <c r="L70" s="7"/>
      <c r="M70" s="7">
        <v>500000</v>
      </c>
      <c r="N70" s="7"/>
      <c r="O70" s="4">
        <v>0</v>
      </c>
      <c r="P70" s="4">
        <v>0</v>
      </c>
      <c r="Q70" s="7"/>
      <c r="R70" s="7"/>
      <c r="S70" s="7"/>
      <c r="T70" s="7"/>
      <c r="U70" s="4"/>
      <c r="V70" s="4">
        <v>0</v>
      </c>
      <c r="W70" s="4">
        <v>0</v>
      </c>
      <c r="X70" s="4" t="s">
        <v>1056</v>
      </c>
      <c r="Y70" s="4"/>
      <c r="Z70" s="4" t="s">
        <v>1057</v>
      </c>
    </row>
    <row r="71" spans="1:26" x14ac:dyDescent="0.3">
      <c r="A71" s="4" t="s">
        <v>363</v>
      </c>
      <c r="B71" s="4"/>
      <c r="C71" s="4"/>
      <c r="D71" s="4" t="s">
        <v>1058</v>
      </c>
      <c r="E71" s="4" t="s">
        <v>1059</v>
      </c>
      <c r="F71" s="4" t="s">
        <v>1060</v>
      </c>
      <c r="G71" s="4">
        <v>0</v>
      </c>
      <c r="H71" s="4"/>
      <c r="I71" s="4"/>
      <c r="J71" s="4"/>
      <c r="K71" s="4"/>
      <c r="L71" s="7"/>
      <c r="M71" s="7"/>
      <c r="N71" s="7"/>
      <c r="O71" s="4">
        <v>0</v>
      </c>
      <c r="P71" s="4">
        <v>0</v>
      </c>
      <c r="Q71" s="7"/>
      <c r="R71" s="7"/>
      <c r="S71" s="7"/>
      <c r="T71" s="7"/>
      <c r="U71" s="4"/>
      <c r="V71" s="4">
        <v>0</v>
      </c>
      <c r="W71" s="4">
        <v>0</v>
      </c>
      <c r="X71" s="4"/>
      <c r="Y71" s="4"/>
      <c r="Z71" s="4" t="s">
        <v>1061</v>
      </c>
    </row>
    <row r="72" spans="1:26" x14ac:dyDescent="0.3">
      <c r="A72" s="4" t="s">
        <v>369</v>
      </c>
      <c r="B72" s="4"/>
      <c r="C72" s="4"/>
      <c r="D72" s="4" t="s">
        <v>1058</v>
      </c>
      <c r="E72" s="4" t="s">
        <v>1059</v>
      </c>
      <c r="F72" s="4" t="s">
        <v>1060</v>
      </c>
      <c r="G72" s="4">
        <v>0</v>
      </c>
      <c r="H72" s="4"/>
      <c r="I72" s="4"/>
      <c r="J72" s="4"/>
      <c r="K72" s="4"/>
      <c r="L72" s="7"/>
      <c r="M72" s="7"/>
      <c r="N72" s="7"/>
      <c r="O72" s="4">
        <v>0</v>
      </c>
      <c r="P72" s="4">
        <v>0</v>
      </c>
      <c r="Q72" s="7"/>
      <c r="R72" s="7"/>
      <c r="S72" s="7"/>
      <c r="T72" s="7"/>
      <c r="U72" s="4"/>
      <c r="V72" s="4">
        <v>0</v>
      </c>
      <c r="W72" s="4">
        <v>0</v>
      </c>
      <c r="X72" s="4"/>
      <c r="Y72" s="4"/>
      <c r="Z72" s="4" t="s">
        <v>1061</v>
      </c>
    </row>
    <row r="73" spans="1:26" x14ac:dyDescent="0.3">
      <c r="A73" s="4" t="s">
        <v>375</v>
      </c>
      <c r="B73" s="4" t="s">
        <v>1062</v>
      </c>
      <c r="C73" s="4" t="s">
        <v>936</v>
      </c>
      <c r="D73" s="4" t="s">
        <v>937</v>
      </c>
      <c r="E73" s="4" t="s">
        <v>938</v>
      </c>
      <c r="F73" s="4" t="s">
        <v>939</v>
      </c>
      <c r="G73" s="4">
        <v>0</v>
      </c>
      <c r="H73" s="4">
        <v>1</v>
      </c>
      <c r="I73" s="4"/>
      <c r="J73" s="4"/>
      <c r="K73" s="4"/>
      <c r="L73" s="7"/>
      <c r="M73" s="7"/>
      <c r="N73" s="7"/>
      <c r="O73" s="4">
        <v>0</v>
      </c>
      <c r="P73" s="4">
        <v>0</v>
      </c>
      <c r="Q73" s="7"/>
      <c r="R73" s="7"/>
      <c r="S73" s="7"/>
      <c r="T73" s="7"/>
      <c r="U73" s="4"/>
      <c r="V73" s="4">
        <v>0</v>
      </c>
      <c r="W73" s="4"/>
      <c r="X73" s="4"/>
      <c r="Y73" s="4"/>
      <c r="Z73" s="4"/>
    </row>
    <row r="74" spans="1:26" x14ac:dyDescent="0.3">
      <c r="A74" s="4" t="s">
        <v>379</v>
      </c>
      <c r="B74" s="4"/>
      <c r="C74" s="4"/>
      <c r="D74" s="4" t="s">
        <v>1058</v>
      </c>
      <c r="E74" s="4" t="s">
        <v>1059</v>
      </c>
      <c r="F74" s="4" t="s">
        <v>1060</v>
      </c>
      <c r="G74" s="4">
        <v>0</v>
      </c>
      <c r="H74" s="4"/>
      <c r="I74" s="4"/>
      <c r="J74" s="4"/>
      <c r="K74" s="4"/>
      <c r="L74" s="7"/>
      <c r="M74" s="7"/>
      <c r="N74" s="7"/>
      <c r="O74" s="4">
        <v>0</v>
      </c>
      <c r="P74" s="4">
        <v>0</v>
      </c>
      <c r="Q74" s="7"/>
      <c r="R74" s="7"/>
      <c r="S74" s="7"/>
      <c r="T74" s="7"/>
      <c r="U74" s="4"/>
      <c r="V74" s="4">
        <v>0</v>
      </c>
      <c r="W74" s="4">
        <v>0</v>
      </c>
      <c r="X74" s="4"/>
      <c r="Y74" s="4"/>
      <c r="Z74" s="4" t="s">
        <v>1061</v>
      </c>
    </row>
    <row r="75" spans="1:26" x14ac:dyDescent="0.3">
      <c r="A75" s="4" t="s">
        <v>385</v>
      </c>
      <c r="B75" s="4" t="s">
        <v>976</v>
      </c>
      <c r="C75" s="4" t="s">
        <v>1063</v>
      </c>
      <c r="D75" s="4" t="s">
        <v>974</v>
      </c>
      <c r="E75" s="4" t="s">
        <v>938</v>
      </c>
      <c r="F75" s="4" t="s">
        <v>939</v>
      </c>
      <c r="G75" s="4">
        <v>0</v>
      </c>
      <c r="H75" s="4">
        <v>1</v>
      </c>
      <c r="I75" s="4"/>
      <c r="J75" s="4"/>
      <c r="K75" s="4"/>
      <c r="L75" s="7"/>
      <c r="M75" s="7">
        <v>100000</v>
      </c>
      <c r="N75" s="7"/>
      <c r="O75" s="4">
        <v>0</v>
      </c>
      <c r="P75" s="4">
        <v>0</v>
      </c>
      <c r="Q75" s="7"/>
      <c r="R75" s="7"/>
      <c r="S75" s="7"/>
      <c r="T75" s="7"/>
      <c r="U75" s="4"/>
      <c r="V75" s="4">
        <v>0</v>
      </c>
      <c r="W75" s="4"/>
      <c r="X75" s="4">
        <v>100000</v>
      </c>
      <c r="Y75" s="4"/>
      <c r="Z75" s="4"/>
    </row>
    <row r="76" spans="1:26" x14ac:dyDescent="0.3">
      <c r="A76" s="4" t="s">
        <v>389</v>
      </c>
      <c r="B76" s="4" t="s">
        <v>1064</v>
      </c>
      <c r="C76" s="4" t="s">
        <v>1065</v>
      </c>
      <c r="D76" s="4" t="s">
        <v>943</v>
      </c>
      <c r="E76" s="4" t="s">
        <v>938</v>
      </c>
      <c r="F76" s="4" t="s">
        <v>939</v>
      </c>
      <c r="G76" s="4">
        <v>0</v>
      </c>
      <c r="H76" s="4">
        <v>1</v>
      </c>
      <c r="I76" s="4"/>
      <c r="J76" s="4">
        <v>2018</v>
      </c>
      <c r="K76" s="4"/>
      <c r="L76" s="7"/>
      <c r="M76" s="7">
        <v>14600</v>
      </c>
      <c r="N76" s="7"/>
      <c r="O76" s="4">
        <v>0</v>
      </c>
      <c r="P76" s="4">
        <v>0</v>
      </c>
      <c r="Q76" s="7"/>
      <c r="R76" s="7"/>
      <c r="S76" s="7"/>
      <c r="T76" s="7"/>
      <c r="U76" s="4"/>
      <c r="V76" s="4">
        <v>0</v>
      </c>
      <c r="W76" s="4"/>
      <c r="X76" s="4">
        <v>14600</v>
      </c>
      <c r="Y76" s="4"/>
      <c r="Z76" s="4"/>
    </row>
    <row r="77" spans="1:26" x14ac:dyDescent="0.3">
      <c r="A77" s="4" t="s">
        <v>389</v>
      </c>
      <c r="B77" s="4" t="s">
        <v>1066</v>
      </c>
      <c r="C77" s="4" t="s">
        <v>1067</v>
      </c>
      <c r="D77" s="4" t="s">
        <v>965</v>
      </c>
      <c r="E77" s="4" t="s">
        <v>938</v>
      </c>
      <c r="F77" s="4" t="s">
        <v>939</v>
      </c>
      <c r="G77" s="4">
        <v>0</v>
      </c>
      <c r="H77" s="4">
        <v>1</v>
      </c>
      <c r="I77" s="4"/>
      <c r="J77" s="4"/>
      <c r="K77" s="4"/>
      <c r="L77" s="7"/>
      <c r="M77" s="7"/>
      <c r="N77" s="7"/>
      <c r="O77" s="4">
        <v>0</v>
      </c>
      <c r="P77" s="4">
        <v>0</v>
      </c>
      <c r="Q77" s="7"/>
      <c r="R77" s="7"/>
      <c r="S77" s="7"/>
      <c r="T77" s="7"/>
      <c r="U77" s="4"/>
      <c r="V77" s="4">
        <v>0</v>
      </c>
      <c r="W77" s="4"/>
      <c r="X77" s="4"/>
      <c r="Y77" s="4"/>
      <c r="Z77" s="4"/>
    </row>
    <row r="78" spans="1:26" x14ac:dyDescent="0.3">
      <c r="A78" s="4" t="s">
        <v>393</v>
      </c>
      <c r="B78" s="4"/>
      <c r="C78" s="4"/>
      <c r="D78" s="4" t="s">
        <v>1058</v>
      </c>
      <c r="E78" s="4" t="s">
        <v>1059</v>
      </c>
      <c r="F78" s="4" t="s">
        <v>1060</v>
      </c>
      <c r="G78" s="4">
        <v>0</v>
      </c>
      <c r="H78" s="4"/>
      <c r="I78" s="4"/>
      <c r="J78" s="4"/>
      <c r="K78" s="4"/>
      <c r="L78" s="7"/>
      <c r="M78" s="7"/>
      <c r="N78" s="7"/>
      <c r="O78" s="4">
        <v>0</v>
      </c>
      <c r="P78" s="4">
        <v>0</v>
      </c>
      <c r="Q78" s="7"/>
      <c r="R78" s="7"/>
      <c r="S78" s="7"/>
      <c r="T78" s="7"/>
      <c r="U78" s="4"/>
      <c r="V78" s="4">
        <v>0</v>
      </c>
      <c r="W78" s="4">
        <v>0</v>
      </c>
      <c r="X78" s="4"/>
      <c r="Y78" s="4"/>
      <c r="Z78" s="4" t="s">
        <v>1061</v>
      </c>
    </row>
    <row r="79" spans="1:26" x14ac:dyDescent="0.3">
      <c r="A79" s="4" t="s">
        <v>398</v>
      </c>
      <c r="B79" s="4" t="s">
        <v>1068</v>
      </c>
      <c r="C79" s="4" t="s">
        <v>1069</v>
      </c>
      <c r="D79" s="4" t="s">
        <v>943</v>
      </c>
      <c r="E79" s="4" t="s">
        <v>938</v>
      </c>
      <c r="F79" s="4" t="s">
        <v>939</v>
      </c>
      <c r="G79" s="4">
        <v>0</v>
      </c>
      <c r="H79" s="4">
        <v>1</v>
      </c>
      <c r="I79" s="4"/>
      <c r="J79" s="4">
        <v>2019</v>
      </c>
      <c r="K79" s="4"/>
      <c r="L79" s="7"/>
      <c r="M79" s="7">
        <v>50000</v>
      </c>
      <c r="N79" s="7"/>
      <c r="O79" s="4">
        <v>0</v>
      </c>
      <c r="P79" s="4">
        <v>0</v>
      </c>
      <c r="Q79" s="7"/>
      <c r="R79" s="7"/>
      <c r="S79" s="7"/>
      <c r="T79" s="7"/>
      <c r="U79" s="4"/>
      <c r="V79" s="4">
        <v>0</v>
      </c>
      <c r="W79" s="4"/>
      <c r="X79" s="4">
        <v>50000</v>
      </c>
      <c r="Y79" s="4"/>
      <c r="Z79" s="4"/>
    </row>
    <row r="80" spans="1:26" x14ac:dyDescent="0.3">
      <c r="A80" s="4" t="s">
        <v>398</v>
      </c>
      <c r="B80" s="4" t="s">
        <v>1070</v>
      </c>
      <c r="C80" s="4" t="s">
        <v>936</v>
      </c>
      <c r="D80" s="4" t="s">
        <v>937</v>
      </c>
      <c r="E80" s="4" t="s">
        <v>938</v>
      </c>
      <c r="F80" s="4" t="s">
        <v>939</v>
      </c>
      <c r="G80" s="4">
        <v>0</v>
      </c>
      <c r="H80" s="4">
        <v>1</v>
      </c>
      <c r="I80" s="4"/>
      <c r="J80" s="4">
        <v>2022</v>
      </c>
      <c r="K80" s="4"/>
      <c r="L80" s="7"/>
      <c r="M80" s="7">
        <v>2100000</v>
      </c>
      <c r="N80" s="7"/>
      <c r="O80" s="4">
        <v>0</v>
      </c>
      <c r="P80" s="4">
        <v>0</v>
      </c>
      <c r="Q80" s="7"/>
      <c r="R80" s="7"/>
      <c r="S80" s="7"/>
      <c r="T80" s="7"/>
      <c r="U80" s="4"/>
      <c r="V80" s="4">
        <v>0</v>
      </c>
      <c r="W80" s="4"/>
      <c r="X80" s="4">
        <v>2100000</v>
      </c>
      <c r="Y80" s="4"/>
      <c r="Z80" s="4"/>
    </row>
    <row r="81" spans="1:26" x14ac:dyDescent="0.3">
      <c r="A81" s="4" t="s">
        <v>398</v>
      </c>
      <c r="B81" s="4" t="s">
        <v>1071</v>
      </c>
      <c r="C81" s="4" t="s">
        <v>1072</v>
      </c>
      <c r="D81" s="4" t="s">
        <v>965</v>
      </c>
      <c r="E81" s="4" t="s">
        <v>938</v>
      </c>
      <c r="F81" s="4" t="s">
        <v>939</v>
      </c>
      <c r="G81" s="4">
        <v>0</v>
      </c>
      <c r="H81" s="4">
        <v>1</v>
      </c>
      <c r="I81" s="4"/>
      <c r="J81" s="4">
        <v>2025</v>
      </c>
      <c r="K81" s="4"/>
      <c r="L81" s="7"/>
      <c r="M81" s="7">
        <v>500000</v>
      </c>
      <c r="N81" s="7"/>
      <c r="O81" s="4">
        <v>0</v>
      </c>
      <c r="P81" s="4">
        <v>0</v>
      </c>
      <c r="Q81" s="7"/>
      <c r="R81" s="7"/>
      <c r="S81" s="7"/>
      <c r="T81" s="7"/>
      <c r="U81" s="4"/>
      <c r="V81" s="4">
        <v>0</v>
      </c>
      <c r="W81" s="4"/>
      <c r="X81" s="4">
        <v>500000</v>
      </c>
      <c r="Y81" s="4"/>
      <c r="Z81" s="4"/>
    </row>
    <row r="82" spans="1:26" x14ac:dyDescent="0.3">
      <c r="A82" s="4" t="s">
        <v>398</v>
      </c>
      <c r="B82" s="4" t="s">
        <v>1073</v>
      </c>
      <c r="C82" s="4" t="s">
        <v>936</v>
      </c>
      <c r="D82" s="4" t="s">
        <v>937</v>
      </c>
      <c r="E82" s="4" t="s">
        <v>938</v>
      </c>
      <c r="F82" s="4" t="s">
        <v>939</v>
      </c>
      <c r="G82" s="4">
        <v>0</v>
      </c>
      <c r="H82" s="4">
        <v>1</v>
      </c>
      <c r="I82" s="4"/>
      <c r="J82" s="4"/>
      <c r="K82" s="4"/>
      <c r="L82" s="7"/>
      <c r="M82" s="7"/>
      <c r="N82" s="7"/>
      <c r="O82" s="4">
        <v>0</v>
      </c>
      <c r="P82" s="4">
        <v>0</v>
      </c>
      <c r="Q82" s="7"/>
      <c r="R82" s="7"/>
      <c r="S82" s="7"/>
      <c r="T82" s="7"/>
      <c r="U82" s="4"/>
      <c r="V82" s="4">
        <v>0</v>
      </c>
      <c r="W82" s="4"/>
      <c r="X82" s="4"/>
      <c r="Y82" s="4"/>
      <c r="Z82" s="4"/>
    </row>
    <row r="83" spans="1:26" x14ac:dyDescent="0.3">
      <c r="A83" s="4" t="s">
        <v>398</v>
      </c>
      <c r="B83" s="4" t="s">
        <v>1074</v>
      </c>
      <c r="C83" s="4" t="s">
        <v>1075</v>
      </c>
      <c r="D83" s="4" t="s">
        <v>965</v>
      </c>
      <c r="E83" s="4" t="s">
        <v>938</v>
      </c>
      <c r="F83" s="4" t="s">
        <v>939</v>
      </c>
      <c r="G83" s="4">
        <v>0</v>
      </c>
      <c r="H83" s="4">
        <v>1</v>
      </c>
      <c r="I83" s="4"/>
      <c r="J83" s="4">
        <v>2026</v>
      </c>
      <c r="K83" s="4"/>
      <c r="L83" s="7"/>
      <c r="M83" s="7">
        <v>1500000</v>
      </c>
      <c r="N83" s="7"/>
      <c r="O83" s="4">
        <v>0</v>
      </c>
      <c r="P83" s="4">
        <v>0</v>
      </c>
      <c r="Q83" s="7"/>
      <c r="R83" s="7"/>
      <c r="S83" s="7"/>
      <c r="T83" s="7"/>
      <c r="U83" s="4"/>
      <c r="V83" s="4">
        <v>0</v>
      </c>
      <c r="W83" s="4"/>
      <c r="X83" s="4">
        <v>1500000</v>
      </c>
      <c r="Y83" s="4"/>
      <c r="Z83" s="4"/>
    </row>
    <row r="84" spans="1:26" x14ac:dyDescent="0.3">
      <c r="A84" s="4" t="s">
        <v>398</v>
      </c>
      <c r="B84" s="4" t="s">
        <v>1076</v>
      </c>
      <c r="C84" s="4" t="s">
        <v>1077</v>
      </c>
      <c r="D84" s="4" t="s">
        <v>965</v>
      </c>
      <c r="E84" s="4" t="s">
        <v>938</v>
      </c>
      <c r="F84" s="4" t="s">
        <v>939</v>
      </c>
      <c r="G84" s="4">
        <v>0</v>
      </c>
      <c r="H84" s="4">
        <v>1</v>
      </c>
      <c r="I84" s="4"/>
      <c r="J84" s="4">
        <v>2026</v>
      </c>
      <c r="K84" s="4"/>
      <c r="L84" s="7"/>
      <c r="M84" s="7">
        <v>250000</v>
      </c>
      <c r="N84" s="7"/>
      <c r="O84" s="4">
        <v>0</v>
      </c>
      <c r="P84" s="4">
        <v>0</v>
      </c>
      <c r="Q84" s="7"/>
      <c r="R84" s="7"/>
      <c r="S84" s="7"/>
      <c r="T84" s="7"/>
      <c r="U84" s="4"/>
      <c r="V84" s="4">
        <v>0</v>
      </c>
      <c r="W84" s="4"/>
      <c r="X84" s="4">
        <v>250000</v>
      </c>
      <c r="Y84" s="4"/>
      <c r="Z84" s="4"/>
    </row>
    <row r="85" spans="1:26" x14ac:dyDescent="0.3">
      <c r="A85" s="4" t="s">
        <v>402</v>
      </c>
      <c r="B85" s="4" t="s">
        <v>1078</v>
      </c>
      <c r="C85" s="4" t="s">
        <v>1079</v>
      </c>
      <c r="D85" s="4" t="s">
        <v>950</v>
      </c>
      <c r="E85" s="4" t="s">
        <v>938</v>
      </c>
      <c r="F85" s="4" t="s">
        <v>939</v>
      </c>
      <c r="G85" s="4">
        <v>0</v>
      </c>
      <c r="H85" s="4">
        <v>1</v>
      </c>
      <c r="I85" s="4"/>
      <c r="J85" s="4">
        <v>2023</v>
      </c>
      <c r="K85" s="4"/>
      <c r="L85" s="7"/>
      <c r="M85" s="7">
        <v>1000000</v>
      </c>
      <c r="N85" s="7"/>
      <c r="O85" s="4">
        <v>0</v>
      </c>
      <c r="P85" s="4">
        <v>0</v>
      </c>
      <c r="Q85" s="7"/>
      <c r="R85" s="7"/>
      <c r="S85" s="7"/>
      <c r="T85" s="7"/>
      <c r="U85" s="4"/>
      <c r="V85" s="4">
        <v>0</v>
      </c>
      <c r="W85" s="4"/>
      <c r="X85" s="4">
        <v>1000000</v>
      </c>
      <c r="Y85" s="4"/>
      <c r="Z85" s="4"/>
    </row>
    <row r="86" spans="1:26" x14ac:dyDescent="0.3">
      <c r="A86" s="4" t="s">
        <v>402</v>
      </c>
      <c r="B86" s="4" t="s">
        <v>1080</v>
      </c>
      <c r="C86" s="4" t="s">
        <v>1081</v>
      </c>
      <c r="D86" s="4" t="s">
        <v>971</v>
      </c>
      <c r="E86" s="4" t="s">
        <v>938</v>
      </c>
      <c r="F86" s="4" t="s">
        <v>939</v>
      </c>
      <c r="G86" s="4">
        <v>0</v>
      </c>
      <c r="H86" s="4">
        <v>1</v>
      </c>
      <c r="I86" s="4"/>
      <c r="J86" s="4">
        <v>2021</v>
      </c>
      <c r="K86" s="4"/>
      <c r="L86" s="7"/>
      <c r="M86" s="7"/>
      <c r="N86" s="7"/>
      <c r="O86" s="4">
        <v>0</v>
      </c>
      <c r="P86" s="4">
        <v>0</v>
      </c>
      <c r="Q86" s="7"/>
      <c r="R86" s="7"/>
      <c r="S86" s="7"/>
      <c r="T86" s="7"/>
      <c r="U86" s="4"/>
      <c r="V86" s="4">
        <v>0</v>
      </c>
      <c r="W86" s="4"/>
      <c r="X86" s="4"/>
      <c r="Y86" s="4"/>
      <c r="Z86" s="4"/>
    </row>
    <row r="87" spans="1:26" x14ac:dyDescent="0.3">
      <c r="A87" s="4" t="s">
        <v>408</v>
      </c>
      <c r="B87" s="4"/>
      <c r="C87" s="4"/>
      <c r="D87" s="4" t="s">
        <v>1058</v>
      </c>
      <c r="E87" s="4" t="s">
        <v>1059</v>
      </c>
      <c r="F87" s="4" t="s">
        <v>1060</v>
      </c>
      <c r="G87" s="4">
        <v>0</v>
      </c>
      <c r="H87" s="4"/>
      <c r="I87" s="4"/>
      <c r="J87" s="4"/>
      <c r="K87" s="4"/>
      <c r="L87" s="7"/>
      <c r="M87" s="7"/>
      <c r="N87" s="7"/>
      <c r="O87" s="4">
        <v>0</v>
      </c>
      <c r="P87" s="4">
        <v>0</v>
      </c>
      <c r="Q87" s="7"/>
      <c r="R87" s="7"/>
      <c r="S87" s="7"/>
      <c r="T87" s="7"/>
      <c r="U87" s="4"/>
      <c r="V87" s="4">
        <v>0</v>
      </c>
      <c r="W87" s="4">
        <v>0</v>
      </c>
      <c r="X87" s="4"/>
      <c r="Y87" s="4"/>
      <c r="Z87" s="4" t="s">
        <v>1061</v>
      </c>
    </row>
    <row r="88" spans="1:26" x14ac:dyDescent="0.3">
      <c r="A88" s="4" t="s">
        <v>412</v>
      </c>
      <c r="B88" s="4" t="s">
        <v>1082</v>
      </c>
      <c r="C88" s="4" t="s">
        <v>936</v>
      </c>
      <c r="D88" s="4" t="s">
        <v>937</v>
      </c>
      <c r="E88" s="4" t="s">
        <v>938</v>
      </c>
      <c r="F88" s="4" t="s">
        <v>939</v>
      </c>
      <c r="G88" s="4">
        <v>0</v>
      </c>
      <c r="H88" s="4">
        <v>1</v>
      </c>
      <c r="I88" s="4"/>
      <c r="J88" s="4">
        <v>2022</v>
      </c>
      <c r="K88" s="4"/>
      <c r="L88" s="7"/>
      <c r="M88" s="7">
        <v>1800000</v>
      </c>
      <c r="N88" s="7"/>
      <c r="O88" s="4">
        <v>0</v>
      </c>
      <c r="P88" s="4">
        <v>0</v>
      </c>
      <c r="Q88" s="7"/>
      <c r="R88" s="7"/>
      <c r="S88" s="7"/>
      <c r="T88" s="7"/>
      <c r="U88" s="4"/>
      <c r="V88" s="4">
        <v>0</v>
      </c>
      <c r="W88" s="4"/>
      <c r="X88" s="4">
        <v>1800000</v>
      </c>
      <c r="Y88" s="4"/>
      <c r="Z88" s="4"/>
    </row>
    <row r="89" spans="1:26" x14ac:dyDescent="0.3">
      <c r="A89" s="4" t="s">
        <v>412</v>
      </c>
      <c r="B89" s="4" t="s">
        <v>1083</v>
      </c>
      <c r="C89" s="4" t="s">
        <v>936</v>
      </c>
      <c r="D89" s="4" t="s">
        <v>937</v>
      </c>
      <c r="E89" s="4" t="s">
        <v>938</v>
      </c>
      <c r="F89" s="4" t="s">
        <v>939</v>
      </c>
      <c r="G89" s="4">
        <v>0</v>
      </c>
      <c r="H89" s="4">
        <v>1</v>
      </c>
      <c r="I89" s="4"/>
      <c r="J89" s="4">
        <v>2024</v>
      </c>
      <c r="K89" s="4"/>
      <c r="L89" s="7"/>
      <c r="M89" s="7"/>
      <c r="N89" s="7"/>
      <c r="O89" s="4">
        <v>0</v>
      </c>
      <c r="P89" s="4">
        <v>0</v>
      </c>
      <c r="Q89" s="7"/>
      <c r="R89" s="7"/>
      <c r="S89" s="7"/>
      <c r="T89" s="7"/>
      <c r="U89" s="4"/>
      <c r="V89" s="4">
        <v>0</v>
      </c>
      <c r="W89" s="4"/>
      <c r="X89" s="4"/>
      <c r="Y89" s="4"/>
      <c r="Z89" s="4"/>
    </row>
    <row r="90" spans="1:26" x14ac:dyDescent="0.3">
      <c r="A90" s="4" t="s">
        <v>417</v>
      </c>
      <c r="B90" s="4"/>
      <c r="C90" s="4"/>
      <c r="D90" s="4" t="s">
        <v>1058</v>
      </c>
      <c r="E90" s="4" t="s">
        <v>1059</v>
      </c>
      <c r="F90" s="4" t="s">
        <v>1060</v>
      </c>
      <c r="G90" s="4">
        <v>0</v>
      </c>
      <c r="H90" s="4"/>
      <c r="I90" s="4"/>
      <c r="J90" s="4"/>
      <c r="K90" s="4"/>
      <c r="L90" s="7"/>
      <c r="M90" s="7"/>
      <c r="N90" s="7"/>
      <c r="O90" s="4">
        <v>0</v>
      </c>
      <c r="P90" s="4">
        <v>0</v>
      </c>
      <c r="Q90" s="7"/>
      <c r="R90" s="7"/>
      <c r="S90" s="7"/>
      <c r="T90" s="7"/>
      <c r="U90" s="4"/>
      <c r="V90" s="4">
        <v>0</v>
      </c>
      <c r="W90" s="4">
        <v>0</v>
      </c>
      <c r="X90" s="4"/>
      <c r="Y90" s="4"/>
      <c r="Z90" s="4" t="s">
        <v>1061</v>
      </c>
    </row>
    <row r="91" spans="1:26" x14ac:dyDescent="0.3">
      <c r="A91" s="4" t="s">
        <v>421</v>
      </c>
      <c r="B91" s="4"/>
      <c r="C91" s="4"/>
      <c r="D91" s="4" t="s">
        <v>1058</v>
      </c>
      <c r="E91" s="4" t="s">
        <v>1059</v>
      </c>
      <c r="F91" s="4" t="s">
        <v>1060</v>
      </c>
      <c r="G91" s="4">
        <v>0</v>
      </c>
      <c r="H91" s="4"/>
      <c r="I91" s="4"/>
      <c r="J91" s="4"/>
      <c r="K91" s="4"/>
      <c r="L91" s="7"/>
      <c r="M91" s="7"/>
      <c r="N91" s="7"/>
      <c r="O91" s="4">
        <v>0</v>
      </c>
      <c r="P91" s="4">
        <v>0</v>
      </c>
      <c r="Q91" s="7"/>
      <c r="R91" s="7"/>
      <c r="S91" s="7"/>
      <c r="T91" s="7"/>
      <c r="U91" s="4"/>
      <c r="V91" s="4">
        <v>0</v>
      </c>
      <c r="W91" s="4">
        <v>0</v>
      </c>
      <c r="X91" s="4"/>
      <c r="Y91" s="4"/>
      <c r="Z91" s="4" t="s">
        <v>1061</v>
      </c>
    </row>
    <row r="92" spans="1:26" x14ac:dyDescent="0.3">
      <c r="A92" s="4" t="s">
        <v>427</v>
      </c>
      <c r="B92" s="4"/>
      <c r="C92" s="4"/>
      <c r="D92" s="4" t="s">
        <v>1058</v>
      </c>
      <c r="E92" s="4" t="s">
        <v>1059</v>
      </c>
      <c r="F92" s="4" t="s">
        <v>1060</v>
      </c>
      <c r="G92" s="4">
        <v>0</v>
      </c>
      <c r="H92" s="4"/>
      <c r="I92" s="4"/>
      <c r="J92" s="4"/>
      <c r="K92" s="4"/>
      <c r="L92" s="7"/>
      <c r="M92" s="7"/>
      <c r="N92" s="7"/>
      <c r="O92" s="4">
        <v>0</v>
      </c>
      <c r="P92" s="4">
        <v>0</v>
      </c>
      <c r="Q92" s="7"/>
      <c r="R92" s="7"/>
      <c r="S92" s="7"/>
      <c r="T92" s="7"/>
      <c r="U92" s="4"/>
      <c r="V92" s="4">
        <v>0</v>
      </c>
      <c r="W92" s="4">
        <v>0</v>
      </c>
      <c r="X92" s="4"/>
      <c r="Y92" s="4"/>
      <c r="Z92" s="4" t="s">
        <v>1061</v>
      </c>
    </row>
    <row r="93" spans="1:26" x14ac:dyDescent="0.3">
      <c r="A93" s="4" t="s">
        <v>432</v>
      </c>
      <c r="B93" s="4"/>
      <c r="C93" s="4"/>
      <c r="D93" s="4" t="s">
        <v>1058</v>
      </c>
      <c r="E93" s="4" t="s">
        <v>1059</v>
      </c>
      <c r="F93" s="4" t="s">
        <v>1060</v>
      </c>
      <c r="G93" s="4">
        <v>0</v>
      </c>
      <c r="H93" s="4"/>
      <c r="I93" s="4"/>
      <c r="J93" s="4"/>
      <c r="K93" s="4"/>
      <c r="L93" s="7"/>
      <c r="M93" s="7"/>
      <c r="N93" s="7"/>
      <c r="O93" s="4">
        <v>0</v>
      </c>
      <c r="P93" s="4">
        <v>0</v>
      </c>
      <c r="Q93" s="7"/>
      <c r="R93" s="7"/>
      <c r="S93" s="7"/>
      <c r="T93" s="7"/>
      <c r="U93" s="4"/>
      <c r="V93" s="4">
        <v>0</v>
      </c>
      <c r="W93" s="4">
        <v>0</v>
      </c>
      <c r="X93" s="4"/>
      <c r="Y93" s="4"/>
      <c r="Z93" s="4" t="s">
        <v>1061</v>
      </c>
    </row>
    <row r="94" spans="1:26" x14ac:dyDescent="0.3">
      <c r="A94" s="4" t="s">
        <v>435</v>
      </c>
      <c r="B94" s="4"/>
      <c r="C94" s="4"/>
      <c r="D94" s="4" t="s">
        <v>1058</v>
      </c>
      <c r="E94" s="4" t="s">
        <v>1059</v>
      </c>
      <c r="F94" s="4" t="s">
        <v>1060</v>
      </c>
      <c r="G94" s="4">
        <v>0</v>
      </c>
      <c r="H94" s="4"/>
      <c r="I94" s="4"/>
      <c r="J94" s="4"/>
      <c r="K94" s="4"/>
      <c r="L94" s="7"/>
      <c r="M94" s="7"/>
      <c r="N94" s="7"/>
      <c r="O94" s="4">
        <v>0</v>
      </c>
      <c r="P94" s="4">
        <v>0</v>
      </c>
      <c r="Q94" s="7"/>
      <c r="R94" s="7"/>
      <c r="S94" s="7"/>
      <c r="T94" s="7"/>
      <c r="U94" s="4"/>
      <c r="V94" s="4">
        <v>0</v>
      </c>
      <c r="W94" s="4">
        <v>0</v>
      </c>
      <c r="X94" s="4"/>
      <c r="Y94" s="4"/>
      <c r="Z94" s="4" t="s">
        <v>1061</v>
      </c>
    </row>
    <row r="95" spans="1:26" x14ac:dyDescent="0.3">
      <c r="A95" s="4" t="s">
        <v>439</v>
      </c>
      <c r="B95" s="4" t="s">
        <v>1084</v>
      </c>
      <c r="C95" s="4" t="s">
        <v>1085</v>
      </c>
      <c r="D95" s="4" t="s">
        <v>950</v>
      </c>
      <c r="E95" s="4" t="s">
        <v>938</v>
      </c>
      <c r="F95" s="4" t="s">
        <v>939</v>
      </c>
      <c r="G95" s="4">
        <v>0</v>
      </c>
      <c r="H95" s="4">
        <v>1</v>
      </c>
      <c r="I95" s="4"/>
      <c r="J95" s="4">
        <v>2025</v>
      </c>
      <c r="K95" s="4"/>
      <c r="L95" s="7"/>
      <c r="M95" s="7">
        <v>2000000</v>
      </c>
      <c r="N95" s="7"/>
      <c r="O95" s="4">
        <v>0</v>
      </c>
      <c r="P95" s="4">
        <v>0</v>
      </c>
      <c r="Q95" s="7"/>
      <c r="R95" s="7"/>
      <c r="S95" s="7"/>
      <c r="T95" s="7"/>
      <c r="U95" s="4"/>
      <c r="V95" s="4">
        <v>0</v>
      </c>
      <c r="W95" s="4"/>
      <c r="X95" s="4">
        <v>2000000</v>
      </c>
      <c r="Y95" s="4"/>
      <c r="Z95" s="4"/>
    </row>
    <row r="96" spans="1:26" x14ac:dyDescent="0.3">
      <c r="A96" s="4" t="s">
        <v>445</v>
      </c>
      <c r="B96" s="4"/>
      <c r="C96" s="4"/>
      <c r="D96" s="4" t="s">
        <v>1058</v>
      </c>
      <c r="E96" s="4" t="s">
        <v>1059</v>
      </c>
      <c r="F96" s="4" t="s">
        <v>1060</v>
      </c>
      <c r="G96" s="4">
        <v>0</v>
      </c>
      <c r="H96" s="4"/>
      <c r="I96" s="4"/>
      <c r="J96" s="4"/>
      <c r="K96" s="4"/>
      <c r="L96" s="7"/>
      <c r="M96" s="7"/>
      <c r="N96" s="7"/>
      <c r="O96" s="4">
        <v>0</v>
      </c>
      <c r="P96" s="4">
        <v>0</v>
      </c>
      <c r="Q96" s="7"/>
      <c r="R96" s="7"/>
      <c r="S96" s="7"/>
      <c r="T96" s="7"/>
      <c r="U96" s="4"/>
      <c r="V96" s="4">
        <v>0</v>
      </c>
      <c r="W96" s="4">
        <v>0</v>
      </c>
      <c r="X96" s="4"/>
      <c r="Y96" s="4"/>
      <c r="Z96" s="4" t="s">
        <v>1061</v>
      </c>
    </row>
    <row r="97" spans="1:26" x14ac:dyDescent="0.3">
      <c r="A97" s="4" t="s">
        <v>450</v>
      </c>
      <c r="B97" s="4" t="s">
        <v>1086</v>
      </c>
      <c r="C97" s="4" t="s">
        <v>936</v>
      </c>
      <c r="D97" s="4" t="s">
        <v>937</v>
      </c>
      <c r="E97" s="4" t="s">
        <v>938</v>
      </c>
      <c r="F97" s="4" t="s">
        <v>939</v>
      </c>
      <c r="G97" s="4">
        <v>0</v>
      </c>
      <c r="H97" s="4">
        <v>1</v>
      </c>
      <c r="I97" s="4"/>
      <c r="J97" s="4">
        <v>2025</v>
      </c>
      <c r="K97" s="4"/>
      <c r="L97" s="7"/>
      <c r="M97" s="7">
        <v>2000000</v>
      </c>
      <c r="N97" s="7"/>
      <c r="O97" s="4">
        <v>0</v>
      </c>
      <c r="P97" s="4">
        <v>0</v>
      </c>
      <c r="Q97" s="7"/>
      <c r="R97" s="7"/>
      <c r="S97" s="7"/>
      <c r="T97" s="7"/>
      <c r="U97" s="4"/>
      <c r="V97" s="4">
        <v>0</v>
      </c>
      <c r="W97" s="4"/>
      <c r="X97" s="4">
        <v>2000000</v>
      </c>
      <c r="Y97" s="4"/>
      <c r="Z97" s="4"/>
    </row>
    <row r="98" spans="1:26" x14ac:dyDescent="0.3">
      <c r="A98" s="4" t="s">
        <v>455</v>
      </c>
      <c r="B98" s="4" t="s">
        <v>1087</v>
      </c>
      <c r="C98" s="4" t="s">
        <v>1088</v>
      </c>
      <c r="D98" s="4" t="s">
        <v>937</v>
      </c>
      <c r="E98" s="4" t="s">
        <v>938</v>
      </c>
      <c r="F98" s="4" t="s">
        <v>939</v>
      </c>
      <c r="G98" s="4">
        <v>0</v>
      </c>
      <c r="H98" s="4">
        <v>1</v>
      </c>
      <c r="I98" s="4"/>
      <c r="J98" s="4">
        <v>2021</v>
      </c>
      <c r="K98" s="4"/>
      <c r="L98" s="7"/>
      <c r="M98" s="7">
        <v>1000000</v>
      </c>
      <c r="N98" s="7"/>
      <c r="O98" s="4">
        <v>0</v>
      </c>
      <c r="P98" s="4">
        <v>0</v>
      </c>
      <c r="Q98" s="7"/>
      <c r="R98" s="7"/>
      <c r="S98" s="7"/>
      <c r="T98" s="7"/>
      <c r="U98" s="4"/>
      <c r="V98" s="4">
        <v>0</v>
      </c>
      <c r="W98" s="4"/>
      <c r="X98" s="4">
        <v>1000000</v>
      </c>
      <c r="Y98" s="4"/>
      <c r="Z98" s="4"/>
    </row>
    <row r="99" spans="1:26" x14ac:dyDescent="0.3">
      <c r="A99" s="4" t="s">
        <v>455</v>
      </c>
      <c r="B99" s="4" t="s">
        <v>976</v>
      </c>
      <c r="C99" s="4" t="s">
        <v>1063</v>
      </c>
      <c r="D99" s="4" t="s">
        <v>974</v>
      </c>
      <c r="E99" s="4" t="s">
        <v>938</v>
      </c>
      <c r="F99" s="4" t="s">
        <v>939</v>
      </c>
      <c r="G99" s="4">
        <v>0</v>
      </c>
      <c r="H99" s="4">
        <v>1</v>
      </c>
      <c r="I99" s="4"/>
      <c r="J99" s="4">
        <v>2024</v>
      </c>
      <c r="K99" s="4"/>
      <c r="L99" s="7"/>
      <c r="M99" s="7">
        <v>180000</v>
      </c>
      <c r="N99" s="7"/>
      <c r="O99" s="4">
        <v>0</v>
      </c>
      <c r="P99" s="4">
        <v>0</v>
      </c>
      <c r="Q99" s="7"/>
      <c r="R99" s="7"/>
      <c r="S99" s="7"/>
      <c r="T99" s="7"/>
      <c r="U99" s="4"/>
      <c r="V99" s="4">
        <v>0</v>
      </c>
      <c r="W99" s="4"/>
      <c r="X99" s="4">
        <v>180000</v>
      </c>
      <c r="Y99" s="4"/>
      <c r="Z99" s="4"/>
    </row>
    <row r="100" spans="1:26" x14ac:dyDescent="0.3">
      <c r="A100" s="4" t="s">
        <v>461</v>
      </c>
      <c r="B100" s="4"/>
      <c r="C100" s="4" t="s">
        <v>1089</v>
      </c>
      <c r="D100" s="4" t="s">
        <v>258</v>
      </c>
      <c r="E100" s="4" t="s">
        <v>1059</v>
      </c>
      <c r="F100" s="4" t="s">
        <v>258</v>
      </c>
      <c r="G100" s="4">
        <v>0</v>
      </c>
      <c r="H100" s="4"/>
      <c r="I100" s="4"/>
      <c r="J100" s="4"/>
      <c r="K100" s="4"/>
      <c r="L100" s="7"/>
      <c r="M100" s="7"/>
      <c r="N100" s="7"/>
      <c r="O100" s="4">
        <v>0</v>
      </c>
      <c r="P100" s="4">
        <v>0</v>
      </c>
      <c r="Q100" s="7"/>
      <c r="R100" s="7"/>
      <c r="S100" s="7"/>
      <c r="T100" s="7"/>
      <c r="U100" s="4"/>
      <c r="V100" s="4">
        <v>0</v>
      </c>
      <c r="W100" s="4"/>
      <c r="X100" s="4"/>
      <c r="Y100" s="4"/>
      <c r="Z100" s="4"/>
    </row>
    <row r="101" spans="1:26" x14ac:dyDescent="0.3">
      <c r="A101" s="4" t="s">
        <v>467</v>
      </c>
      <c r="B101" s="4"/>
      <c r="C101" s="4" t="s">
        <v>1090</v>
      </c>
      <c r="D101" s="4" t="s">
        <v>971</v>
      </c>
      <c r="E101" s="4" t="s">
        <v>938</v>
      </c>
      <c r="F101" s="4" t="s">
        <v>939</v>
      </c>
      <c r="G101" s="4">
        <v>0</v>
      </c>
      <c r="H101" s="4">
        <v>1</v>
      </c>
      <c r="I101" s="4"/>
      <c r="J101" s="4">
        <v>2021</v>
      </c>
      <c r="K101" s="4">
        <v>2022</v>
      </c>
      <c r="L101" s="7">
        <v>1500000</v>
      </c>
      <c r="M101" s="7">
        <v>1500000</v>
      </c>
      <c r="N101" s="7">
        <v>2610000</v>
      </c>
      <c r="O101" s="4">
        <v>0</v>
      </c>
      <c r="P101" s="4">
        <v>0</v>
      </c>
      <c r="Q101" s="7"/>
      <c r="R101" s="7">
        <v>8000000</v>
      </c>
      <c r="S101" s="7">
        <v>12000000</v>
      </c>
      <c r="T101" s="7">
        <v>10000000</v>
      </c>
      <c r="U101" s="4">
        <v>4</v>
      </c>
      <c r="V101" s="4">
        <v>0</v>
      </c>
      <c r="W101" s="4">
        <v>1</v>
      </c>
      <c r="X101" s="4" t="s">
        <v>1091</v>
      </c>
      <c r="Y101" s="4" t="s">
        <v>1092</v>
      </c>
      <c r="Z101" s="4" t="s">
        <v>1093</v>
      </c>
    </row>
    <row r="102" spans="1:26" x14ac:dyDescent="0.3">
      <c r="A102" s="4" t="s">
        <v>472</v>
      </c>
      <c r="B102" s="4"/>
      <c r="C102" s="4" t="s">
        <v>1094</v>
      </c>
      <c r="D102" s="4" t="s">
        <v>258</v>
      </c>
      <c r="E102" s="4" t="s">
        <v>1059</v>
      </c>
      <c r="F102" s="4" t="s">
        <v>258</v>
      </c>
      <c r="G102" s="4">
        <v>0</v>
      </c>
      <c r="H102" s="4"/>
      <c r="I102" s="4"/>
      <c r="J102" s="4"/>
      <c r="K102" s="4"/>
      <c r="L102" s="7"/>
      <c r="M102" s="7"/>
      <c r="N102" s="7"/>
      <c r="O102" s="4">
        <v>0</v>
      </c>
      <c r="P102" s="4">
        <v>0</v>
      </c>
      <c r="Q102" s="7"/>
      <c r="R102" s="7"/>
      <c r="S102" s="7"/>
      <c r="T102" s="7"/>
      <c r="U102" s="4">
        <v>4</v>
      </c>
      <c r="V102" s="4">
        <v>0</v>
      </c>
      <c r="W102" s="4">
        <v>0</v>
      </c>
      <c r="X102" s="4"/>
      <c r="Y102" s="4"/>
      <c r="Z102" s="4" t="s">
        <v>1095</v>
      </c>
    </row>
    <row r="103" spans="1:26" x14ac:dyDescent="0.3">
      <c r="A103" s="4" t="s">
        <v>477</v>
      </c>
      <c r="B103" s="4"/>
      <c r="C103" s="4" t="s">
        <v>1089</v>
      </c>
      <c r="D103" s="4" t="s">
        <v>950</v>
      </c>
      <c r="E103" s="4" t="s">
        <v>1059</v>
      </c>
      <c r="F103" s="4" t="s">
        <v>939</v>
      </c>
      <c r="G103" s="4">
        <v>0</v>
      </c>
      <c r="H103" s="4">
        <v>1</v>
      </c>
      <c r="I103" s="4"/>
      <c r="J103" s="4"/>
      <c r="K103" s="4"/>
      <c r="L103" s="7"/>
      <c r="M103" s="7"/>
      <c r="N103" s="7"/>
      <c r="O103" s="4">
        <v>0</v>
      </c>
      <c r="P103" s="4">
        <v>0</v>
      </c>
      <c r="Q103" s="7"/>
      <c r="R103" s="7"/>
      <c r="S103" s="7"/>
      <c r="T103" s="7"/>
      <c r="U103" s="4"/>
      <c r="V103" s="4">
        <v>0</v>
      </c>
      <c r="W103" s="4">
        <v>0</v>
      </c>
      <c r="X103" s="4"/>
      <c r="Y103" s="4"/>
      <c r="Z103" s="4" t="s">
        <v>1096</v>
      </c>
    </row>
    <row r="104" spans="1:26" x14ac:dyDescent="0.3">
      <c r="A104" s="4" t="s">
        <v>483</v>
      </c>
      <c r="B104" s="4"/>
      <c r="C104" s="4" t="s">
        <v>1079</v>
      </c>
      <c r="D104" s="4" t="s">
        <v>950</v>
      </c>
      <c r="E104" s="4" t="s">
        <v>938</v>
      </c>
      <c r="F104" s="4" t="s">
        <v>939</v>
      </c>
      <c r="G104" s="4">
        <v>0</v>
      </c>
      <c r="H104" s="4">
        <v>1</v>
      </c>
      <c r="I104" s="4"/>
      <c r="J104" s="4">
        <v>2024</v>
      </c>
      <c r="K104" s="4"/>
      <c r="L104" s="7">
        <v>360000</v>
      </c>
      <c r="M104" s="7">
        <v>800000</v>
      </c>
      <c r="N104" s="7"/>
      <c r="O104" s="4">
        <v>0</v>
      </c>
      <c r="P104" s="4">
        <v>0</v>
      </c>
      <c r="Q104" s="7"/>
      <c r="R104" s="7">
        <v>2000000</v>
      </c>
      <c r="S104" s="7">
        <v>4000000</v>
      </c>
      <c r="T104" s="7">
        <v>3000000</v>
      </c>
      <c r="U104" s="4">
        <v>3</v>
      </c>
      <c r="V104" s="4">
        <v>0</v>
      </c>
      <c r="W104" s="4">
        <v>0</v>
      </c>
      <c r="X104" s="4">
        <v>800000</v>
      </c>
      <c r="Y104" s="4" t="s">
        <v>1097</v>
      </c>
      <c r="Z104" s="4" t="s">
        <v>1098</v>
      </c>
    </row>
    <row r="105" spans="1:26" x14ac:dyDescent="0.3">
      <c r="A105" s="4" t="s">
        <v>487</v>
      </c>
      <c r="B105" s="4"/>
      <c r="C105" s="4" t="s">
        <v>1099</v>
      </c>
      <c r="D105" s="4" t="s">
        <v>968</v>
      </c>
      <c r="E105" s="4" t="s">
        <v>938</v>
      </c>
      <c r="F105" s="4" t="s">
        <v>939</v>
      </c>
      <c r="G105" s="4">
        <v>0</v>
      </c>
      <c r="H105" s="4">
        <v>1</v>
      </c>
      <c r="I105" s="4"/>
      <c r="J105" s="4">
        <v>2021</v>
      </c>
      <c r="K105" s="4">
        <v>2026</v>
      </c>
      <c r="L105" s="7"/>
      <c r="M105" s="7">
        <v>200000</v>
      </c>
      <c r="N105" s="7"/>
      <c r="O105" s="4">
        <v>1</v>
      </c>
      <c r="P105" s="4">
        <v>0</v>
      </c>
      <c r="Q105" s="7"/>
      <c r="R105" s="7">
        <v>2500000</v>
      </c>
      <c r="S105" s="7">
        <v>5000000</v>
      </c>
      <c r="T105" s="7">
        <v>3750000</v>
      </c>
      <c r="U105" s="4">
        <v>3</v>
      </c>
      <c r="V105" s="4">
        <v>0</v>
      </c>
      <c r="W105" s="4">
        <v>0</v>
      </c>
      <c r="X105" s="4" t="s">
        <v>1100</v>
      </c>
      <c r="Y105" s="4" t="s">
        <v>1101</v>
      </c>
      <c r="Z105" s="4" t="s">
        <v>1102</v>
      </c>
    </row>
    <row r="106" spans="1:26" x14ac:dyDescent="0.3">
      <c r="A106" s="4" t="s">
        <v>492</v>
      </c>
      <c r="B106" s="4"/>
      <c r="C106" s="4" t="s">
        <v>1103</v>
      </c>
      <c r="D106" s="4" t="s">
        <v>258</v>
      </c>
      <c r="E106" s="4" t="s">
        <v>1059</v>
      </c>
      <c r="F106" s="4" t="s">
        <v>258</v>
      </c>
      <c r="G106" s="4">
        <v>0</v>
      </c>
      <c r="H106" s="4"/>
      <c r="I106" s="4"/>
      <c r="J106" s="4"/>
      <c r="K106" s="4"/>
      <c r="L106" s="7"/>
      <c r="M106" s="7"/>
      <c r="N106" s="7"/>
      <c r="O106" s="4">
        <v>0</v>
      </c>
      <c r="P106" s="4">
        <v>0</v>
      </c>
      <c r="Q106" s="7"/>
      <c r="R106" s="7"/>
      <c r="S106" s="7"/>
      <c r="T106" s="7"/>
      <c r="U106" s="4"/>
      <c r="V106" s="4">
        <v>0</v>
      </c>
      <c r="W106" s="4">
        <v>0</v>
      </c>
      <c r="X106" s="4"/>
      <c r="Y106" s="4"/>
      <c r="Z106" s="4" t="s">
        <v>1104</v>
      </c>
    </row>
    <row r="107" spans="1:26" x14ac:dyDescent="0.3">
      <c r="A107" s="4" t="s">
        <v>497</v>
      </c>
      <c r="B107" s="4"/>
      <c r="C107" s="4" t="s">
        <v>1105</v>
      </c>
      <c r="D107" s="4" t="s">
        <v>258</v>
      </c>
      <c r="E107" s="4" t="s">
        <v>1059</v>
      </c>
      <c r="F107" s="4" t="s">
        <v>258</v>
      </c>
      <c r="G107" s="4">
        <v>0</v>
      </c>
      <c r="H107" s="4"/>
      <c r="I107" s="4"/>
      <c r="J107" s="4"/>
      <c r="K107" s="4"/>
      <c r="L107" s="7"/>
      <c r="M107" s="7"/>
      <c r="N107" s="7"/>
      <c r="O107" s="4">
        <v>0</v>
      </c>
      <c r="P107" s="4">
        <v>0</v>
      </c>
      <c r="Q107" s="7"/>
      <c r="R107" s="7"/>
      <c r="S107" s="7"/>
      <c r="T107" s="7"/>
      <c r="U107" s="4"/>
      <c r="V107" s="4">
        <v>0</v>
      </c>
      <c r="W107" s="4">
        <v>0</v>
      </c>
      <c r="X107" s="4"/>
      <c r="Y107" s="4"/>
      <c r="Z107" s="4" t="s">
        <v>1106</v>
      </c>
    </row>
    <row r="108" spans="1:26" x14ac:dyDescent="0.3">
      <c r="A108" s="4" t="s">
        <v>501</v>
      </c>
      <c r="B108" s="4"/>
      <c r="C108" s="4" t="s">
        <v>1099</v>
      </c>
      <c r="D108" s="4" t="s">
        <v>258</v>
      </c>
      <c r="E108" s="4" t="s">
        <v>1059</v>
      </c>
      <c r="F108" s="4" t="s">
        <v>258</v>
      </c>
      <c r="G108" s="4">
        <v>0</v>
      </c>
      <c r="H108" s="4"/>
      <c r="I108" s="4"/>
      <c r="J108" s="4"/>
      <c r="K108" s="4"/>
      <c r="L108" s="7"/>
      <c r="M108" s="7"/>
      <c r="N108" s="7"/>
      <c r="O108" s="4">
        <v>0</v>
      </c>
      <c r="P108" s="4">
        <v>0</v>
      </c>
      <c r="Q108" s="7"/>
      <c r="R108" s="7"/>
      <c r="S108" s="7"/>
      <c r="T108" s="7"/>
      <c r="U108" s="4"/>
      <c r="V108" s="4">
        <v>0</v>
      </c>
      <c r="W108" s="4"/>
      <c r="X108" s="4"/>
      <c r="Y108" s="4"/>
      <c r="Z108" s="4"/>
    </row>
    <row r="109" spans="1:26" x14ac:dyDescent="0.3">
      <c r="A109" s="4" t="s">
        <v>504</v>
      </c>
      <c r="B109" s="4"/>
      <c r="C109" s="4" t="s">
        <v>1107</v>
      </c>
      <c r="D109" s="4" t="s">
        <v>974</v>
      </c>
      <c r="E109" s="4" t="s">
        <v>938</v>
      </c>
      <c r="F109" s="4" t="s">
        <v>939</v>
      </c>
      <c r="G109" s="4">
        <v>0</v>
      </c>
      <c r="H109" s="4">
        <v>1</v>
      </c>
      <c r="I109" s="4"/>
      <c r="J109" s="4">
        <v>2020</v>
      </c>
      <c r="K109" s="4">
        <v>2018</v>
      </c>
      <c r="L109" s="7">
        <v>4000000</v>
      </c>
      <c r="M109" s="7">
        <v>3120000</v>
      </c>
      <c r="N109" s="7">
        <v>5110000</v>
      </c>
      <c r="O109" s="4">
        <v>0</v>
      </c>
      <c r="P109" s="4">
        <v>0</v>
      </c>
      <c r="Q109" s="7"/>
      <c r="R109" s="7">
        <v>15000000</v>
      </c>
      <c r="S109" s="7">
        <v>25000000</v>
      </c>
      <c r="T109" s="7">
        <v>20000000</v>
      </c>
      <c r="U109" s="4">
        <v>4</v>
      </c>
      <c r="V109" s="4">
        <v>0</v>
      </c>
      <c r="W109" s="4">
        <v>1</v>
      </c>
      <c r="X109" s="4" t="s">
        <v>1108</v>
      </c>
      <c r="Y109" s="4" t="s">
        <v>1109</v>
      </c>
      <c r="Z109" s="4" t="s">
        <v>1093</v>
      </c>
    </row>
    <row r="110" spans="1:26" x14ac:dyDescent="0.3">
      <c r="A110" s="4" t="s">
        <v>509</v>
      </c>
      <c r="B110" s="4"/>
      <c r="C110" s="4" t="s">
        <v>1090</v>
      </c>
      <c r="D110" s="4" t="s">
        <v>971</v>
      </c>
      <c r="E110" s="4" t="s">
        <v>1059</v>
      </c>
      <c r="F110" s="4" t="s">
        <v>939</v>
      </c>
      <c r="G110" s="4">
        <v>0</v>
      </c>
      <c r="H110" s="4">
        <v>1</v>
      </c>
      <c r="I110" s="4"/>
      <c r="J110" s="4"/>
      <c r="K110" s="4"/>
      <c r="L110" s="7"/>
      <c r="M110" s="7"/>
      <c r="N110" s="7"/>
      <c r="O110" s="4">
        <v>0</v>
      </c>
      <c r="P110" s="4">
        <v>0</v>
      </c>
      <c r="Q110" s="7"/>
      <c r="R110" s="7"/>
      <c r="S110" s="7"/>
      <c r="T110" s="7"/>
      <c r="U110" s="4"/>
      <c r="V110" s="4">
        <v>0</v>
      </c>
      <c r="W110" s="4"/>
      <c r="X110" s="4"/>
      <c r="Y110" s="4"/>
      <c r="Z110" s="4"/>
    </row>
    <row r="111" spans="1:26" x14ac:dyDescent="0.3">
      <c r="A111" s="4" t="s">
        <v>515</v>
      </c>
      <c r="B111" s="4"/>
      <c r="C111" s="4" t="s">
        <v>971</v>
      </c>
      <c r="D111" s="4" t="s">
        <v>1110</v>
      </c>
      <c r="E111" s="4" t="s">
        <v>1059</v>
      </c>
      <c r="F111" s="4" t="s">
        <v>939</v>
      </c>
      <c r="G111" s="4">
        <v>0</v>
      </c>
      <c r="H111" s="4">
        <v>1</v>
      </c>
      <c r="I111" s="4"/>
      <c r="J111" s="4"/>
      <c r="K111" s="4"/>
      <c r="L111" s="7"/>
      <c r="M111" s="7"/>
      <c r="N111" s="7"/>
      <c r="O111" s="4">
        <v>0</v>
      </c>
      <c r="P111" s="4">
        <v>0</v>
      </c>
      <c r="Q111" s="7"/>
      <c r="R111" s="7"/>
      <c r="S111" s="7"/>
      <c r="T111" s="7"/>
      <c r="U111" s="4"/>
      <c r="V111" s="4">
        <v>0</v>
      </c>
      <c r="W111" s="4">
        <v>0</v>
      </c>
      <c r="X111" s="4"/>
      <c r="Y111" s="4"/>
      <c r="Z111" s="4" t="s">
        <v>1111</v>
      </c>
    </row>
    <row r="112" spans="1:26" x14ac:dyDescent="0.3">
      <c r="A112" s="4" t="s">
        <v>520</v>
      </c>
      <c r="B112" s="4"/>
      <c r="C112" s="4" t="s">
        <v>1112</v>
      </c>
      <c r="D112" s="4" t="s">
        <v>971</v>
      </c>
      <c r="E112" s="4" t="s">
        <v>938</v>
      </c>
      <c r="F112" s="4" t="s">
        <v>939</v>
      </c>
      <c r="G112" s="4">
        <v>0</v>
      </c>
      <c r="H112" s="4">
        <v>1</v>
      </c>
      <c r="I112" s="4"/>
      <c r="J112" s="4">
        <v>2014</v>
      </c>
      <c r="K112" s="4"/>
      <c r="L112" s="7">
        <v>4300000</v>
      </c>
      <c r="M112" s="7">
        <v>4300000</v>
      </c>
      <c r="N112" s="7"/>
      <c r="O112" s="4">
        <v>0</v>
      </c>
      <c r="P112" s="4">
        <v>0</v>
      </c>
      <c r="Q112" s="7"/>
      <c r="R112" s="7">
        <v>35000000</v>
      </c>
      <c r="S112" s="7">
        <v>35000000</v>
      </c>
      <c r="T112" s="7">
        <v>35000000</v>
      </c>
      <c r="U112" s="4">
        <v>5</v>
      </c>
      <c r="V112" s="4">
        <v>0</v>
      </c>
      <c r="W112" s="4">
        <v>0</v>
      </c>
      <c r="X112" s="4" t="s">
        <v>1113</v>
      </c>
      <c r="Y112" s="4" t="s">
        <v>1114</v>
      </c>
      <c r="Z112" s="4" t="s">
        <v>1115</v>
      </c>
    </row>
    <row r="113" spans="1:26" x14ac:dyDescent="0.3">
      <c r="A113" s="4" t="s">
        <v>526</v>
      </c>
      <c r="B113" s="4"/>
      <c r="C113" s="4" t="s">
        <v>1116</v>
      </c>
      <c r="D113" s="4" t="s">
        <v>258</v>
      </c>
      <c r="E113" s="4" t="s">
        <v>1059</v>
      </c>
      <c r="F113" s="4" t="s">
        <v>258</v>
      </c>
      <c r="G113" s="4">
        <v>0</v>
      </c>
      <c r="H113" s="4"/>
      <c r="I113" s="4"/>
      <c r="J113" s="4"/>
      <c r="K113" s="4"/>
      <c r="L113" s="7"/>
      <c r="M113" s="7"/>
      <c r="N113" s="7"/>
      <c r="O113" s="4">
        <v>0</v>
      </c>
      <c r="P113" s="4">
        <v>0</v>
      </c>
      <c r="Q113" s="7"/>
      <c r="R113" s="7"/>
      <c r="S113" s="7"/>
      <c r="T113" s="7"/>
      <c r="U113" s="4"/>
      <c r="V113" s="4">
        <v>0</v>
      </c>
      <c r="W113" s="4">
        <v>0</v>
      </c>
      <c r="X113" s="4"/>
      <c r="Y113" s="4"/>
      <c r="Z113" s="4" t="s">
        <v>1117</v>
      </c>
    </row>
    <row r="114" spans="1:26" x14ac:dyDescent="0.3">
      <c r="A114" s="4" t="s">
        <v>531</v>
      </c>
      <c r="B114" s="4"/>
      <c r="C114" s="4" t="s">
        <v>1090</v>
      </c>
      <c r="D114" s="4" t="s">
        <v>258</v>
      </c>
      <c r="E114" s="4" t="s">
        <v>1059</v>
      </c>
      <c r="F114" s="4" t="s">
        <v>258</v>
      </c>
      <c r="G114" s="4">
        <v>0</v>
      </c>
      <c r="H114" s="4"/>
      <c r="I114" s="4"/>
      <c r="J114" s="4"/>
      <c r="K114" s="4"/>
      <c r="L114" s="7"/>
      <c r="M114" s="7"/>
      <c r="N114" s="7"/>
      <c r="O114" s="4">
        <v>0</v>
      </c>
      <c r="P114" s="4">
        <v>0</v>
      </c>
      <c r="Q114" s="7"/>
      <c r="R114" s="7"/>
      <c r="S114" s="7"/>
      <c r="T114" s="7"/>
      <c r="U114" s="4"/>
      <c r="V114" s="4">
        <v>0</v>
      </c>
      <c r="W114" s="4"/>
      <c r="X114" s="4"/>
      <c r="Y114" s="4"/>
      <c r="Z114" s="4"/>
    </row>
    <row r="115" spans="1:26" x14ac:dyDescent="0.3">
      <c r="A115" s="4" t="s">
        <v>533</v>
      </c>
      <c r="B115" s="4"/>
      <c r="C115" s="4" t="s">
        <v>1099</v>
      </c>
      <c r="D115" s="4" t="s">
        <v>258</v>
      </c>
      <c r="E115" s="4" t="s">
        <v>1059</v>
      </c>
      <c r="F115" s="4" t="s">
        <v>258</v>
      </c>
      <c r="G115" s="4">
        <v>0</v>
      </c>
      <c r="H115" s="4"/>
      <c r="I115" s="4"/>
      <c r="J115" s="4"/>
      <c r="K115" s="4"/>
      <c r="L115" s="7"/>
      <c r="M115" s="7"/>
      <c r="N115" s="7"/>
      <c r="O115" s="4">
        <v>0</v>
      </c>
      <c r="P115" s="4">
        <v>0</v>
      </c>
      <c r="Q115" s="7"/>
      <c r="R115" s="7"/>
      <c r="S115" s="7"/>
      <c r="T115" s="7"/>
      <c r="U115" s="4"/>
      <c r="V115" s="4">
        <v>0</v>
      </c>
      <c r="W115" s="4">
        <v>0</v>
      </c>
      <c r="X115" s="4"/>
      <c r="Y115" s="4"/>
      <c r="Z115" s="4" t="s">
        <v>1118</v>
      </c>
    </row>
    <row r="116" spans="1:26" x14ac:dyDescent="0.3">
      <c r="A116" s="4" t="s">
        <v>540</v>
      </c>
      <c r="B116" s="4"/>
      <c r="C116" s="4" t="s">
        <v>1119</v>
      </c>
      <c r="D116" s="4" t="s">
        <v>258</v>
      </c>
      <c r="E116" s="4" t="s">
        <v>1059</v>
      </c>
      <c r="F116" s="4" t="s">
        <v>258</v>
      </c>
      <c r="G116" s="4">
        <v>0</v>
      </c>
      <c r="H116" s="4"/>
      <c r="I116" s="4"/>
      <c r="J116" s="4"/>
      <c r="K116" s="4"/>
      <c r="L116" s="7"/>
      <c r="M116" s="7"/>
      <c r="N116" s="7"/>
      <c r="O116" s="4">
        <v>0</v>
      </c>
      <c r="P116" s="4">
        <v>0</v>
      </c>
      <c r="Q116" s="7"/>
      <c r="R116" s="7"/>
      <c r="S116" s="7"/>
      <c r="T116" s="7"/>
      <c r="U116" s="4"/>
      <c r="V116" s="4">
        <v>0</v>
      </c>
      <c r="W116" s="4"/>
      <c r="X116" s="4"/>
      <c r="Y116" s="4"/>
      <c r="Z116" s="4"/>
    </row>
    <row r="117" spans="1:26" x14ac:dyDescent="0.3">
      <c r="A117" s="4" t="s">
        <v>545</v>
      </c>
      <c r="B117" s="4"/>
      <c r="C117" s="4" t="s">
        <v>1116</v>
      </c>
      <c r="D117" s="4" t="s">
        <v>258</v>
      </c>
      <c r="E117" s="4" t="s">
        <v>1059</v>
      </c>
      <c r="F117" s="4" t="s">
        <v>258</v>
      </c>
      <c r="G117" s="4">
        <v>0</v>
      </c>
      <c r="H117" s="4"/>
      <c r="I117" s="4"/>
      <c r="J117" s="4"/>
      <c r="K117" s="4"/>
      <c r="L117" s="7"/>
      <c r="M117" s="7"/>
      <c r="N117" s="7"/>
      <c r="O117" s="4">
        <v>0</v>
      </c>
      <c r="P117" s="4">
        <v>0</v>
      </c>
      <c r="Q117" s="7"/>
      <c r="R117" s="7"/>
      <c r="S117" s="7"/>
      <c r="T117" s="7"/>
      <c r="U117" s="4"/>
      <c r="V117" s="4">
        <v>0</v>
      </c>
      <c r="W117" s="4"/>
      <c r="X117" s="4"/>
      <c r="Y117" s="4"/>
      <c r="Z117" s="4"/>
    </row>
    <row r="118" spans="1:26" x14ac:dyDescent="0.3">
      <c r="A118" s="4" t="s">
        <v>550</v>
      </c>
      <c r="B118" s="4"/>
      <c r="C118" s="4" t="s">
        <v>1089</v>
      </c>
      <c r="D118" s="4" t="s">
        <v>950</v>
      </c>
      <c r="E118" s="4" t="s">
        <v>1059</v>
      </c>
      <c r="F118" s="4" t="s">
        <v>939</v>
      </c>
      <c r="G118" s="4">
        <v>0</v>
      </c>
      <c r="H118" s="4">
        <v>1</v>
      </c>
      <c r="I118" s="4"/>
      <c r="J118" s="4"/>
      <c r="K118" s="4"/>
      <c r="L118" s="7"/>
      <c r="M118" s="7"/>
      <c r="N118" s="7"/>
      <c r="O118" s="4">
        <v>0</v>
      </c>
      <c r="P118" s="4">
        <v>0</v>
      </c>
      <c r="Q118" s="7"/>
      <c r="R118" s="7"/>
      <c r="S118" s="7"/>
      <c r="T118" s="7"/>
      <c r="U118" s="4"/>
      <c r="V118" s="4">
        <v>0</v>
      </c>
      <c r="W118" s="4">
        <v>0</v>
      </c>
      <c r="X118" s="4"/>
      <c r="Y118" s="4"/>
      <c r="Z118" s="4" t="s">
        <v>1120</v>
      </c>
    </row>
    <row r="119" spans="1:26" x14ac:dyDescent="0.3">
      <c r="A119" s="4" t="s">
        <v>554</v>
      </c>
      <c r="B119" s="4"/>
      <c r="C119" s="4" t="s">
        <v>1112</v>
      </c>
      <c r="D119" s="4" t="s">
        <v>258</v>
      </c>
      <c r="E119" s="4" t="s">
        <v>1059</v>
      </c>
      <c r="F119" s="4" t="s">
        <v>258</v>
      </c>
      <c r="G119" s="4">
        <v>0</v>
      </c>
      <c r="H119" s="4"/>
      <c r="I119" s="4"/>
      <c r="J119" s="4"/>
      <c r="K119" s="4"/>
      <c r="L119" s="7"/>
      <c r="M119" s="7"/>
      <c r="N119" s="7"/>
      <c r="O119" s="4">
        <v>0</v>
      </c>
      <c r="P119" s="4">
        <v>0</v>
      </c>
      <c r="Q119" s="7"/>
      <c r="R119" s="7"/>
      <c r="S119" s="7"/>
      <c r="T119" s="7"/>
      <c r="U119" s="4"/>
      <c r="V119" s="4">
        <v>0</v>
      </c>
      <c r="W119" s="4">
        <v>0</v>
      </c>
      <c r="X119" s="4"/>
      <c r="Y119" s="4"/>
      <c r="Z119" s="4" t="s">
        <v>1121</v>
      </c>
    </row>
    <row r="120" spans="1:26" x14ac:dyDescent="0.3">
      <c r="A120" s="4" t="s">
        <v>102</v>
      </c>
      <c r="B120" s="4" t="s">
        <v>1122</v>
      </c>
      <c r="C120" s="4" t="s">
        <v>1123</v>
      </c>
      <c r="D120" s="4" t="s">
        <v>974</v>
      </c>
      <c r="E120" s="4" t="s">
        <v>938</v>
      </c>
      <c r="F120" s="4" t="s">
        <v>939</v>
      </c>
      <c r="G120" s="4">
        <v>0</v>
      </c>
      <c r="H120" s="4">
        <v>1</v>
      </c>
      <c r="I120" s="4"/>
      <c r="J120" s="4">
        <v>2017</v>
      </c>
      <c r="K120" s="4"/>
      <c r="L120" s="7"/>
      <c r="M120" s="7"/>
      <c r="N120" s="7"/>
      <c r="O120" s="4">
        <v>0</v>
      </c>
      <c r="P120" s="4">
        <v>0</v>
      </c>
      <c r="Q120" s="7"/>
      <c r="R120" s="7"/>
      <c r="S120" s="7"/>
      <c r="T120" s="7"/>
      <c r="U120" s="4"/>
      <c r="V120" s="4">
        <v>0</v>
      </c>
      <c r="W120" s="4">
        <v>0</v>
      </c>
      <c r="X120" s="4" t="s">
        <v>1028</v>
      </c>
      <c r="Y120" s="4"/>
      <c r="Z120" s="4" t="s">
        <v>1124</v>
      </c>
    </row>
    <row r="121" spans="1:26" x14ac:dyDescent="0.3">
      <c r="A121" s="4" t="s">
        <v>102</v>
      </c>
      <c r="B121" s="4" t="s">
        <v>1125</v>
      </c>
      <c r="C121" s="4" t="s">
        <v>1126</v>
      </c>
      <c r="D121" s="4" t="s">
        <v>971</v>
      </c>
      <c r="E121" s="4" t="s">
        <v>938</v>
      </c>
      <c r="F121" s="4" t="s">
        <v>939</v>
      </c>
      <c r="G121" s="4">
        <v>0</v>
      </c>
      <c r="H121" s="4">
        <v>1</v>
      </c>
      <c r="I121" s="4"/>
      <c r="J121" s="4">
        <v>2017</v>
      </c>
      <c r="K121" s="4"/>
      <c r="L121" s="7"/>
      <c r="M121" s="7"/>
      <c r="N121" s="7"/>
      <c r="O121" s="4">
        <v>0</v>
      </c>
      <c r="P121" s="4">
        <v>0</v>
      </c>
      <c r="Q121" s="7"/>
      <c r="R121" s="7"/>
      <c r="S121" s="7"/>
      <c r="T121" s="7"/>
      <c r="U121" s="4"/>
      <c r="V121" s="4">
        <v>0</v>
      </c>
      <c r="W121" s="4">
        <v>0</v>
      </c>
      <c r="X121" s="4" t="s">
        <v>1028</v>
      </c>
      <c r="Y121" s="4"/>
      <c r="Z121" s="4" t="s">
        <v>1127</v>
      </c>
    </row>
    <row r="122" spans="1:26" x14ac:dyDescent="0.3">
      <c r="A122" s="4" t="s">
        <v>106</v>
      </c>
      <c r="B122" s="4" t="s">
        <v>1128</v>
      </c>
      <c r="C122" s="4" t="s">
        <v>1129</v>
      </c>
      <c r="D122" s="4" t="s">
        <v>1110</v>
      </c>
      <c r="E122" s="4" t="s">
        <v>938</v>
      </c>
      <c r="F122" s="4" t="s">
        <v>939</v>
      </c>
      <c r="G122" s="4">
        <v>0</v>
      </c>
      <c r="H122" s="4">
        <v>1</v>
      </c>
      <c r="I122" s="4"/>
      <c r="J122" s="4"/>
      <c r="K122" s="4"/>
      <c r="L122" s="7"/>
      <c r="M122" s="7"/>
      <c r="N122" s="7"/>
      <c r="O122" s="4">
        <v>0</v>
      </c>
      <c r="P122" s="4">
        <v>0</v>
      </c>
      <c r="Q122" s="7"/>
      <c r="R122" s="7"/>
      <c r="S122" s="7"/>
      <c r="T122" s="7"/>
      <c r="U122" s="4"/>
      <c r="V122" s="4">
        <v>0</v>
      </c>
      <c r="W122" s="4"/>
      <c r="X122" s="4" t="s">
        <v>1130</v>
      </c>
      <c r="Y122" s="4"/>
      <c r="Z122" s="4"/>
    </row>
    <row r="123" spans="1:26" x14ac:dyDescent="0.3">
      <c r="A123" s="4" t="s">
        <v>119</v>
      </c>
      <c r="B123" s="4" t="s">
        <v>1131</v>
      </c>
      <c r="C123" s="4" t="s">
        <v>1132</v>
      </c>
      <c r="D123" s="4" t="s">
        <v>1110</v>
      </c>
      <c r="E123" s="4" t="s">
        <v>938</v>
      </c>
      <c r="F123" s="4" t="s">
        <v>939</v>
      </c>
      <c r="G123" s="4">
        <v>0</v>
      </c>
      <c r="H123" s="4">
        <v>1</v>
      </c>
      <c r="I123" s="4"/>
      <c r="J123" s="4">
        <v>2020</v>
      </c>
      <c r="K123" s="4"/>
      <c r="L123" s="7"/>
      <c r="M123" s="7"/>
      <c r="N123" s="7"/>
      <c r="O123" s="4">
        <v>0</v>
      </c>
      <c r="P123" s="4">
        <v>0</v>
      </c>
      <c r="Q123" s="7"/>
      <c r="R123" s="7"/>
      <c r="S123" s="7"/>
      <c r="T123" s="7"/>
      <c r="U123" s="4"/>
      <c r="V123" s="4">
        <v>0</v>
      </c>
      <c r="W123" s="4"/>
      <c r="X123" s="4" t="s">
        <v>1133</v>
      </c>
      <c r="Y123" s="4"/>
      <c r="Z123" s="4"/>
    </row>
    <row r="124" spans="1:26" x14ac:dyDescent="0.3">
      <c r="A124" s="4" t="s">
        <v>123</v>
      </c>
      <c r="B124" s="4" t="s">
        <v>1134</v>
      </c>
      <c r="C124" s="4" t="s">
        <v>1135</v>
      </c>
      <c r="D124" s="4" t="s">
        <v>971</v>
      </c>
      <c r="E124" s="4" t="s">
        <v>938</v>
      </c>
      <c r="F124" s="4" t="s">
        <v>939</v>
      </c>
      <c r="G124" s="4">
        <v>0</v>
      </c>
      <c r="H124" s="4">
        <v>1</v>
      </c>
      <c r="I124" s="4"/>
      <c r="J124" s="4">
        <v>2018</v>
      </c>
      <c r="K124" s="4"/>
      <c r="L124" s="7"/>
      <c r="M124" s="7">
        <v>5000000</v>
      </c>
      <c r="N124" s="7"/>
      <c r="O124" s="4">
        <v>0</v>
      </c>
      <c r="P124" s="4">
        <v>0</v>
      </c>
      <c r="Q124" s="7"/>
      <c r="R124" s="7"/>
      <c r="S124" s="7"/>
      <c r="T124" s="7"/>
      <c r="U124" s="4"/>
      <c r="V124" s="4">
        <v>0</v>
      </c>
      <c r="W124" s="4">
        <v>0</v>
      </c>
      <c r="X124" s="4" t="s">
        <v>1136</v>
      </c>
      <c r="Y124" s="4"/>
      <c r="Z124" s="4" t="s">
        <v>1137</v>
      </c>
    </row>
    <row r="125" spans="1:26" x14ac:dyDescent="0.3">
      <c r="A125" s="4" t="s">
        <v>127</v>
      </c>
      <c r="B125" s="4" t="s">
        <v>1028</v>
      </c>
      <c r="C125" s="4" t="s">
        <v>258</v>
      </c>
      <c r="D125" s="4" t="s">
        <v>258</v>
      </c>
      <c r="E125" s="4" t="s">
        <v>1059</v>
      </c>
      <c r="F125" s="4" t="s">
        <v>258</v>
      </c>
      <c r="G125" s="4">
        <v>0</v>
      </c>
      <c r="H125" s="4"/>
      <c r="I125" s="4"/>
      <c r="J125" s="4"/>
      <c r="K125" s="4"/>
      <c r="L125" s="7"/>
      <c r="M125" s="7"/>
      <c r="N125" s="7"/>
      <c r="O125" s="4">
        <v>0</v>
      </c>
      <c r="P125" s="4">
        <v>0</v>
      </c>
      <c r="Q125" s="7"/>
      <c r="R125" s="7"/>
      <c r="S125" s="7"/>
      <c r="T125" s="7"/>
      <c r="U125" s="4"/>
      <c r="V125" s="4">
        <v>0</v>
      </c>
      <c r="W125" s="4"/>
      <c r="X125" s="4"/>
      <c r="Y125" s="4"/>
      <c r="Z125" s="4"/>
    </row>
    <row r="126" spans="1:26" x14ac:dyDescent="0.3">
      <c r="A126" s="4" t="s">
        <v>121</v>
      </c>
      <c r="B126" s="4" t="s">
        <v>1138</v>
      </c>
      <c r="C126" s="4" t="s">
        <v>1132</v>
      </c>
      <c r="D126" s="4" t="s">
        <v>1110</v>
      </c>
      <c r="E126" s="4" t="s">
        <v>938</v>
      </c>
      <c r="F126" s="4" t="s">
        <v>939</v>
      </c>
      <c r="G126" s="4">
        <v>0</v>
      </c>
      <c r="H126" s="4">
        <v>1</v>
      </c>
      <c r="I126" s="4"/>
      <c r="J126" s="4">
        <v>2013</v>
      </c>
      <c r="K126" s="4"/>
      <c r="L126" s="7"/>
      <c r="M126" s="7"/>
      <c r="N126" s="7"/>
      <c r="O126" s="4">
        <v>0</v>
      </c>
      <c r="P126" s="4">
        <v>0</v>
      </c>
      <c r="Q126" s="7"/>
      <c r="R126" s="7"/>
      <c r="S126" s="7"/>
      <c r="T126" s="7"/>
      <c r="U126" s="4"/>
      <c r="V126" s="4">
        <v>0</v>
      </c>
      <c r="W126" s="4"/>
      <c r="X126" s="4" t="s">
        <v>1139</v>
      </c>
      <c r="Y126" s="4"/>
      <c r="Z126" s="4"/>
    </row>
    <row r="127" spans="1:26" x14ac:dyDescent="0.3">
      <c r="A127" s="4" t="s">
        <v>140</v>
      </c>
      <c r="B127" s="4" t="s">
        <v>1140</v>
      </c>
      <c r="C127" s="4" t="s">
        <v>1141</v>
      </c>
      <c r="D127" s="4" t="s">
        <v>968</v>
      </c>
      <c r="E127" s="4" t="s">
        <v>938</v>
      </c>
      <c r="F127" s="4" t="s">
        <v>939</v>
      </c>
      <c r="G127" s="4">
        <v>0</v>
      </c>
      <c r="H127" s="4">
        <v>1</v>
      </c>
      <c r="I127" s="4"/>
      <c r="J127" s="4">
        <v>2015</v>
      </c>
      <c r="K127" s="4"/>
      <c r="L127" s="7"/>
      <c r="M127" s="7">
        <v>100000</v>
      </c>
      <c r="N127" s="7"/>
      <c r="O127" s="4">
        <v>0</v>
      </c>
      <c r="P127" s="4">
        <v>0</v>
      </c>
      <c r="Q127" s="7"/>
      <c r="R127" s="7"/>
      <c r="S127" s="7"/>
      <c r="T127" s="7"/>
      <c r="U127" s="4"/>
      <c r="V127" s="4">
        <v>0</v>
      </c>
      <c r="W127" s="4"/>
      <c r="X127" s="4" t="s">
        <v>1142</v>
      </c>
      <c r="Y127" s="4"/>
      <c r="Z127" s="4"/>
    </row>
    <row r="128" spans="1:26" x14ac:dyDescent="0.3">
      <c r="A128" s="4" t="s">
        <v>140</v>
      </c>
      <c r="B128" s="4" t="s">
        <v>1143</v>
      </c>
      <c r="C128" s="4" t="s">
        <v>1144</v>
      </c>
      <c r="D128" s="4" t="s">
        <v>971</v>
      </c>
      <c r="E128" s="4" t="s">
        <v>938</v>
      </c>
      <c r="F128" s="4" t="s">
        <v>939</v>
      </c>
      <c r="G128" s="4">
        <v>0</v>
      </c>
      <c r="H128" s="4">
        <v>1</v>
      </c>
      <c r="I128" s="4"/>
      <c r="J128" s="4">
        <v>2026</v>
      </c>
      <c r="K128" s="4"/>
      <c r="L128" s="7"/>
      <c r="M128" s="7">
        <v>1000000</v>
      </c>
      <c r="N128" s="7"/>
      <c r="O128" s="4">
        <v>0</v>
      </c>
      <c r="P128" s="4">
        <v>0</v>
      </c>
      <c r="Q128" s="7"/>
      <c r="R128" s="7"/>
      <c r="S128" s="7"/>
      <c r="T128" s="7"/>
      <c r="U128" s="4"/>
      <c r="V128" s="4">
        <v>1</v>
      </c>
      <c r="W128" s="4">
        <v>0</v>
      </c>
      <c r="X128" s="4" t="s">
        <v>1145</v>
      </c>
      <c r="Y128" s="4"/>
      <c r="Z128" s="4" t="s">
        <v>1146</v>
      </c>
    </row>
    <row r="129" spans="1:26" x14ac:dyDescent="0.3">
      <c r="A129" s="4" t="s">
        <v>146</v>
      </c>
      <c r="B129" s="4" t="s">
        <v>1028</v>
      </c>
      <c r="C129" s="4" t="s">
        <v>258</v>
      </c>
      <c r="D129" s="4" t="s">
        <v>258</v>
      </c>
      <c r="E129" s="4" t="s">
        <v>1059</v>
      </c>
      <c r="F129" s="4" t="s">
        <v>258</v>
      </c>
      <c r="G129" s="4">
        <v>0</v>
      </c>
      <c r="H129" s="4"/>
      <c r="I129" s="4"/>
      <c r="J129" s="4"/>
      <c r="K129" s="4"/>
      <c r="L129" s="7"/>
      <c r="M129" s="7"/>
      <c r="N129" s="7"/>
      <c r="O129" s="4">
        <v>0</v>
      </c>
      <c r="P129" s="4">
        <v>0</v>
      </c>
      <c r="Q129" s="7"/>
      <c r="R129" s="7"/>
      <c r="S129" s="7"/>
      <c r="T129" s="7"/>
      <c r="U129" s="4"/>
      <c r="V129" s="4">
        <v>0</v>
      </c>
      <c r="W129" s="4"/>
      <c r="X129" s="4"/>
      <c r="Y129" s="4"/>
      <c r="Z129" s="4"/>
    </row>
    <row r="130" spans="1:26" x14ac:dyDescent="0.3">
      <c r="A130" s="4" t="s">
        <v>152</v>
      </c>
      <c r="B130" s="4" t="s">
        <v>1028</v>
      </c>
      <c r="C130" s="4" t="s">
        <v>258</v>
      </c>
      <c r="D130" s="4" t="s">
        <v>258</v>
      </c>
      <c r="E130" s="4" t="s">
        <v>1059</v>
      </c>
      <c r="F130" s="4" t="s">
        <v>258</v>
      </c>
      <c r="G130" s="4">
        <v>0</v>
      </c>
      <c r="H130" s="4"/>
      <c r="I130" s="4"/>
      <c r="J130" s="4"/>
      <c r="K130" s="4"/>
      <c r="L130" s="7"/>
      <c r="M130" s="7"/>
      <c r="N130" s="7"/>
      <c r="O130" s="4">
        <v>0</v>
      </c>
      <c r="P130" s="4">
        <v>0</v>
      </c>
      <c r="Q130" s="7"/>
      <c r="R130" s="7"/>
      <c r="S130" s="7"/>
      <c r="T130" s="7"/>
      <c r="U130" s="4"/>
      <c r="V130" s="4">
        <v>0</v>
      </c>
      <c r="W130" s="4"/>
      <c r="X130" s="4"/>
      <c r="Y130" s="4"/>
      <c r="Z130" s="4"/>
    </row>
    <row r="131" spans="1:26" x14ac:dyDescent="0.3">
      <c r="A131" s="4" t="s">
        <v>164</v>
      </c>
      <c r="B131" s="4" t="s">
        <v>1147</v>
      </c>
      <c r="C131" s="4" t="s">
        <v>1144</v>
      </c>
      <c r="D131" s="4" t="s">
        <v>971</v>
      </c>
      <c r="E131" s="4" t="s">
        <v>938</v>
      </c>
      <c r="F131" s="4" t="s">
        <v>939</v>
      </c>
      <c r="G131" s="4">
        <v>0</v>
      </c>
      <c r="H131" s="4">
        <v>1</v>
      </c>
      <c r="I131" s="4"/>
      <c r="J131" s="4">
        <v>2018</v>
      </c>
      <c r="K131" s="4"/>
      <c r="L131" s="7"/>
      <c r="M131" s="7"/>
      <c r="N131" s="7"/>
      <c r="O131" s="4">
        <v>0</v>
      </c>
      <c r="P131" s="4">
        <v>0</v>
      </c>
      <c r="Q131" s="7"/>
      <c r="R131" s="7"/>
      <c r="S131" s="7"/>
      <c r="T131" s="7"/>
      <c r="U131" s="4"/>
      <c r="V131" s="4">
        <v>1</v>
      </c>
      <c r="W131" s="4">
        <v>0</v>
      </c>
      <c r="X131" s="4" t="s">
        <v>1148</v>
      </c>
      <c r="Y131" s="4"/>
      <c r="Z131" s="4" t="s">
        <v>1149</v>
      </c>
    </row>
    <row r="132" spans="1:26" x14ac:dyDescent="0.3">
      <c r="A132" s="4" t="s">
        <v>169</v>
      </c>
      <c r="B132" s="4" t="s">
        <v>1028</v>
      </c>
      <c r="C132" s="4" t="s">
        <v>258</v>
      </c>
      <c r="D132" s="4" t="s">
        <v>258</v>
      </c>
      <c r="E132" s="4" t="s">
        <v>1059</v>
      </c>
      <c r="F132" s="4" t="s">
        <v>258</v>
      </c>
      <c r="G132" s="4">
        <v>0</v>
      </c>
      <c r="H132" s="4"/>
      <c r="I132" s="4"/>
      <c r="J132" s="4"/>
      <c r="K132" s="4"/>
      <c r="L132" s="7"/>
      <c r="M132" s="7"/>
      <c r="N132" s="7"/>
      <c r="O132" s="4">
        <v>0</v>
      </c>
      <c r="P132" s="4">
        <v>0</v>
      </c>
      <c r="Q132" s="7"/>
      <c r="R132" s="7"/>
      <c r="S132" s="7"/>
      <c r="T132" s="7"/>
      <c r="U132" s="4"/>
      <c r="V132" s="4">
        <v>0</v>
      </c>
      <c r="W132" s="4"/>
      <c r="X132" s="4"/>
      <c r="Y132" s="4"/>
      <c r="Z132" s="4"/>
    </row>
    <row r="133" spans="1:26" x14ac:dyDescent="0.3">
      <c r="A133" s="4" t="s">
        <v>172</v>
      </c>
      <c r="B133" s="4" t="s">
        <v>1028</v>
      </c>
      <c r="C133" s="4" t="s">
        <v>258</v>
      </c>
      <c r="D133" s="4" t="s">
        <v>258</v>
      </c>
      <c r="E133" s="4" t="s">
        <v>1059</v>
      </c>
      <c r="F133" s="4" t="s">
        <v>258</v>
      </c>
      <c r="G133" s="4">
        <v>0</v>
      </c>
      <c r="H133" s="4"/>
      <c r="I133" s="4"/>
      <c r="J133" s="4"/>
      <c r="K133" s="4"/>
      <c r="L133" s="7"/>
      <c r="M133" s="7"/>
      <c r="N133" s="7"/>
      <c r="O133" s="4">
        <v>0</v>
      </c>
      <c r="P133" s="4">
        <v>0</v>
      </c>
      <c r="Q133" s="7"/>
      <c r="R133" s="7"/>
      <c r="S133" s="7"/>
      <c r="T133" s="7"/>
      <c r="U133" s="4"/>
      <c r="V133" s="4">
        <v>0</v>
      </c>
      <c r="W133" s="4"/>
      <c r="X133" s="4"/>
      <c r="Y133" s="4"/>
      <c r="Z133" s="4"/>
    </row>
    <row r="134" spans="1:26" x14ac:dyDescent="0.3">
      <c r="A134" s="4" t="s">
        <v>176</v>
      </c>
      <c r="B134" s="4" t="s">
        <v>1028</v>
      </c>
      <c r="C134" s="4" t="s">
        <v>258</v>
      </c>
      <c r="D134" s="4" t="s">
        <v>258</v>
      </c>
      <c r="E134" s="4" t="s">
        <v>1059</v>
      </c>
      <c r="F134" s="4" t="s">
        <v>258</v>
      </c>
      <c r="G134" s="4">
        <v>0</v>
      </c>
      <c r="H134" s="4"/>
      <c r="I134" s="4"/>
      <c r="J134" s="4"/>
      <c r="K134" s="4"/>
      <c r="L134" s="7"/>
      <c r="M134" s="7"/>
      <c r="N134" s="7"/>
      <c r="O134" s="4">
        <v>0</v>
      </c>
      <c r="P134" s="4">
        <v>0</v>
      </c>
      <c r="Q134" s="7"/>
      <c r="R134" s="7"/>
      <c r="S134" s="7"/>
      <c r="T134" s="7"/>
      <c r="U134" s="4"/>
      <c r="V134" s="4">
        <v>0</v>
      </c>
      <c r="W134" s="4"/>
      <c r="X134" s="4"/>
      <c r="Y134" s="4"/>
      <c r="Z134" s="4"/>
    </row>
    <row r="135" spans="1:26" x14ac:dyDescent="0.3">
      <c r="A135" s="4" t="s">
        <v>189</v>
      </c>
      <c r="B135" s="4" t="s">
        <v>1150</v>
      </c>
      <c r="C135" s="4" t="s">
        <v>962</v>
      </c>
      <c r="D135" s="4" t="s">
        <v>937</v>
      </c>
      <c r="E135" s="4" t="s">
        <v>938</v>
      </c>
      <c r="F135" s="4" t="s">
        <v>939</v>
      </c>
      <c r="G135" s="4">
        <v>0</v>
      </c>
      <c r="H135" s="4">
        <v>1</v>
      </c>
      <c r="I135" s="4"/>
      <c r="J135" s="4">
        <v>2018</v>
      </c>
      <c r="K135" s="4"/>
      <c r="L135" s="7"/>
      <c r="M135" s="7"/>
      <c r="N135" s="7"/>
      <c r="O135" s="4">
        <v>0</v>
      </c>
      <c r="P135" s="4">
        <v>0</v>
      </c>
      <c r="Q135" s="7"/>
      <c r="R135" s="7"/>
      <c r="S135" s="7"/>
      <c r="T135" s="7"/>
      <c r="U135" s="4"/>
      <c r="V135" s="4">
        <v>0</v>
      </c>
      <c r="W135" s="4">
        <v>0</v>
      </c>
      <c r="X135" s="4" t="s">
        <v>1028</v>
      </c>
      <c r="Y135" s="4"/>
      <c r="Z135" s="4" t="s">
        <v>1151</v>
      </c>
    </row>
    <row r="136" spans="1:26" x14ac:dyDescent="0.3">
      <c r="A136" s="4" t="s">
        <v>189</v>
      </c>
      <c r="B136" s="4" t="s">
        <v>1152</v>
      </c>
      <c r="C136" s="4" t="s">
        <v>1153</v>
      </c>
      <c r="D136" s="4" t="s">
        <v>965</v>
      </c>
      <c r="E136" s="4" t="s">
        <v>938</v>
      </c>
      <c r="F136" s="4" t="s">
        <v>939</v>
      </c>
      <c r="G136" s="4">
        <v>0</v>
      </c>
      <c r="H136" s="4">
        <v>1</v>
      </c>
      <c r="I136" s="4"/>
      <c r="J136" s="4">
        <v>2019</v>
      </c>
      <c r="K136" s="4"/>
      <c r="L136" s="7"/>
      <c r="M136" s="7">
        <v>4150000</v>
      </c>
      <c r="N136" s="7"/>
      <c r="O136" s="4">
        <v>0</v>
      </c>
      <c r="P136" s="4">
        <v>0</v>
      </c>
      <c r="Q136" s="7"/>
      <c r="R136" s="7"/>
      <c r="S136" s="7"/>
      <c r="T136" s="7"/>
      <c r="U136" s="4"/>
      <c r="V136" s="4">
        <v>0</v>
      </c>
      <c r="W136" s="4">
        <v>0</v>
      </c>
      <c r="X136" s="4" t="s">
        <v>1154</v>
      </c>
      <c r="Y136" s="4"/>
      <c r="Z136" s="4" t="s">
        <v>1155</v>
      </c>
    </row>
    <row r="137" spans="1:26" x14ac:dyDescent="0.3">
      <c r="A137" s="4" t="s">
        <v>199</v>
      </c>
      <c r="B137" s="4" t="s">
        <v>1028</v>
      </c>
      <c r="C137" s="4" t="s">
        <v>258</v>
      </c>
      <c r="D137" s="4" t="s">
        <v>258</v>
      </c>
      <c r="E137" s="4" t="s">
        <v>1059</v>
      </c>
      <c r="F137" s="4" t="s">
        <v>258</v>
      </c>
      <c r="G137" s="4">
        <v>0</v>
      </c>
      <c r="H137" s="4"/>
      <c r="I137" s="4"/>
      <c r="J137" s="4"/>
      <c r="K137" s="4"/>
      <c r="L137" s="7"/>
      <c r="M137" s="7"/>
      <c r="N137" s="7"/>
      <c r="O137" s="4">
        <v>0</v>
      </c>
      <c r="P137" s="4">
        <v>0</v>
      </c>
      <c r="Q137" s="7"/>
      <c r="R137" s="7"/>
      <c r="S137" s="7"/>
      <c r="T137" s="7"/>
      <c r="U137" s="4"/>
      <c r="V137" s="4">
        <v>0</v>
      </c>
      <c r="W137" s="4"/>
      <c r="X137" s="4"/>
      <c r="Y137" s="4"/>
      <c r="Z137" s="4"/>
    </row>
    <row r="138" spans="1:26" x14ac:dyDescent="0.3">
      <c r="A138" s="4" t="s">
        <v>212</v>
      </c>
      <c r="B138" s="4" t="s">
        <v>1028</v>
      </c>
      <c r="C138" s="4" t="s">
        <v>258</v>
      </c>
      <c r="D138" s="4" t="s">
        <v>258</v>
      </c>
      <c r="E138" s="4" t="s">
        <v>1059</v>
      </c>
      <c r="F138" s="4" t="s">
        <v>258</v>
      </c>
      <c r="G138" s="4">
        <v>0</v>
      </c>
      <c r="H138" s="4"/>
      <c r="I138" s="4"/>
      <c r="J138" s="4"/>
      <c r="K138" s="4"/>
      <c r="L138" s="7"/>
      <c r="M138" s="7"/>
      <c r="N138" s="7"/>
      <c r="O138" s="4">
        <v>0</v>
      </c>
      <c r="P138" s="4">
        <v>0</v>
      </c>
      <c r="Q138" s="7"/>
      <c r="R138" s="7"/>
      <c r="S138" s="7"/>
      <c r="T138" s="7"/>
      <c r="U138" s="4"/>
      <c r="V138" s="4">
        <v>0</v>
      </c>
      <c r="W138" s="4"/>
      <c r="X138" s="4"/>
      <c r="Y138" s="4"/>
      <c r="Z138" s="4"/>
    </row>
    <row r="139" spans="1:26" x14ac:dyDescent="0.3">
      <c r="A139" s="4" t="s">
        <v>237</v>
      </c>
      <c r="B139" s="4" t="s">
        <v>1156</v>
      </c>
      <c r="C139" s="4" t="s">
        <v>1144</v>
      </c>
      <c r="D139" s="4" t="s">
        <v>971</v>
      </c>
      <c r="E139" s="4" t="s">
        <v>938</v>
      </c>
      <c r="F139" s="4" t="s">
        <v>939</v>
      </c>
      <c r="G139" s="4">
        <v>0</v>
      </c>
      <c r="H139" s="4">
        <v>1</v>
      </c>
      <c r="I139" s="4"/>
      <c r="J139" s="4">
        <v>2021</v>
      </c>
      <c r="K139" s="4"/>
      <c r="L139" s="7"/>
      <c r="M139" s="7"/>
      <c r="N139" s="7"/>
      <c r="O139" s="4">
        <v>0</v>
      </c>
      <c r="P139" s="4">
        <v>0</v>
      </c>
      <c r="Q139" s="7"/>
      <c r="R139" s="7"/>
      <c r="S139" s="7"/>
      <c r="T139" s="7"/>
      <c r="U139" s="4"/>
      <c r="V139" s="4">
        <v>1</v>
      </c>
      <c r="W139" s="4">
        <v>0</v>
      </c>
      <c r="X139" s="4" t="s">
        <v>1028</v>
      </c>
      <c r="Y139" s="4"/>
      <c r="Z139" s="4" t="s">
        <v>1157</v>
      </c>
    </row>
    <row r="140" spans="1:26" x14ac:dyDescent="0.3">
      <c r="A140" s="4" t="s">
        <v>243</v>
      </c>
      <c r="B140" s="4" t="s">
        <v>1158</v>
      </c>
      <c r="C140" s="4" t="s">
        <v>1159</v>
      </c>
      <c r="D140" s="4" t="s">
        <v>971</v>
      </c>
      <c r="E140" s="4" t="s">
        <v>938</v>
      </c>
      <c r="F140" s="4" t="s">
        <v>939</v>
      </c>
      <c r="G140" s="4">
        <v>0</v>
      </c>
      <c r="H140" s="4">
        <v>1</v>
      </c>
      <c r="I140" s="4"/>
      <c r="J140" s="4"/>
      <c r="K140" s="4"/>
      <c r="L140" s="7"/>
      <c r="M140" s="7"/>
      <c r="N140" s="7"/>
      <c r="O140" s="4">
        <v>0</v>
      </c>
      <c r="P140" s="4">
        <v>0</v>
      </c>
      <c r="Q140" s="7"/>
      <c r="R140" s="7"/>
      <c r="S140" s="7"/>
      <c r="T140" s="7"/>
      <c r="U140" s="4"/>
      <c r="V140" s="4">
        <v>1</v>
      </c>
      <c r="W140" s="4">
        <v>0</v>
      </c>
      <c r="X140" s="4" t="s">
        <v>1028</v>
      </c>
      <c r="Y140" s="4"/>
      <c r="Z140" s="4" t="s">
        <v>1160</v>
      </c>
    </row>
    <row r="141" spans="1:26" x14ac:dyDescent="0.3">
      <c r="A141" s="4" t="s">
        <v>252</v>
      </c>
      <c r="B141" s="4" t="s">
        <v>1161</v>
      </c>
      <c r="C141" s="4" t="s">
        <v>1162</v>
      </c>
      <c r="D141" s="4" t="s">
        <v>971</v>
      </c>
      <c r="E141" s="4" t="s">
        <v>938</v>
      </c>
      <c r="F141" s="4" t="s">
        <v>939</v>
      </c>
      <c r="G141" s="4">
        <v>0</v>
      </c>
      <c r="H141" s="4">
        <v>1</v>
      </c>
      <c r="I141" s="4"/>
      <c r="J141" s="4">
        <v>2016</v>
      </c>
      <c r="K141" s="4"/>
      <c r="L141" s="7"/>
      <c r="M141" s="7"/>
      <c r="N141" s="7"/>
      <c r="O141" s="4">
        <v>0</v>
      </c>
      <c r="P141" s="4">
        <v>0</v>
      </c>
      <c r="Q141" s="7"/>
      <c r="R141" s="7"/>
      <c r="S141" s="7"/>
      <c r="T141" s="7"/>
      <c r="U141" s="4"/>
      <c r="V141" s="4">
        <v>0</v>
      </c>
      <c r="W141" s="4">
        <v>0</v>
      </c>
      <c r="X141" s="4" t="s">
        <v>1028</v>
      </c>
      <c r="Y141" s="4"/>
      <c r="Z141" s="4" t="s">
        <v>1163</v>
      </c>
    </row>
    <row r="142" spans="1:26" x14ac:dyDescent="0.3">
      <c r="A142" s="4" t="s">
        <v>252</v>
      </c>
      <c r="B142" s="4" t="s">
        <v>1164</v>
      </c>
      <c r="C142" s="4" t="s">
        <v>1144</v>
      </c>
      <c r="D142" s="4" t="s">
        <v>971</v>
      </c>
      <c r="E142" s="4" t="s">
        <v>938</v>
      </c>
      <c r="F142" s="4" t="s">
        <v>939</v>
      </c>
      <c r="G142" s="4">
        <v>0</v>
      </c>
      <c r="H142" s="4">
        <v>1</v>
      </c>
      <c r="I142" s="4"/>
      <c r="J142" s="4">
        <v>2023</v>
      </c>
      <c r="K142" s="4"/>
      <c r="L142" s="7"/>
      <c r="M142" s="7"/>
      <c r="N142" s="7"/>
      <c r="O142" s="4">
        <v>0</v>
      </c>
      <c r="P142" s="4">
        <v>0</v>
      </c>
      <c r="Q142" s="7"/>
      <c r="R142" s="7"/>
      <c r="S142" s="7"/>
      <c r="T142" s="7"/>
      <c r="U142" s="4"/>
      <c r="V142" s="4">
        <v>1</v>
      </c>
      <c r="W142" s="4">
        <v>0</v>
      </c>
      <c r="X142" s="4" t="s">
        <v>1028</v>
      </c>
      <c r="Y142" s="4"/>
      <c r="Z142" s="4" t="s">
        <v>1165</v>
      </c>
    </row>
    <row r="143" spans="1:26" x14ac:dyDescent="0.3">
      <c r="A143" s="4" t="s">
        <v>252</v>
      </c>
      <c r="B143" s="4" t="s">
        <v>1166</v>
      </c>
      <c r="C143" s="4" t="s">
        <v>1167</v>
      </c>
      <c r="D143" s="4" t="s">
        <v>971</v>
      </c>
      <c r="E143" s="4" t="s">
        <v>938</v>
      </c>
      <c r="F143" s="4" t="s">
        <v>939</v>
      </c>
      <c r="G143" s="4">
        <v>0</v>
      </c>
      <c r="H143" s="4">
        <v>1</v>
      </c>
      <c r="I143" s="4"/>
      <c r="J143" s="4">
        <v>2025</v>
      </c>
      <c r="K143" s="4"/>
      <c r="L143" s="7"/>
      <c r="M143" s="7"/>
      <c r="N143" s="7"/>
      <c r="O143" s="4">
        <v>0</v>
      </c>
      <c r="P143" s="4">
        <v>0</v>
      </c>
      <c r="Q143" s="7"/>
      <c r="R143" s="7"/>
      <c r="S143" s="7"/>
      <c r="T143" s="7"/>
      <c r="U143" s="4"/>
      <c r="V143" s="4">
        <v>0</v>
      </c>
      <c r="W143" s="4">
        <v>0</v>
      </c>
      <c r="X143" s="4" t="s">
        <v>1168</v>
      </c>
      <c r="Y143" s="4"/>
      <c r="Z143" s="4" t="s">
        <v>1169</v>
      </c>
    </row>
    <row r="144" spans="1:26" x14ac:dyDescent="0.3">
      <c r="A144" s="4" t="s">
        <v>268</v>
      </c>
      <c r="B144" s="4" t="s">
        <v>1028</v>
      </c>
      <c r="C144" s="4" t="s">
        <v>258</v>
      </c>
      <c r="D144" s="4" t="s">
        <v>258</v>
      </c>
      <c r="E144" s="4" t="s">
        <v>1059</v>
      </c>
      <c r="F144" s="4" t="s">
        <v>258</v>
      </c>
      <c r="G144" s="4">
        <v>0</v>
      </c>
      <c r="H144" s="4"/>
      <c r="I144" s="4"/>
      <c r="J144" s="4"/>
      <c r="K144" s="4"/>
      <c r="L144" s="7"/>
      <c r="M144" s="7"/>
      <c r="N144" s="7"/>
      <c r="O144" s="4">
        <v>0</v>
      </c>
      <c r="P144" s="4">
        <v>0</v>
      </c>
      <c r="Q144" s="7"/>
      <c r="R144" s="7"/>
      <c r="S144" s="7"/>
      <c r="T144" s="7"/>
      <c r="U144" s="4"/>
      <c r="V144" s="4">
        <v>0</v>
      </c>
      <c r="W144" s="4"/>
      <c r="X144" s="4"/>
      <c r="Y144" s="4"/>
      <c r="Z144" s="4"/>
    </row>
    <row r="145" spans="1:26" x14ac:dyDescent="0.3">
      <c r="A145" s="4" t="s">
        <v>275</v>
      </c>
      <c r="B145" s="4" t="s">
        <v>1028</v>
      </c>
      <c r="C145" s="4" t="s">
        <v>258</v>
      </c>
      <c r="D145" s="4" t="s">
        <v>258</v>
      </c>
      <c r="E145" s="4" t="s">
        <v>1059</v>
      </c>
      <c r="F145" s="4" t="s">
        <v>258</v>
      </c>
      <c r="G145" s="4">
        <v>0</v>
      </c>
      <c r="H145" s="4"/>
      <c r="I145" s="4"/>
      <c r="J145" s="4"/>
      <c r="K145" s="4"/>
      <c r="L145" s="7"/>
      <c r="M145" s="7"/>
      <c r="N145" s="7"/>
      <c r="O145" s="4">
        <v>0</v>
      </c>
      <c r="P145" s="4">
        <v>0</v>
      </c>
      <c r="Q145" s="7"/>
      <c r="R145" s="7"/>
      <c r="S145" s="7"/>
      <c r="T145" s="7"/>
      <c r="U145" s="4"/>
      <c r="V145" s="4">
        <v>0</v>
      </c>
      <c r="W145" s="4"/>
      <c r="X145" s="4"/>
      <c r="Y145" s="4"/>
      <c r="Z145" s="4"/>
    </row>
    <row r="146" spans="1:26" x14ac:dyDescent="0.3">
      <c r="A146" s="4" t="s">
        <v>295</v>
      </c>
      <c r="B146" s="4" t="s">
        <v>1028</v>
      </c>
      <c r="C146" s="4" t="s">
        <v>258</v>
      </c>
      <c r="D146" s="4" t="s">
        <v>258</v>
      </c>
      <c r="E146" s="4" t="s">
        <v>1059</v>
      </c>
      <c r="F146" s="4" t="s">
        <v>258</v>
      </c>
      <c r="G146" s="4">
        <v>0</v>
      </c>
      <c r="H146" s="4"/>
      <c r="I146" s="4"/>
      <c r="J146" s="4"/>
      <c r="K146" s="4"/>
      <c r="L146" s="7"/>
      <c r="M146" s="7"/>
      <c r="N146" s="7"/>
      <c r="O146" s="4">
        <v>0</v>
      </c>
      <c r="P146" s="4">
        <v>0</v>
      </c>
      <c r="Q146" s="7"/>
      <c r="R146" s="7"/>
      <c r="S146" s="7"/>
      <c r="T146" s="7"/>
      <c r="U146" s="4"/>
      <c r="V146" s="4">
        <v>0</v>
      </c>
      <c r="W146" s="4"/>
      <c r="X146" s="4"/>
      <c r="Y146" s="4"/>
      <c r="Z146" s="4"/>
    </row>
    <row r="147" spans="1:26" x14ac:dyDescent="0.3">
      <c r="A147" s="4" t="s">
        <v>303</v>
      </c>
      <c r="B147" s="4" t="s">
        <v>1028</v>
      </c>
      <c r="C147" s="4" t="s">
        <v>258</v>
      </c>
      <c r="D147" s="4" t="s">
        <v>258</v>
      </c>
      <c r="E147" s="4" t="s">
        <v>1059</v>
      </c>
      <c r="F147" s="4" t="s">
        <v>258</v>
      </c>
      <c r="G147" s="4">
        <v>0</v>
      </c>
      <c r="H147" s="4"/>
      <c r="I147" s="4"/>
      <c r="J147" s="4"/>
      <c r="K147" s="4"/>
      <c r="L147" s="7"/>
      <c r="M147" s="7"/>
      <c r="N147" s="7"/>
      <c r="O147" s="4">
        <v>0</v>
      </c>
      <c r="P147" s="4">
        <v>0</v>
      </c>
      <c r="Q147" s="7"/>
      <c r="R147" s="7"/>
      <c r="S147" s="7"/>
      <c r="T147" s="7"/>
      <c r="U147" s="4"/>
      <c r="V147" s="4">
        <v>0</v>
      </c>
      <c r="W147" s="4"/>
      <c r="X147" s="4"/>
      <c r="Y147" s="4"/>
      <c r="Z147" s="4"/>
    </row>
    <row r="148" spans="1:26" x14ac:dyDescent="0.3">
      <c r="A148" s="4" t="s">
        <v>314</v>
      </c>
      <c r="B148" s="4" t="s">
        <v>1028</v>
      </c>
      <c r="C148" s="4" t="s">
        <v>258</v>
      </c>
      <c r="D148" s="4" t="s">
        <v>258</v>
      </c>
      <c r="E148" s="4" t="s">
        <v>1059</v>
      </c>
      <c r="F148" s="4" t="s">
        <v>258</v>
      </c>
      <c r="G148" s="4">
        <v>0</v>
      </c>
      <c r="H148" s="4"/>
      <c r="I148" s="4"/>
      <c r="J148" s="4"/>
      <c r="K148" s="4"/>
      <c r="L148" s="7"/>
      <c r="M148" s="7"/>
      <c r="N148" s="7"/>
      <c r="O148" s="4">
        <v>0</v>
      </c>
      <c r="P148" s="4">
        <v>0</v>
      </c>
      <c r="Q148" s="7"/>
      <c r="R148" s="7"/>
      <c r="S148" s="7"/>
      <c r="T148" s="7"/>
      <c r="U148" s="4"/>
      <c r="V148" s="4">
        <v>0</v>
      </c>
      <c r="W148" s="4"/>
      <c r="X148" s="4"/>
      <c r="Y148" s="4"/>
      <c r="Z148" s="4"/>
    </row>
    <row r="149" spans="1:26" x14ac:dyDescent="0.3">
      <c r="A149" s="4" t="s">
        <v>317</v>
      </c>
      <c r="B149" s="4" t="s">
        <v>1028</v>
      </c>
      <c r="C149" s="4" t="s">
        <v>258</v>
      </c>
      <c r="D149" s="4" t="s">
        <v>258</v>
      </c>
      <c r="E149" s="4" t="s">
        <v>1059</v>
      </c>
      <c r="F149" s="4" t="s">
        <v>258</v>
      </c>
      <c r="G149" s="4">
        <v>0</v>
      </c>
      <c r="H149" s="4"/>
      <c r="I149" s="4"/>
      <c r="J149" s="4"/>
      <c r="K149" s="4"/>
      <c r="L149" s="7"/>
      <c r="M149" s="7"/>
      <c r="N149" s="7"/>
      <c r="O149" s="4">
        <v>0</v>
      </c>
      <c r="P149" s="4">
        <v>0</v>
      </c>
      <c r="Q149" s="7"/>
      <c r="R149" s="7"/>
      <c r="S149" s="7"/>
      <c r="T149" s="7"/>
      <c r="U149" s="4"/>
      <c r="V149" s="4">
        <v>0</v>
      </c>
      <c r="W149" s="4"/>
      <c r="X149" s="4"/>
      <c r="Y149" s="4"/>
      <c r="Z149" s="4"/>
    </row>
    <row r="150" spans="1:26" x14ac:dyDescent="0.3">
      <c r="A150" s="4" t="s">
        <v>361</v>
      </c>
      <c r="B150" s="4" t="s">
        <v>1028</v>
      </c>
      <c r="C150" s="4" t="s">
        <v>258</v>
      </c>
      <c r="D150" s="4" t="s">
        <v>258</v>
      </c>
      <c r="E150" s="4" t="s">
        <v>1059</v>
      </c>
      <c r="F150" s="4" t="s">
        <v>258</v>
      </c>
      <c r="G150" s="4">
        <v>0</v>
      </c>
      <c r="H150" s="4"/>
      <c r="I150" s="4"/>
      <c r="J150" s="4"/>
      <c r="K150" s="4"/>
      <c r="L150" s="7"/>
      <c r="M150" s="7"/>
      <c r="N150" s="7"/>
      <c r="O150" s="4">
        <v>0</v>
      </c>
      <c r="P150" s="4">
        <v>0</v>
      </c>
      <c r="Q150" s="7"/>
      <c r="R150" s="7"/>
      <c r="S150" s="7"/>
      <c r="T150" s="7"/>
      <c r="U150" s="4"/>
      <c r="V150" s="4">
        <v>0</v>
      </c>
      <c r="W150" s="4"/>
      <c r="X150" s="4"/>
      <c r="Y150" s="4"/>
      <c r="Z150" s="4"/>
    </row>
  </sheetData>
  <autoFilter ref="A1:Z150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3" width="16" customWidth="1"/>
    <col min="4" max="4" width="55" customWidth="1"/>
    <col min="5" max="5" width="60" customWidth="1"/>
  </cols>
  <sheetData>
    <row r="1" spans="1:5" ht="42" customHeight="1" x14ac:dyDescent="0.3">
      <c r="A1" s="1" t="s">
        <v>90</v>
      </c>
      <c r="B1" s="1" t="s">
        <v>1170</v>
      </c>
      <c r="C1" s="1" t="s">
        <v>1171</v>
      </c>
      <c r="D1" s="1" t="s">
        <v>1172</v>
      </c>
      <c r="E1" s="1" t="s">
        <v>1173</v>
      </c>
    </row>
    <row r="2" spans="1:5" x14ac:dyDescent="0.3">
      <c r="A2" s="4">
        <v>1997</v>
      </c>
      <c r="B2" s="4">
        <v>4.49</v>
      </c>
      <c r="C2" s="4">
        <v>5.31</v>
      </c>
      <c r="D2" s="4" t="s">
        <v>1174</v>
      </c>
      <c r="E2" s="4" t="s">
        <v>1175</v>
      </c>
    </row>
    <row r="3" spans="1:5" x14ac:dyDescent="0.3">
      <c r="A3" s="4">
        <v>1998</v>
      </c>
      <c r="B3" s="4">
        <v>5.18</v>
      </c>
      <c r="C3" s="4">
        <v>8.4</v>
      </c>
      <c r="D3" s="4" t="s">
        <v>1174</v>
      </c>
      <c r="E3" s="4" t="s">
        <v>1175</v>
      </c>
    </row>
    <row r="4" spans="1:5" x14ac:dyDescent="0.3">
      <c r="A4" s="4">
        <v>1999</v>
      </c>
      <c r="B4" s="4">
        <v>4.67</v>
      </c>
      <c r="C4" s="4">
        <v>6.11</v>
      </c>
      <c r="D4" s="4" t="s">
        <v>1174</v>
      </c>
      <c r="E4" s="4" t="s">
        <v>1175</v>
      </c>
    </row>
    <row r="5" spans="1:5" x14ac:dyDescent="0.3">
      <c r="A5" s="4">
        <v>2000</v>
      </c>
      <c r="B5" s="4">
        <v>5.29</v>
      </c>
      <c r="C5" s="4">
        <v>2.21</v>
      </c>
      <c r="D5" s="4" t="s">
        <v>1174</v>
      </c>
      <c r="E5" s="4" t="s">
        <v>1175</v>
      </c>
    </row>
    <row r="6" spans="1:5" x14ac:dyDescent="0.3">
      <c r="A6" s="4">
        <v>2001</v>
      </c>
      <c r="B6" s="4">
        <v>5.08</v>
      </c>
      <c r="C6" s="4">
        <v>2.0099999999999998</v>
      </c>
      <c r="D6" s="4" t="s">
        <v>1174</v>
      </c>
      <c r="E6" s="4" t="s">
        <v>1175</v>
      </c>
    </row>
    <row r="7" spans="1:5" x14ac:dyDescent="0.3">
      <c r="A7" s="4">
        <v>2002</v>
      </c>
      <c r="B7" s="4">
        <v>3.83</v>
      </c>
      <c r="C7" s="4">
        <v>3.33</v>
      </c>
      <c r="D7" s="4" t="s">
        <v>1174</v>
      </c>
      <c r="E7" s="4" t="s">
        <v>1175</v>
      </c>
    </row>
    <row r="8" spans="1:5" x14ac:dyDescent="0.3">
      <c r="A8" s="4">
        <v>2003</v>
      </c>
      <c r="B8" s="4">
        <v>4.74</v>
      </c>
      <c r="C8" s="4">
        <v>5.67</v>
      </c>
      <c r="D8" s="4" t="s">
        <v>1174</v>
      </c>
      <c r="E8" s="4" t="s">
        <v>1175</v>
      </c>
    </row>
    <row r="9" spans="1:5" x14ac:dyDescent="0.3">
      <c r="A9" s="4">
        <v>2004</v>
      </c>
      <c r="B9" s="4">
        <v>5.24</v>
      </c>
      <c r="C9" s="4">
        <v>7.59</v>
      </c>
      <c r="D9" s="4" t="s">
        <v>1174</v>
      </c>
      <c r="E9" s="4" t="s">
        <v>1175</v>
      </c>
    </row>
    <row r="10" spans="1:5" x14ac:dyDescent="0.3">
      <c r="A10" s="4">
        <v>2005</v>
      </c>
      <c r="B10" s="4">
        <v>6.54</v>
      </c>
      <c r="C10" s="4">
        <v>7.05</v>
      </c>
      <c r="D10" s="4" t="s">
        <v>1174</v>
      </c>
      <c r="E10" s="4" t="s">
        <v>1175</v>
      </c>
    </row>
    <row r="11" spans="1:5" x14ac:dyDescent="0.3">
      <c r="A11" s="4">
        <v>2006</v>
      </c>
      <c r="B11" s="4">
        <v>6.67</v>
      </c>
      <c r="C11" s="4">
        <v>6.77</v>
      </c>
      <c r="D11" s="4" t="s">
        <v>1174</v>
      </c>
      <c r="E11" s="4" t="s">
        <v>1175</v>
      </c>
    </row>
    <row r="12" spans="1:5" x14ac:dyDescent="0.3">
      <c r="A12" s="4">
        <v>2007</v>
      </c>
      <c r="B12" s="4">
        <v>7.06</v>
      </c>
      <c r="C12" s="4">
        <v>9.11</v>
      </c>
      <c r="D12" s="4" t="s">
        <v>1174</v>
      </c>
      <c r="E12" s="4" t="s">
        <v>1175</v>
      </c>
    </row>
    <row r="13" spans="1:5" x14ac:dyDescent="0.3">
      <c r="A13" s="4">
        <v>2008</v>
      </c>
      <c r="B13" s="4">
        <v>6.01</v>
      </c>
      <c r="C13" s="4">
        <v>8.9</v>
      </c>
      <c r="D13" s="4" t="s">
        <v>1174</v>
      </c>
      <c r="E13" s="4" t="s">
        <v>1175</v>
      </c>
    </row>
    <row r="14" spans="1:5" x14ac:dyDescent="0.3">
      <c r="A14" s="4">
        <v>2009</v>
      </c>
      <c r="B14" s="4">
        <v>5.05</v>
      </c>
      <c r="C14" s="4">
        <v>5.42</v>
      </c>
      <c r="D14" s="4" t="s">
        <v>1174</v>
      </c>
      <c r="E14" s="4" t="s">
        <v>1175</v>
      </c>
    </row>
    <row r="15" spans="1:5" x14ac:dyDescent="0.3">
      <c r="A15" s="4">
        <v>2010</v>
      </c>
      <c r="B15" s="4">
        <v>5.57</v>
      </c>
      <c r="C15" s="4">
        <v>7.3</v>
      </c>
      <c r="D15" s="4" t="s">
        <v>1174</v>
      </c>
      <c r="E15" s="4" t="s">
        <v>1176</v>
      </c>
    </row>
    <row r="16" spans="1:5" x14ac:dyDescent="0.3">
      <c r="A16" s="4">
        <v>2011</v>
      </c>
      <c r="B16" s="4">
        <v>6.46</v>
      </c>
      <c r="C16" s="4">
        <v>11.4</v>
      </c>
      <c r="D16" s="4" t="s">
        <v>1174</v>
      </c>
      <c r="E16" s="4" t="s">
        <v>1175</v>
      </c>
    </row>
    <row r="17" spans="1:5" x14ac:dyDescent="0.3">
      <c r="A17" s="4">
        <v>2012</v>
      </c>
      <c r="B17" s="4">
        <v>6.52</v>
      </c>
      <c r="C17" s="4">
        <v>6.22</v>
      </c>
      <c r="D17" s="4" t="s">
        <v>1174</v>
      </c>
      <c r="E17" s="4" t="s">
        <v>1175</v>
      </c>
    </row>
    <row r="18" spans="1:5" x14ac:dyDescent="0.3">
      <c r="A18" s="4">
        <v>2013</v>
      </c>
      <c r="B18" s="4">
        <v>6.01</v>
      </c>
      <c r="C18" s="4">
        <v>7.53</v>
      </c>
      <c r="D18" s="4" t="s">
        <v>1174</v>
      </c>
      <c r="E18" s="4" t="s">
        <v>1175</v>
      </c>
    </row>
    <row r="19" spans="1:5" x14ac:dyDescent="0.3">
      <c r="A19" s="4">
        <v>2014</v>
      </c>
      <c r="B19" s="4">
        <v>6.06</v>
      </c>
      <c r="C19" s="4">
        <v>6.99</v>
      </c>
      <c r="D19" s="4" t="s">
        <v>1174</v>
      </c>
      <c r="E19" s="4" t="s">
        <v>1175</v>
      </c>
    </row>
    <row r="20" spans="1:5" x14ac:dyDescent="0.3">
      <c r="A20" s="4">
        <v>2015</v>
      </c>
      <c r="B20" s="4">
        <v>6.55</v>
      </c>
      <c r="C20" s="4">
        <v>6.4</v>
      </c>
      <c r="D20" s="4" t="s">
        <v>1174</v>
      </c>
      <c r="E20" s="4" t="s">
        <v>1176</v>
      </c>
    </row>
    <row r="21" spans="1:5" x14ac:dyDescent="0.3">
      <c r="A21" s="4">
        <v>2016</v>
      </c>
      <c r="B21" s="4">
        <v>7.11</v>
      </c>
      <c r="C21" s="4">
        <v>5.51</v>
      </c>
      <c r="D21" s="4" t="s">
        <v>1174</v>
      </c>
      <c r="E21" s="4" t="s">
        <v>1175</v>
      </c>
    </row>
    <row r="22" spans="1:5" x14ac:dyDescent="0.3">
      <c r="A22" s="4">
        <v>2017</v>
      </c>
      <c r="B22" s="4">
        <v>6.59</v>
      </c>
      <c r="C22" s="4">
        <v>5.7</v>
      </c>
      <c r="D22" s="4" t="s">
        <v>1174</v>
      </c>
      <c r="E22" s="4" t="s">
        <v>1175</v>
      </c>
    </row>
    <row r="23" spans="1:5" x14ac:dyDescent="0.3">
      <c r="A23" s="4">
        <v>2018</v>
      </c>
      <c r="B23" s="4">
        <v>7.32</v>
      </c>
      <c r="C23" s="4">
        <v>5.54</v>
      </c>
      <c r="D23" s="4" t="s">
        <v>1174</v>
      </c>
      <c r="E23" s="4" t="s">
        <v>1175</v>
      </c>
    </row>
    <row r="24" spans="1:5" x14ac:dyDescent="0.3">
      <c r="A24" s="4">
        <v>2019</v>
      </c>
      <c r="B24" s="4">
        <v>7.88</v>
      </c>
      <c r="C24" s="4">
        <v>5.5</v>
      </c>
      <c r="D24" s="4" t="s">
        <v>1174</v>
      </c>
      <c r="E24" s="4" t="s">
        <v>1176</v>
      </c>
    </row>
    <row r="25" spans="1:5" x14ac:dyDescent="0.3">
      <c r="A25" s="4">
        <v>2020</v>
      </c>
      <c r="B25" s="4">
        <v>3.45</v>
      </c>
      <c r="C25" s="4">
        <v>5.69</v>
      </c>
      <c r="D25" s="4" t="s">
        <v>1174</v>
      </c>
      <c r="E25" s="4" t="s">
        <v>1175</v>
      </c>
    </row>
    <row r="26" spans="1:5" x14ac:dyDescent="0.3">
      <c r="A26" s="4">
        <v>2021</v>
      </c>
      <c r="B26" s="4">
        <v>6.94</v>
      </c>
      <c r="C26" s="4">
        <v>5.55</v>
      </c>
      <c r="D26" s="4" t="s">
        <v>1174</v>
      </c>
      <c r="E26" s="4" t="s">
        <v>1175</v>
      </c>
    </row>
    <row r="27" spans="1:5" x14ac:dyDescent="0.3">
      <c r="A27" s="4">
        <v>2022</v>
      </c>
      <c r="B27" s="4">
        <v>7.1</v>
      </c>
      <c r="C27" s="4">
        <v>7.7</v>
      </c>
      <c r="D27" s="4" t="s">
        <v>1174</v>
      </c>
      <c r="E27" s="4" t="s">
        <v>1175</v>
      </c>
    </row>
    <row r="28" spans="1:5" x14ac:dyDescent="0.3">
      <c r="A28" s="4">
        <v>2023</v>
      </c>
      <c r="B28" s="4">
        <v>5.78</v>
      </c>
      <c r="C28" s="4">
        <v>9.02</v>
      </c>
      <c r="D28" s="4" t="s">
        <v>1174</v>
      </c>
      <c r="E28" s="4" t="s">
        <v>1175</v>
      </c>
    </row>
    <row r="29" spans="1:5" x14ac:dyDescent="0.3">
      <c r="A29" s="4">
        <v>2024</v>
      </c>
      <c r="B29" s="4">
        <v>4.22</v>
      </c>
      <c r="C29" s="4">
        <v>9.6999999999999993</v>
      </c>
      <c r="D29" s="4" t="s">
        <v>1177</v>
      </c>
      <c r="E29" s="4" t="s">
        <v>1178</v>
      </c>
    </row>
    <row r="30" spans="1:5" x14ac:dyDescent="0.3">
      <c r="A30" s="4">
        <v>2025</v>
      </c>
      <c r="B30" s="4">
        <v>3.49</v>
      </c>
      <c r="C30" s="4">
        <v>8.77</v>
      </c>
      <c r="D30" s="4" t="s">
        <v>1179</v>
      </c>
      <c r="E30" s="4" t="s">
        <v>1180</v>
      </c>
    </row>
    <row r="31" spans="1:5" x14ac:dyDescent="0.3">
      <c r="A31" s="4">
        <v>2026</v>
      </c>
      <c r="B31" s="4"/>
      <c r="C31" s="4">
        <v>9.16</v>
      </c>
      <c r="D31" s="4" t="s">
        <v>1181</v>
      </c>
      <c r="E31" s="4" t="s">
        <v>1182</v>
      </c>
    </row>
    <row r="33" spans="1:1" x14ac:dyDescent="0.3">
      <c r="A33" s="9" t="s">
        <v>1183</v>
      </c>
    </row>
    <row r="34" spans="1:1" x14ac:dyDescent="0.3">
      <c r="A34" s="10" t="s">
        <v>1184</v>
      </c>
    </row>
    <row r="35" spans="1:1" x14ac:dyDescent="0.3">
      <c r="A35" s="10" t="s">
        <v>1185</v>
      </c>
    </row>
    <row r="36" spans="1:1" x14ac:dyDescent="0.3">
      <c r="A36" s="10" t="s">
        <v>1186</v>
      </c>
    </row>
    <row r="37" spans="1:1" x14ac:dyDescent="0.3">
      <c r="A37" s="10" t="s">
        <v>1187</v>
      </c>
    </row>
  </sheetData>
  <autoFilter ref="A1:E31" xr:uid="{00000000-0009-0000-0000-000006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22" customWidth="1"/>
    <col min="2" max="2" width="30" customWidth="1"/>
    <col min="3" max="3" width="26" customWidth="1"/>
    <col min="4" max="4" width="110" customWidth="1"/>
    <col min="5" max="5" width="11" customWidth="1"/>
  </cols>
  <sheetData>
    <row r="1" spans="1:5" ht="42" customHeight="1" x14ac:dyDescent="0.3">
      <c r="A1" s="1" t="s">
        <v>1188</v>
      </c>
      <c r="B1" s="1" t="s">
        <v>1189</v>
      </c>
      <c r="C1" s="1" t="s">
        <v>1190</v>
      </c>
      <c r="D1" s="1" t="s">
        <v>1191</v>
      </c>
      <c r="E1" s="1" t="s">
        <v>1192</v>
      </c>
    </row>
    <row r="2" spans="1:5" x14ac:dyDescent="0.3">
      <c r="A2" s="4" t="s">
        <v>1193</v>
      </c>
      <c r="B2" s="4" t="s">
        <v>0</v>
      </c>
      <c r="C2" s="4" t="s">
        <v>1194</v>
      </c>
      <c r="D2" s="4" t="s">
        <v>1195</v>
      </c>
      <c r="E2" s="11">
        <v>1</v>
      </c>
    </row>
    <row r="3" spans="1:5" x14ac:dyDescent="0.3">
      <c r="A3" s="4" t="s">
        <v>1193</v>
      </c>
      <c r="B3" s="4" t="s">
        <v>1</v>
      </c>
      <c r="C3" s="4" t="s">
        <v>1196</v>
      </c>
      <c r="D3" s="4" t="s">
        <v>1197</v>
      </c>
      <c r="E3" s="11">
        <v>1</v>
      </c>
    </row>
    <row r="4" spans="1:5" x14ac:dyDescent="0.3">
      <c r="A4" s="4" t="s">
        <v>1193</v>
      </c>
      <c r="B4" s="4" t="s">
        <v>2</v>
      </c>
      <c r="C4" s="4" t="s">
        <v>1196</v>
      </c>
      <c r="D4" s="4" t="s">
        <v>1198</v>
      </c>
      <c r="E4" s="11">
        <v>1</v>
      </c>
    </row>
    <row r="5" spans="1:5" x14ac:dyDescent="0.3">
      <c r="A5" s="4" t="s">
        <v>1193</v>
      </c>
      <c r="B5" s="4" t="s">
        <v>3</v>
      </c>
      <c r="C5" s="4" t="s">
        <v>1196</v>
      </c>
      <c r="D5" s="4" t="s">
        <v>1199</v>
      </c>
      <c r="E5" s="11">
        <v>1</v>
      </c>
    </row>
    <row r="6" spans="1:5" x14ac:dyDescent="0.3">
      <c r="A6" s="4" t="s">
        <v>1193</v>
      </c>
      <c r="B6" s="4" t="s">
        <v>4</v>
      </c>
      <c r="C6" s="4" t="s">
        <v>1200</v>
      </c>
      <c r="D6" s="4" t="s">
        <v>1201</v>
      </c>
      <c r="E6" s="11">
        <v>1</v>
      </c>
    </row>
    <row r="7" spans="1:5" x14ac:dyDescent="0.3">
      <c r="A7" s="4" t="s">
        <v>1193</v>
      </c>
      <c r="B7" s="4" t="s">
        <v>5</v>
      </c>
      <c r="C7" s="4" t="s">
        <v>1200</v>
      </c>
      <c r="D7" s="4" t="s">
        <v>1202</v>
      </c>
      <c r="E7" s="11">
        <v>1</v>
      </c>
    </row>
    <row r="8" spans="1:5" x14ac:dyDescent="0.3">
      <c r="A8" s="4" t="s">
        <v>1193</v>
      </c>
      <c r="B8" s="4" t="s">
        <v>6</v>
      </c>
      <c r="C8" s="4" t="s">
        <v>1200</v>
      </c>
      <c r="D8" s="4" t="s">
        <v>1203</v>
      </c>
      <c r="E8" s="11">
        <v>0.05</v>
      </c>
    </row>
    <row r="9" spans="1:5" x14ac:dyDescent="0.3">
      <c r="A9" s="4" t="s">
        <v>1193</v>
      </c>
      <c r="B9" s="4" t="s">
        <v>7</v>
      </c>
      <c r="C9" s="4" t="s">
        <v>1200</v>
      </c>
      <c r="D9" s="4" t="s">
        <v>1204</v>
      </c>
      <c r="E9" s="11">
        <v>0.01</v>
      </c>
    </row>
    <row r="10" spans="1:5" x14ac:dyDescent="0.3">
      <c r="A10" s="4" t="s">
        <v>1193</v>
      </c>
      <c r="B10" s="4" t="s">
        <v>8</v>
      </c>
      <c r="C10" s="4" t="s">
        <v>1196</v>
      </c>
      <c r="D10" s="4" t="s">
        <v>1205</v>
      </c>
      <c r="E10" s="11">
        <v>0.98</v>
      </c>
    </row>
    <row r="11" spans="1:5" x14ac:dyDescent="0.3">
      <c r="A11" s="4" t="s">
        <v>1193</v>
      </c>
      <c r="B11" s="4" t="s">
        <v>9</v>
      </c>
      <c r="C11" s="4" t="s">
        <v>1196</v>
      </c>
      <c r="D11" s="4" t="s">
        <v>1206</v>
      </c>
      <c r="E11" s="11">
        <v>0.1</v>
      </c>
    </row>
    <row r="12" spans="1:5" x14ac:dyDescent="0.3">
      <c r="A12" s="4" t="s">
        <v>1193</v>
      </c>
      <c r="B12" s="4" t="s">
        <v>10</v>
      </c>
      <c r="C12" s="4" t="s">
        <v>1200</v>
      </c>
      <c r="D12" s="4" t="s">
        <v>1207</v>
      </c>
      <c r="E12" s="11">
        <v>1</v>
      </c>
    </row>
    <row r="13" spans="1:5" x14ac:dyDescent="0.3">
      <c r="A13" s="4" t="s">
        <v>1193</v>
      </c>
      <c r="B13" s="4" t="s">
        <v>11</v>
      </c>
      <c r="C13" s="4" t="s">
        <v>1196</v>
      </c>
      <c r="D13" s="4" t="s">
        <v>1208</v>
      </c>
      <c r="E13" s="11">
        <v>1</v>
      </c>
    </row>
    <row r="14" spans="1:5" x14ac:dyDescent="0.3">
      <c r="A14" s="4" t="s">
        <v>1193</v>
      </c>
      <c r="B14" s="4" t="s">
        <v>12</v>
      </c>
      <c r="C14" s="4" t="s">
        <v>1209</v>
      </c>
      <c r="D14" s="4" t="s">
        <v>1210</v>
      </c>
      <c r="E14" s="11">
        <v>0.98</v>
      </c>
    </row>
    <row r="15" spans="1:5" x14ac:dyDescent="0.3">
      <c r="A15" s="4" t="s">
        <v>1193</v>
      </c>
      <c r="B15" s="4" t="s">
        <v>13</v>
      </c>
      <c r="C15" s="4" t="s">
        <v>1209</v>
      </c>
      <c r="D15" s="4" t="s">
        <v>1211</v>
      </c>
      <c r="E15" s="11">
        <v>0.98</v>
      </c>
    </row>
    <row r="16" spans="1:5" x14ac:dyDescent="0.3">
      <c r="A16" s="4" t="s">
        <v>1193</v>
      </c>
      <c r="B16" s="4" t="s">
        <v>14</v>
      </c>
      <c r="C16" s="4" t="s">
        <v>1196</v>
      </c>
      <c r="D16" s="4" t="s">
        <v>1212</v>
      </c>
      <c r="E16" s="11">
        <v>1</v>
      </c>
    </row>
    <row r="17" spans="1:5" x14ac:dyDescent="0.3">
      <c r="A17" s="4" t="s">
        <v>1193</v>
      </c>
      <c r="B17" s="4" t="s">
        <v>15</v>
      </c>
      <c r="C17" s="4" t="s">
        <v>1200</v>
      </c>
      <c r="D17" s="4" t="s">
        <v>1213</v>
      </c>
      <c r="E17" s="11">
        <v>1</v>
      </c>
    </row>
    <row r="18" spans="1:5" x14ac:dyDescent="0.3">
      <c r="A18" s="4" t="s">
        <v>1193</v>
      </c>
      <c r="B18" s="4" t="s">
        <v>16</v>
      </c>
      <c r="C18" s="4" t="s">
        <v>1196</v>
      </c>
      <c r="D18" s="4" t="s">
        <v>1214</v>
      </c>
      <c r="E18" s="11">
        <v>1</v>
      </c>
    </row>
    <row r="19" spans="1:5" x14ac:dyDescent="0.3">
      <c r="A19" s="4" t="s">
        <v>1193</v>
      </c>
      <c r="B19" s="4" t="s">
        <v>17</v>
      </c>
      <c r="C19" s="4" t="s">
        <v>1200</v>
      </c>
      <c r="D19" s="4" t="s">
        <v>1215</v>
      </c>
      <c r="E19" s="11">
        <v>1</v>
      </c>
    </row>
    <row r="20" spans="1:5" x14ac:dyDescent="0.3">
      <c r="A20" s="4" t="s">
        <v>1193</v>
      </c>
      <c r="B20" s="4" t="s">
        <v>18</v>
      </c>
      <c r="C20" s="4" t="s">
        <v>1200</v>
      </c>
      <c r="D20" s="4" t="s">
        <v>1216</v>
      </c>
      <c r="E20" s="11">
        <v>1</v>
      </c>
    </row>
    <row r="21" spans="1:5" x14ac:dyDescent="0.3">
      <c r="A21" s="4" t="s">
        <v>1193</v>
      </c>
      <c r="B21" s="4" t="s">
        <v>19</v>
      </c>
      <c r="C21" s="4" t="s">
        <v>1200</v>
      </c>
      <c r="D21" s="4" t="s">
        <v>1217</v>
      </c>
      <c r="E21" s="11">
        <v>1</v>
      </c>
    </row>
    <row r="22" spans="1:5" x14ac:dyDescent="0.3">
      <c r="A22" s="4" t="s">
        <v>1193</v>
      </c>
      <c r="B22" s="4" t="s">
        <v>20</v>
      </c>
      <c r="C22" s="4" t="s">
        <v>1200</v>
      </c>
      <c r="D22" s="4" t="s">
        <v>1218</v>
      </c>
      <c r="E22" s="11">
        <v>1</v>
      </c>
    </row>
    <row r="23" spans="1:5" x14ac:dyDescent="0.3">
      <c r="A23" s="4" t="s">
        <v>1193</v>
      </c>
      <c r="B23" s="4" t="s">
        <v>21</v>
      </c>
      <c r="C23" s="4" t="s">
        <v>1200</v>
      </c>
      <c r="D23" s="4" t="s">
        <v>1219</v>
      </c>
      <c r="E23" s="11">
        <v>1</v>
      </c>
    </row>
    <row r="24" spans="1:5" x14ac:dyDescent="0.3">
      <c r="A24" s="4" t="s">
        <v>1193</v>
      </c>
      <c r="B24" s="4" t="s">
        <v>22</v>
      </c>
      <c r="C24" s="4" t="s">
        <v>1200</v>
      </c>
      <c r="D24" s="4" t="s">
        <v>1220</v>
      </c>
      <c r="E24" s="11">
        <v>1</v>
      </c>
    </row>
    <row r="25" spans="1:5" x14ac:dyDescent="0.3">
      <c r="A25" s="4" t="s">
        <v>1193</v>
      </c>
      <c r="B25" s="4" t="s">
        <v>23</v>
      </c>
      <c r="C25" s="4" t="s">
        <v>1196</v>
      </c>
      <c r="D25" s="4" t="s">
        <v>1221</v>
      </c>
      <c r="E25" s="11">
        <v>1</v>
      </c>
    </row>
    <row r="26" spans="1:5" x14ac:dyDescent="0.3">
      <c r="A26" s="4" t="s">
        <v>1193</v>
      </c>
      <c r="B26" s="4" t="s">
        <v>24</v>
      </c>
      <c r="C26" s="4" t="s">
        <v>1200</v>
      </c>
      <c r="D26" s="4" t="s">
        <v>1222</v>
      </c>
      <c r="E26" s="11">
        <v>0.97</v>
      </c>
    </row>
    <row r="27" spans="1:5" x14ac:dyDescent="0.3">
      <c r="A27" s="4" t="s">
        <v>1193</v>
      </c>
      <c r="B27" s="4" t="s">
        <v>25</v>
      </c>
      <c r="C27" s="4" t="s">
        <v>1200</v>
      </c>
      <c r="D27" s="4" t="s">
        <v>1223</v>
      </c>
      <c r="E27" s="11">
        <v>0.97</v>
      </c>
    </row>
    <row r="28" spans="1:5" x14ac:dyDescent="0.3">
      <c r="A28" s="4" t="s">
        <v>1193</v>
      </c>
      <c r="B28" s="4" t="s">
        <v>26</v>
      </c>
      <c r="C28" s="4" t="s">
        <v>1200</v>
      </c>
      <c r="D28" s="4" t="s">
        <v>1224</v>
      </c>
      <c r="E28" s="11">
        <v>0.68</v>
      </c>
    </row>
    <row r="29" spans="1:5" x14ac:dyDescent="0.3">
      <c r="A29" s="4" t="s">
        <v>1193</v>
      </c>
      <c r="B29" s="4" t="s">
        <v>27</v>
      </c>
      <c r="C29" s="4" t="s">
        <v>1196</v>
      </c>
      <c r="D29" s="4" t="s">
        <v>1225</v>
      </c>
      <c r="E29" s="11">
        <v>0.59</v>
      </c>
    </row>
    <row r="30" spans="1:5" x14ac:dyDescent="0.3">
      <c r="A30" s="4" t="s">
        <v>1193</v>
      </c>
      <c r="B30" s="4" t="s">
        <v>28</v>
      </c>
      <c r="C30" s="4" t="s">
        <v>1200</v>
      </c>
      <c r="D30" s="4" t="s">
        <v>1226</v>
      </c>
      <c r="E30" s="11">
        <v>0.17</v>
      </c>
    </row>
    <row r="31" spans="1:5" x14ac:dyDescent="0.3">
      <c r="A31" s="4" t="s">
        <v>1193</v>
      </c>
      <c r="B31" s="4" t="s">
        <v>29</v>
      </c>
      <c r="C31" s="4" t="s">
        <v>1200</v>
      </c>
      <c r="D31" s="4" t="s">
        <v>1227</v>
      </c>
      <c r="E31" s="11">
        <v>0.13</v>
      </c>
    </row>
    <row r="32" spans="1:5" x14ac:dyDescent="0.3">
      <c r="A32" s="4" t="s">
        <v>1193</v>
      </c>
      <c r="B32" s="4" t="s">
        <v>30</v>
      </c>
      <c r="C32" s="4" t="s">
        <v>1200</v>
      </c>
      <c r="D32" s="4" t="s">
        <v>1228</v>
      </c>
      <c r="E32" s="11">
        <v>0.17</v>
      </c>
    </row>
    <row r="33" spans="1:5" x14ac:dyDescent="0.3">
      <c r="A33" s="4" t="s">
        <v>1193</v>
      </c>
      <c r="B33" s="4" t="s">
        <v>31</v>
      </c>
      <c r="C33" s="4" t="s">
        <v>1209</v>
      </c>
      <c r="D33" s="4" t="s">
        <v>1229</v>
      </c>
      <c r="E33" s="11">
        <v>0.96</v>
      </c>
    </row>
    <row r="34" spans="1:5" x14ac:dyDescent="0.3">
      <c r="A34" s="4" t="s">
        <v>1193</v>
      </c>
      <c r="B34" s="4" t="s">
        <v>32</v>
      </c>
      <c r="C34" s="4" t="s">
        <v>1209</v>
      </c>
      <c r="D34" s="4" t="s">
        <v>1230</v>
      </c>
      <c r="E34" s="11">
        <v>0.96</v>
      </c>
    </row>
    <row r="35" spans="1:5" x14ac:dyDescent="0.3">
      <c r="A35" s="4" t="s">
        <v>1193</v>
      </c>
      <c r="B35" s="4" t="s">
        <v>33</v>
      </c>
      <c r="C35" s="4" t="s">
        <v>1209</v>
      </c>
      <c r="D35" s="4" t="s">
        <v>1230</v>
      </c>
      <c r="E35" s="11">
        <v>0.96</v>
      </c>
    </row>
    <row r="36" spans="1:5" x14ac:dyDescent="0.3">
      <c r="A36" s="4" t="s">
        <v>1193</v>
      </c>
      <c r="B36" s="4" t="s">
        <v>34</v>
      </c>
      <c r="C36" s="4" t="s">
        <v>1209</v>
      </c>
      <c r="D36" s="4" t="s">
        <v>1231</v>
      </c>
      <c r="E36" s="11">
        <v>0.94</v>
      </c>
    </row>
    <row r="37" spans="1:5" x14ac:dyDescent="0.3">
      <c r="A37" s="4" t="s">
        <v>1193</v>
      </c>
      <c r="B37" s="4" t="s">
        <v>35</v>
      </c>
      <c r="C37" s="4" t="s">
        <v>1209</v>
      </c>
      <c r="D37" s="4" t="s">
        <v>1232</v>
      </c>
      <c r="E37" s="11">
        <v>0.94</v>
      </c>
    </row>
    <row r="38" spans="1:5" x14ac:dyDescent="0.3">
      <c r="A38" s="4" t="s">
        <v>1193</v>
      </c>
      <c r="B38" s="4" t="s">
        <v>36</v>
      </c>
      <c r="C38" s="4" t="s">
        <v>1209</v>
      </c>
      <c r="D38" s="4" t="s">
        <v>1233</v>
      </c>
      <c r="E38" s="11">
        <v>0.94</v>
      </c>
    </row>
    <row r="39" spans="1:5" x14ac:dyDescent="0.3">
      <c r="A39" s="4" t="s">
        <v>1193</v>
      </c>
      <c r="B39" s="4" t="s">
        <v>37</v>
      </c>
      <c r="C39" s="4" t="s">
        <v>1200</v>
      </c>
      <c r="D39" s="4" t="s">
        <v>1234</v>
      </c>
      <c r="E39" s="11">
        <v>0.2</v>
      </c>
    </row>
    <row r="40" spans="1:5" x14ac:dyDescent="0.3">
      <c r="A40" s="4" t="s">
        <v>1193</v>
      </c>
      <c r="B40" s="4" t="s">
        <v>38</v>
      </c>
      <c r="C40" s="4" t="s">
        <v>1200</v>
      </c>
      <c r="D40" s="4" t="s">
        <v>1235</v>
      </c>
      <c r="E40" s="11">
        <v>0.71</v>
      </c>
    </row>
    <row r="41" spans="1:5" x14ac:dyDescent="0.3">
      <c r="A41" s="4" t="s">
        <v>1193</v>
      </c>
      <c r="B41" s="4" t="s">
        <v>39</v>
      </c>
      <c r="C41" s="4" t="s">
        <v>1200</v>
      </c>
      <c r="D41" s="4" t="s">
        <v>1236</v>
      </c>
      <c r="E41" s="11">
        <v>0.71</v>
      </c>
    </row>
    <row r="42" spans="1:5" x14ac:dyDescent="0.3">
      <c r="A42" s="4" t="s">
        <v>1193</v>
      </c>
      <c r="B42" s="4" t="s">
        <v>40</v>
      </c>
      <c r="C42" s="4" t="s">
        <v>1200</v>
      </c>
      <c r="D42" s="4" t="s">
        <v>1237</v>
      </c>
      <c r="E42" s="11">
        <v>0.62</v>
      </c>
    </row>
    <row r="43" spans="1:5" x14ac:dyDescent="0.3">
      <c r="A43" s="4" t="s">
        <v>1193</v>
      </c>
      <c r="B43" s="4" t="s">
        <v>41</v>
      </c>
      <c r="C43" s="4" t="s">
        <v>1200</v>
      </c>
      <c r="D43" s="4" t="s">
        <v>1238</v>
      </c>
      <c r="E43" s="11">
        <v>0.62</v>
      </c>
    </row>
    <row r="44" spans="1:5" x14ac:dyDescent="0.3">
      <c r="A44" s="4" t="s">
        <v>1193</v>
      </c>
      <c r="B44" s="4" t="s">
        <v>42</v>
      </c>
      <c r="C44" s="4" t="s">
        <v>1200</v>
      </c>
      <c r="D44" s="4" t="s">
        <v>1239</v>
      </c>
      <c r="E44" s="11">
        <v>0.6</v>
      </c>
    </row>
    <row r="45" spans="1:5" x14ac:dyDescent="0.3">
      <c r="A45" s="4" t="s">
        <v>1193</v>
      </c>
      <c r="B45" s="4" t="s">
        <v>43</v>
      </c>
      <c r="C45" s="4" t="s">
        <v>1200</v>
      </c>
      <c r="D45" s="4" t="s">
        <v>1240</v>
      </c>
      <c r="E45" s="11">
        <v>0.69</v>
      </c>
    </row>
    <row r="46" spans="1:5" x14ac:dyDescent="0.3">
      <c r="A46" s="4" t="s">
        <v>1193</v>
      </c>
      <c r="B46" s="4" t="s">
        <v>44</v>
      </c>
      <c r="C46" s="4" t="s">
        <v>1200</v>
      </c>
      <c r="D46" s="4" t="s">
        <v>1241</v>
      </c>
      <c r="E46" s="11">
        <v>0.69</v>
      </c>
    </row>
    <row r="47" spans="1:5" x14ac:dyDescent="0.3">
      <c r="A47" s="4" t="s">
        <v>1193</v>
      </c>
      <c r="B47" s="4" t="s">
        <v>45</v>
      </c>
      <c r="C47" s="4" t="s">
        <v>1200</v>
      </c>
      <c r="D47" s="4" t="s">
        <v>1242</v>
      </c>
      <c r="E47" s="11">
        <v>0.56999999999999995</v>
      </c>
    </row>
    <row r="48" spans="1:5" x14ac:dyDescent="0.3">
      <c r="A48" s="4" t="s">
        <v>1193</v>
      </c>
      <c r="B48" s="4" t="s">
        <v>46</v>
      </c>
      <c r="C48" s="4" t="s">
        <v>1200</v>
      </c>
      <c r="D48" s="4" t="s">
        <v>1243</v>
      </c>
      <c r="E48" s="11">
        <v>0.56999999999999995</v>
      </c>
    </row>
    <row r="49" spans="1:5" x14ac:dyDescent="0.3">
      <c r="A49" s="4" t="s">
        <v>1193</v>
      </c>
      <c r="B49" s="4" t="s">
        <v>47</v>
      </c>
      <c r="C49" s="4" t="s">
        <v>1200</v>
      </c>
      <c r="D49" s="4" t="s">
        <v>1244</v>
      </c>
      <c r="E49" s="11">
        <v>0.57999999999999996</v>
      </c>
    </row>
    <row r="50" spans="1:5" x14ac:dyDescent="0.3">
      <c r="A50" s="4" t="s">
        <v>1193</v>
      </c>
      <c r="B50" s="4" t="s">
        <v>48</v>
      </c>
      <c r="C50" s="4" t="s">
        <v>1200</v>
      </c>
      <c r="D50" s="4" t="s">
        <v>1245</v>
      </c>
      <c r="E50" s="11">
        <v>0.02</v>
      </c>
    </row>
    <row r="51" spans="1:5" x14ac:dyDescent="0.3">
      <c r="A51" s="4" t="s">
        <v>1193</v>
      </c>
      <c r="B51" s="4" t="s">
        <v>49</v>
      </c>
      <c r="C51" s="4" t="s">
        <v>1200</v>
      </c>
      <c r="D51" s="4" t="s">
        <v>1246</v>
      </c>
      <c r="E51" s="11">
        <v>1</v>
      </c>
    </row>
    <row r="52" spans="1:5" x14ac:dyDescent="0.3">
      <c r="A52" s="4" t="s">
        <v>1193</v>
      </c>
      <c r="B52" s="4" t="s">
        <v>50</v>
      </c>
      <c r="C52" s="4" t="s">
        <v>1200</v>
      </c>
      <c r="D52" s="4" t="s">
        <v>1247</v>
      </c>
      <c r="E52" s="11">
        <v>1</v>
      </c>
    </row>
    <row r="53" spans="1:5" x14ac:dyDescent="0.3">
      <c r="A53" s="4" t="s">
        <v>1193</v>
      </c>
      <c r="B53" s="4" t="s">
        <v>51</v>
      </c>
      <c r="C53" s="4" t="s">
        <v>1196</v>
      </c>
      <c r="D53" s="4" t="s">
        <v>1248</v>
      </c>
      <c r="E53" s="11">
        <v>0.13</v>
      </c>
    </row>
    <row r="54" spans="1:5" x14ac:dyDescent="0.3">
      <c r="A54" s="4" t="s">
        <v>1193</v>
      </c>
      <c r="B54" s="4" t="s">
        <v>52</v>
      </c>
      <c r="C54" s="4" t="s">
        <v>1200</v>
      </c>
      <c r="D54" s="4" t="s">
        <v>1249</v>
      </c>
      <c r="E54" s="11">
        <v>0.96</v>
      </c>
    </row>
    <row r="55" spans="1:5" x14ac:dyDescent="0.3">
      <c r="A55" s="4" t="s">
        <v>1193</v>
      </c>
      <c r="B55" s="4" t="s">
        <v>53</v>
      </c>
      <c r="C55" s="4" t="s">
        <v>1200</v>
      </c>
      <c r="D55" s="4" t="s">
        <v>1250</v>
      </c>
      <c r="E55" s="11">
        <v>1</v>
      </c>
    </row>
    <row r="56" spans="1:5" x14ac:dyDescent="0.3">
      <c r="A56" s="4" t="s">
        <v>1193</v>
      </c>
      <c r="B56" s="4" t="s">
        <v>54</v>
      </c>
      <c r="C56" s="4" t="s">
        <v>1200</v>
      </c>
      <c r="D56" s="4" t="s">
        <v>1251</v>
      </c>
      <c r="E56" s="11">
        <v>0.95</v>
      </c>
    </row>
    <row r="57" spans="1:5" x14ac:dyDescent="0.3">
      <c r="A57" s="4" t="s">
        <v>1193</v>
      </c>
      <c r="B57" s="4" t="s">
        <v>55</v>
      </c>
      <c r="C57" s="4" t="s">
        <v>1200</v>
      </c>
      <c r="D57" s="4" t="s">
        <v>1252</v>
      </c>
      <c r="E57" s="11">
        <v>0.04</v>
      </c>
    </row>
    <row r="58" spans="1:5" x14ac:dyDescent="0.3">
      <c r="A58" s="4" t="s">
        <v>1193</v>
      </c>
      <c r="B58" s="4" t="s">
        <v>56</v>
      </c>
      <c r="C58" s="4" t="s">
        <v>1200</v>
      </c>
      <c r="D58" s="4" t="s">
        <v>1253</v>
      </c>
      <c r="E58" s="11">
        <v>0.02</v>
      </c>
    </row>
    <row r="59" spans="1:5" x14ac:dyDescent="0.3">
      <c r="A59" s="4" t="s">
        <v>1193</v>
      </c>
      <c r="B59" s="4" t="s">
        <v>57</v>
      </c>
      <c r="C59" s="4" t="s">
        <v>1209</v>
      </c>
      <c r="D59" s="4" t="s">
        <v>1254</v>
      </c>
      <c r="E59" s="11">
        <v>0.94</v>
      </c>
    </row>
    <row r="60" spans="1:5" x14ac:dyDescent="0.3">
      <c r="A60" s="4" t="s">
        <v>1193</v>
      </c>
      <c r="B60" s="4" t="s">
        <v>58</v>
      </c>
      <c r="C60" s="4" t="s">
        <v>1200</v>
      </c>
      <c r="D60" s="4" t="s">
        <v>1255</v>
      </c>
      <c r="E60" s="11">
        <v>0.81</v>
      </c>
    </row>
    <row r="61" spans="1:5" x14ac:dyDescent="0.3">
      <c r="A61" s="4" t="s">
        <v>1193</v>
      </c>
      <c r="B61" s="4" t="s">
        <v>59</v>
      </c>
      <c r="C61" s="4" t="s">
        <v>1200</v>
      </c>
      <c r="D61" s="4" t="s">
        <v>1256</v>
      </c>
      <c r="E61" s="11">
        <v>0.6</v>
      </c>
    </row>
    <row r="62" spans="1:5" x14ac:dyDescent="0.3">
      <c r="A62" s="4" t="s">
        <v>1193</v>
      </c>
      <c r="B62" s="4" t="s">
        <v>60</v>
      </c>
      <c r="C62" s="4" t="s">
        <v>1200</v>
      </c>
      <c r="D62" s="4" t="s">
        <v>1257</v>
      </c>
      <c r="E62" s="11">
        <v>0.77</v>
      </c>
    </row>
    <row r="63" spans="1:5" x14ac:dyDescent="0.3">
      <c r="A63" s="4" t="s">
        <v>1193</v>
      </c>
      <c r="B63" s="4" t="s">
        <v>61</v>
      </c>
      <c r="C63" s="4" t="s">
        <v>1200</v>
      </c>
      <c r="D63" s="4" t="s">
        <v>1258</v>
      </c>
      <c r="E63" s="11">
        <v>0.42</v>
      </c>
    </row>
    <row r="64" spans="1:5" x14ac:dyDescent="0.3">
      <c r="A64" s="4" t="s">
        <v>1193</v>
      </c>
      <c r="B64" s="4" t="s">
        <v>62</v>
      </c>
      <c r="C64" s="4" t="s">
        <v>1200</v>
      </c>
      <c r="D64" s="4" t="s">
        <v>1259</v>
      </c>
      <c r="E64" s="11">
        <v>0.86</v>
      </c>
    </row>
    <row r="65" spans="1:5" x14ac:dyDescent="0.3">
      <c r="A65" s="4" t="s">
        <v>1193</v>
      </c>
      <c r="B65" s="4" t="s">
        <v>63</v>
      </c>
      <c r="C65" s="4" t="s">
        <v>1209</v>
      </c>
      <c r="D65" s="4" t="s">
        <v>1260</v>
      </c>
      <c r="E65" s="11">
        <v>1</v>
      </c>
    </row>
    <row r="66" spans="1:5" x14ac:dyDescent="0.3">
      <c r="A66" s="4" t="s">
        <v>1193</v>
      </c>
      <c r="B66" s="4" t="s">
        <v>64</v>
      </c>
      <c r="C66" s="4" t="s">
        <v>1209</v>
      </c>
      <c r="D66" s="4" t="s">
        <v>1261</v>
      </c>
      <c r="E66" s="11">
        <v>0.63</v>
      </c>
    </row>
    <row r="67" spans="1:5" x14ac:dyDescent="0.3">
      <c r="A67" s="4" t="s">
        <v>1193</v>
      </c>
      <c r="B67" s="4" t="s">
        <v>65</v>
      </c>
      <c r="C67" s="4" t="s">
        <v>1209</v>
      </c>
      <c r="D67" s="4" t="s">
        <v>1262</v>
      </c>
      <c r="E67" s="11">
        <v>0.63</v>
      </c>
    </row>
    <row r="68" spans="1:5" x14ac:dyDescent="0.3">
      <c r="A68" s="4" t="s">
        <v>1193</v>
      </c>
      <c r="B68" s="4" t="s">
        <v>66</v>
      </c>
      <c r="C68" s="4" t="s">
        <v>1209</v>
      </c>
      <c r="D68" s="4" t="s">
        <v>1262</v>
      </c>
      <c r="E68" s="11">
        <v>0.63</v>
      </c>
    </row>
    <row r="69" spans="1:5" x14ac:dyDescent="0.3">
      <c r="A69" s="4" t="s">
        <v>1193</v>
      </c>
      <c r="B69" s="4" t="s">
        <v>67</v>
      </c>
      <c r="C69" s="4" t="s">
        <v>1209</v>
      </c>
      <c r="D69" s="4" t="s">
        <v>1262</v>
      </c>
      <c r="E69" s="11">
        <v>0.63</v>
      </c>
    </row>
    <row r="70" spans="1:5" x14ac:dyDescent="0.3">
      <c r="A70" s="4" t="s">
        <v>1193</v>
      </c>
      <c r="B70" s="4" t="s">
        <v>68</v>
      </c>
      <c r="C70" s="4" t="s">
        <v>1209</v>
      </c>
      <c r="D70" s="4" t="s">
        <v>1262</v>
      </c>
      <c r="E70" s="11">
        <v>0.63</v>
      </c>
    </row>
    <row r="71" spans="1:5" x14ac:dyDescent="0.3">
      <c r="A71" s="4" t="s">
        <v>1193</v>
      </c>
      <c r="B71" s="4" t="s">
        <v>69</v>
      </c>
      <c r="C71" s="4" t="s">
        <v>1209</v>
      </c>
      <c r="D71" s="4" t="s">
        <v>1263</v>
      </c>
      <c r="E71" s="11">
        <v>0.63</v>
      </c>
    </row>
    <row r="72" spans="1:5" x14ac:dyDescent="0.3">
      <c r="A72" s="4" t="s">
        <v>1193</v>
      </c>
      <c r="B72" s="4" t="s">
        <v>70</v>
      </c>
      <c r="C72" s="4" t="s">
        <v>1200</v>
      </c>
      <c r="D72" s="4" t="s">
        <v>1264</v>
      </c>
      <c r="E72" s="11">
        <v>0.06</v>
      </c>
    </row>
    <row r="73" spans="1:5" x14ac:dyDescent="0.3">
      <c r="A73" s="4" t="s">
        <v>1193</v>
      </c>
      <c r="B73" s="4" t="s">
        <v>71</v>
      </c>
      <c r="C73" s="4" t="s">
        <v>1200</v>
      </c>
      <c r="D73" s="4" t="s">
        <v>1265</v>
      </c>
      <c r="E73" s="11">
        <v>0.25</v>
      </c>
    </row>
    <row r="74" spans="1:5" x14ac:dyDescent="0.3">
      <c r="A74" s="4" t="s">
        <v>1193</v>
      </c>
      <c r="B74" s="4" t="s">
        <v>72</v>
      </c>
      <c r="C74" s="4" t="s">
        <v>1200</v>
      </c>
      <c r="D74" s="4" t="s">
        <v>1266</v>
      </c>
      <c r="E74" s="11">
        <v>0.2</v>
      </c>
    </row>
    <row r="75" spans="1:5" x14ac:dyDescent="0.3">
      <c r="A75" s="4" t="s">
        <v>1193</v>
      </c>
      <c r="B75" s="4" t="s">
        <v>73</v>
      </c>
      <c r="C75" s="4" t="s">
        <v>1200</v>
      </c>
      <c r="D75" s="4" t="s">
        <v>1267</v>
      </c>
      <c r="E75" s="11">
        <v>0.4</v>
      </c>
    </row>
    <row r="76" spans="1:5" x14ac:dyDescent="0.3">
      <c r="A76" s="4" t="s">
        <v>1193</v>
      </c>
      <c r="B76" s="4" t="s">
        <v>74</v>
      </c>
      <c r="C76" s="4" t="s">
        <v>1200</v>
      </c>
      <c r="D76" s="4" t="s">
        <v>1268</v>
      </c>
      <c r="E76" s="11">
        <v>0.4</v>
      </c>
    </row>
    <row r="77" spans="1:5" x14ac:dyDescent="0.3">
      <c r="A77" s="4" t="s">
        <v>1193</v>
      </c>
      <c r="B77" s="4" t="s">
        <v>75</v>
      </c>
      <c r="C77" s="4" t="s">
        <v>1200</v>
      </c>
      <c r="D77" s="4" t="s">
        <v>1269</v>
      </c>
      <c r="E77" s="11">
        <v>0.4</v>
      </c>
    </row>
    <row r="78" spans="1:5" x14ac:dyDescent="0.3">
      <c r="A78" s="4" t="s">
        <v>1193</v>
      </c>
      <c r="B78" s="4" t="s">
        <v>76</v>
      </c>
      <c r="C78" s="4" t="s">
        <v>1200</v>
      </c>
      <c r="D78" s="4" t="s">
        <v>1270</v>
      </c>
      <c r="E78" s="11">
        <v>0.12</v>
      </c>
    </row>
    <row r="79" spans="1:5" x14ac:dyDescent="0.3">
      <c r="A79" s="4" t="s">
        <v>1193</v>
      </c>
      <c r="B79" s="4" t="s">
        <v>77</v>
      </c>
      <c r="C79" s="4" t="s">
        <v>1200</v>
      </c>
      <c r="D79" s="4" t="s">
        <v>1271</v>
      </c>
      <c r="E79" s="11">
        <v>0.18</v>
      </c>
    </row>
    <row r="80" spans="1:5" x14ac:dyDescent="0.3">
      <c r="A80" s="4" t="s">
        <v>1193</v>
      </c>
      <c r="B80" s="4" t="s">
        <v>78</v>
      </c>
      <c r="C80" s="4" t="s">
        <v>1200</v>
      </c>
      <c r="D80" s="4" t="s">
        <v>1272</v>
      </c>
      <c r="E80" s="11">
        <v>1</v>
      </c>
    </row>
    <row r="81" spans="1:5" x14ac:dyDescent="0.3">
      <c r="A81" s="4" t="s">
        <v>1193</v>
      </c>
      <c r="B81" s="4" t="s">
        <v>79</v>
      </c>
      <c r="C81" s="4" t="s">
        <v>1200</v>
      </c>
      <c r="D81" s="4" t="s">
        <v>1273</v>
      </c>
      <c r="E81" s="11">
        <v>0.4</v>
      </c>
    </row>
    <row r="82" spans="1:5" x14ac:dyDescent="0.3">
      <c r="A82" s="4" t="s">
        <v>1193</v>
      </c>
      <c r="B82" s="4" t="s">
        <v>80</v>
      </c>
      <c r="C82" s="4" t="s">
        <v>1209</v>
      </c>
      <c r="D82" s="4" t="s">
        <v>1274</v>
      </c>
      <c r="E82" s="11">
        <v>0.98</v>
      </c>
    </row>
    <row r="83" spans="1:5" x14ac:dyDescent="0.3">
      <c r="A83" s="4" t="s">
        <v>1193</v>
      </c>
      <c r="B83" s="4" t="s">
        <v>81</v>
      </c>
      <c r="C83" s="4" t="s">
        <v>1209</v>
      </c>
      <c r="D83" s="4" t="s">
        <v>1275</v>
      </c>
      <c r="E83" s="11">
        <v>0.98</v>
      </c>
    </row>
    <row r="84" spans="1:5" x14ac:dyDescent="0.3">
      <c r="A84" s="4" t="s">
        <v>1193</v>
      </c>
      <c r="B84" s="4" t="s">
        <v>82</v>
      </c>
      <c r="C84" s="4" t="s">
        <v>1209</v>
      </c>
      <c r="D84" s="4" t="s">
        <v>1276</v>
      </c>
      <c r="E84" s="11">
        <v>0.4</v>
      </c>
    </row>
    <row r="85" spans="1:5" x14ac:dyDescent="0.3">
      <c r="A85" s="4" t="s">
        <v>1193</v>
      </c>
      <c r="B85" s="4" t="s">
        <v>83</v>
      </c>
      <c r="C85" s="4" t="s">
        <v>1209</v>
      </c>
      <c r="D85" s="4" t="s">
        <v>1275</v>
      </c>
      <c r="E85" s="11">
        <v>0.42</v>
      </c>
    </row>
    <row r="86" spans="1:5" x14ac:dyDescent="0.3">
      <c r="A86" s="4" t="s">
        <v>1193</v>
      </c>
      <c r="B86" s="4" t="s">
        <v>84</v>
      </c>
      <c r="C86" s="4" t="s">
        <v>1200</v>
      </c>
      <c r="D86" s="4" t="s">
        <v>1277</v>
      </c>
      <c r="E86" s="11">
        <v>1</v>
      </c>
    </row>
    <row r="87" spans="1:5" x14ac:dyDescent="0.3">
      <c r="A87" s="4" t="s">
        <v>1278</v>
      </c>
      <c r="B87" s="4" t="s">
        <v>1279</v>
      </c>
      <c r="C87" s="4" t="s">
        <v>1280</v>
      </c>
      <c r="D87" s="4" t="s">
        <v>1281</v>
      </c>
      <c r="E87" s="4"/>
    </row>
    <row r="88" spans="1:5" x14ac:dyDescent="0.3">
      <c r="A88" s="4" t="s">
        <v>1282</v>
      </c>
      <c r="B88" s="4" t="s">
        <v>0</v>
      </c>
      <c r="C88" s="4" t="s">
        <v>1283</v>
      </c>
      <c r="D88" s="4"/>
      <c r="E88" s="4"/>
    </row>
    <row r="89" spans="1:5" x14ac:dyDescent="0.3">
      <c r="A89" s="4" t="s">
        <v>1282</v>
      </c>
      <c r="B89" s="4" t="s">
        <v>587</v>
      </c>
      <c r="C89" s="4" t="s">
        <v>1283</v>
      </c>
      <c r="D89" s="4"/>
      <c r="E89" s="4"/>
    </row>
    <row r="90" spans="1:5" x14ac:dyDescent="0.3">
      <c r="A90" s="4" t="s">
        <v>1282</v>
      </c>
      <c r="B90" s="4" t="s">
        <v>588</v>
      </c>
      <c r="C90" s="4" t="s">
        <v>1283</v>
      </c>
      <c r="D90" s="4" t="s">
        <v>1284</v>
      </c>
      <c r="E90" s="4"/>
    </row>
    <row r="91" spans="1:5" x14ac:dyDescent="0.3">
      <c r="A91" s="4" t="s">
        <v>1282</v>
      </c>
      <c r="B91" s="4" t="s">
        <v>589</v>
      </c>
      <c r="C91" s="4" t="s">
        <v>1283</v>
      </c>
      <c r="D91" s="4" t="s">
        <v>1285</v>
      </c>
      <c r="E91" s="4"/>
    </row>
    <row r="92" spans="1:5" x14ac:dyDescent="0.3">
      <c r="A92" s="4" t="s">
        <v>1282</v>
      </c>
      <c r="B92" s="4" t="s">
        <v>590</v>
      </c>
      <c r="C92" s="4" t="s">
        <v>1283</v>
      </c>
      <c r="D92" s="4" t="s">
        <v>1286</v>
      </c>
      <c r="E92" s="4"/>
    </row>
    <row r="93" spans="1:5" x14ac:dyDescent="0.3">
      <c r="A93" s="4" t="s">
        <v>1282</v>
      </c>
      <c r="B93" s="4" t="s">
        <v>591</v>
      </c>
      <c r="C93" s="4" t="s">
        <v>1283</v>
      </c>
      <c r="D93" s="4" t="s">
        <v>1287</v>
      </c>
      <c r="E93" s="4"/>
    </row>
    <row r="94" spans="1:5" x14ac:dyDescent="0.3">
      <c r="A94" s="4" t="s">
        <v>1282</v>
      </c>
      <c r="B94" s="4" t="s">
        <v>592</v>
      </c>
      <c r="C94" s="4" t="s">
        <v>1283</v>
      </c>
      <c r="D94" s="4"/>
      <c r="E94" s="4"/>
    </row>
    <row r="95" spans="1:5" x14ac:dyDescent="0.3">
      <c r="A95" s="4" t="s">
        <v>1282</v>
      </c>
      <c r="B95" s="4" t="s">
        <v>593</v>
      </c>
      <c r="C95" s="4" t="s">
        <v>1283</v>
      </c>
      <c r="D95" s="4" t="s">
        <v>1288</v>
      </c>
      <c r="E95" s="4"/>
    </row>
    <row r="96" spans="1:5" x14ac:dyDescent="0.3">
      <c r="A96" s="4" t="s">
        <v>1282</v>
      </c>
      <c r="B96" s="4" t="s">
        <v>594</v>
      </c>
      <c r="C96" s="4" t="s">
        <v>1283</v>
      </c>
      <c r="D96" s="4"/>
      <c r="E96" s="4"/>
    </row>
    <row r="97" spans="1:5" x14ac:dyDescent="0.3">
      <c r="A97" s="4" t="s">
        <v>1282</v>
      </c>
      <c r="B97" s="4" t="s">
        <v>595</v>
      </c>
      <c r="C97" s="4" t="s">
        <v>1283</v>
      </c>
      <c r="D97" s="4"/>
      <c r="E97" s="4"/>
    </row>
    <row r="98" spans="1:5" x14ac:dyDescent="0.3">
      <c r="A98" s="4" t="s">
        <v>1282</v>
      </c>
      <c r="B98" s="4" t="s">
        <v>596</v>
      </c>
      <c r="C98" s="4" t="s">
        <v>1283</v>
      </c>
      <c r="D98" s="4"/>
      <c r="E98" s="4"/>
    </row>
    <row r="99" spans="1:5" x14ac:dyDescent="0.3">
      <c r="A99" s="4" t="s">
        <v>1282</v>
      </c>
      <c r="B99" s="4" t="s">
        <v>597</v>
      </c>
      <c r="C99" s="4" t="s">
        <v>1283</v>
      </c>
      <c r="D99" s="4"/>
      <c r="E99" s="4"/>
    </row>
    <row r="100" spans="1:5" x14ac:dyDescent="0.3">
      <c r="A100" s="4" t="s">
        <v>1282</v>
      </c>
      <c r="B100" s="4" t="s">
        <v>598</v>
      </c>
      <c r="C100" s="4" t="s">
        <v>1283</v>
      </c>
      <c r="D100" s="4" t="s">
        <v>1289</v>
      </c>
      <c r="E100" s="4"/>
    </row>
    <row r="101" spans="1:5" x14ac:dyDescent="0.3">
      <c r="A101" s="4" t="s">
        <v>1282</v>
      </c>
      <c r="B101" s="4" t="s">
        <v>599</v>
      </c>
      <c r="C101" s="4" t="s">
        <v>1283</v>
      </c>
      <c r="D101" s="4"/>
      <c r="E101" s="4"/>
    </row>
    <row r="102" spans="1:5" x14ac:dyDescent="0.3">
      <c r="A102" s="4" t="s">
        <v>1282</v>
      </c>
      <c r="B102" s="4" t="s">
        <v>45</v>
      </c>
      <c r="C102" s="4" t="s">
        <v>1283</v>
      </c>
      <c r="D102" s="4" t="s">
        <v>1290</v>
      </c>
      <c r="E102" s="4"/>
    </row>
    <row r="103" spans="1:5" x14ac:dyDescent="0.3">
      <c r="A103" s="4" t="s">
        <v>1282</v>
      </c>
      <c r="B103" s="4" t="s">
        <v>600</v>
      </c>
      <c r="C103" s="4" t="s">
        <v>1283</v>
      </c>
      <c r="D103" s="4"/>
      <c r="E103" s="4"/>
    </row>
    <row r="104" spans="1:5" x14ac:dyDescent="0.3">
      <c r="A104" s="4" t="s">
        <v>1282</v>
      </c>
      <c r="B104" s="4" t="s">
        <v>601</v>
      </c>
      <c r="C104" s="4" t="s">
        <v>1283</v>
      </c>
      <c r="D104" s="4"/>
      <c r="E104" s="4"/>
    </row>
    <row r="105" spans="1:5" x14ac:dyDescent="0.3">
      <c r="A105" s="4" t="s">
        <v>1282</v>
      </c>
      <c r="B105" s="4" t="s">
        <v>602</v>
      </c>
      <c r="C105" s="4" t="s">
        <v>1283</v>
      </c>
      <c r="D105" s="4"/>
      <c r="E105" s="4"/>
    </row>
    <row r="106" spans="1:5" x14ac:dyDescent="0.3">
      <c r="A106" s="4" t="s">
        <v>1291</v>
      </c>
      <c r="B106" s="4" t="s">
        <v>0</v>
      </c>
      <c r="C106" s="4" t="s">
        <v>1283</v>
      </c>
      <c r="D106" s="4"/>
      <c r="E106" s="4"/>
    </row>
    <row r="107" spans="1:5" x14ac:dyDescent="0.3">
      <c r="A107" s="4" t="s">
        <v>1291</v>
      </c>
      <c r="B107" s="4" t="s">
        <v>911</v>
      </c>
      <c r="C107" s="4" t="s">
        <v>1283</v>
      </c>
      <c r="D107" s="4"/>
      <c r="E107" s="4"/>
    </row>
    <row r="108" spans="1:5" x14ac:dyDescent="0.3">
      <c r="A108" s="4" t="s">
        <v>1291</v>
      </c>
      <c r="B108" s="4" t="s">
        <v>912</v>
      </c>
      <c r="C108" s="4" t="s">
        <v>1283</v>
      </c>
      <c r="D108" s="4"/>
      <c r="E108" s="4"/>
    </row>
    <row r="109" spans="1:5" x14ac:dyDescent="0.3">
      <c r="A109" s="4" t="s">
        <v>1291</v>
      </c>
      <c r="B109" s="4" t="s">
        <v>913</v>
      </c>
      <c r="C109" s="4" t="s">
        <v>1283</v>
      </c>
      <c r="D109" s="4" t="s">
        <v>1292</v>
      </c>
      <c r="E109" s="4"/>
    </row>
    <row r="110" spans="1:5" x14ac:dyDescent="0.3">
      <c r="A110" s="4" t="s">
        <v>1291</v>
      </c>
      <c r="B110" s="4" t="s">
        <v>914</v>
      </c>
      <c r="C110" s="4" t="s">
        <v>1283</v>
      </c>
      <c r="D110" s="4" t="s">
        <v>1293</v>
      </c>
      <c r="E110" s="4"/>
    </row>
    <row r="111" spans="1:5" x14ac:dyDescent="0.3">
      <c r="A111" s="4" t="s">
        <v>1291</v>
      </c>
      <c r="B111" s="4" t="s">
        <v>915</v>
      </c>
      <c r="C111" s="4" t="s">
        <v>1283</v>
      </c>
      <c r="D111" s="4" t="s">
        <v>1294</v>
      </c>
      <c r="E111" s="4"/>
    </row>
    <row r="112" spans="1:5" x14ac:dyDescent="0.3">
      <c r="A112" s="4" t="s">
        <v>1291</v>
      </c>
      <c r="B112" s="4" t="s">
        <v>916</v>
      </c>
      <c r="C112" s="4" t="s">
        <v>1283</v>
      </c>
      <c r="D112" s="4" t="s">
        <v>1295</v>
      </c>
      <c r="E112" s="4"/>
    </row>
    <row r="113" spans="1:5" x14ac:dyDescent="0.3">
      <c r="A113" s="4" t="s">
        <v>1291</v>
      </c>
      <c r="B113" s="4" t="s">
        <v>917</v>
      </c>
      <c r="C113" s="4" t="s">
        <v>1283</v>
      </c>
      <c r="D113" s="4" t="s">
        <v>1296</v>
      </c>
      <c r="E113" s="4"/>
    </row>
    <row r="114" spans="1:5" x14ac:dyDescent="0.3">
      <c r="A114" s="4" t="s">
        <v>1291</v>
      </c>
      <c r="B114" s="4" t="s">
        <v>918</v>
      </c>
      <c r="C114" s="4" t="s">
        <v>1283</v>
      </c>
      <c r="D114" s="4" t="s">
        <v>1297</v>
      </c>
      <c r="E114" s="4"/>
    </row>
    <row r="115" spans="1:5" x14ac:dyDescent="0.3">
      <c r="A115" s="4" t="s">
        <v>1291</v>
      </c>
      <c r="B115" s="4" t="s">
        <v>919</v>
      </c>
      <c r="C115" s="4" t="s">
        <v>1283</v>
      </c>
      <c r="D115" s="4"/>
      <c r="E115" s="4"/>
    </row>
    <row r="116" spans="1:5" x14ac:dyDescent="0.3">
      <c r="A116" s="4" t="s">
        <v>1291</v>
      </c>
      <c r="B116" s="4" t="s">
        <v>920</v>
      </c>
      <c r="C116" s="4" t="s">
        <v>1283</v>
      </c>
      <c r="D116" s="4"/>
      <c r="E116" s="4"/>
    </row>
    <row r="117" spans="1:5" x14ac:dyDescent="0.3">
      <c r="A117" s="4" t="s">
        <v>1291</v>
      </c>
      <c r="B117" s="4" t="s">
        <v>921</v>
      </c>
      <c r="C117" s="4" t="s">
        <v>1283</v>
      </c>
      <c r="D117" s="4"/>
      <c r="E117" s="4"/>
    </row>
    <row r="118" spans="1:5" x14ac:dyDescent="0.3">
      <c r="A118" s="4" t="s">
        <v>1291</v>
      </c>
      <c r="B118" s="4" t="s">
        <v>922</v>
      </c>
      <c r="C118" s="4" t="s">
        <v>1283</v>
      </c>
      <c r="D118" s="4"/>
      <c r="E118" s="4"/>
    </row>
    <row r="119" spans="1:5" x14ac:dyDescent="0.3">
      <c r="A119" s="4" t="s">
        <v>1291</v>
      </c>
      <c r="B119" s="4" t="s">
        <v>923</v>
      </c>
      <c r="C119" s="4" t="s">
        <v>1283</v>
      </c>
      <c r="D119" s="4"/>
      <c r="E119" s="4"/>
    </row>
    <row r="120" spans="1:5" x14ac:dyDescent="0.3">
      <c r="A120" s="4" t="s">
        <v>1291</v>
      </c>
      <c r="B120" s="4" t="s">
        <v>924</v>
      </c>
      <c r="C120" s="4" t="s">
        <v>1283</v>
      </c>
      <c r="D120" s="4"/>
      <c r="E120" s="4"/>
    </row>
    <row r="121" spans="1:5" x14ac:dyDescent="0.3">
      <c r="A121" s="4" t="s">
        <v>1291</v>
      </c>
      <c r="B121" s="4" t="s">
        <v>925</v>
      </c>
      <c r="C121" s="4" t="s">
        <v>1283</v>
      </c>
      <c r="D121" s="4" t="s">
        <v>1298</v>
      </c>
      <c r="E121" s="4"/>
    </row>
    <row r="122" spans="1:5" x14ac:dyDescent="0.3">
      <c r="A122" s="4" t="s">
        <v>1291</v>
      </c>
      <c r="B122" s="4" t="s">
        <v>926</v>
      </c>
      <c r="C122" s="4" t="s">
        <v>1283</v>
      </c>
      <c r="D122" s="4" t="s">
        <v>1299</v>
      </c>
      <c r="E122" s="4"/>
    </row>
    <row r="123" spans="1:5" x14ac:dyDescent="0.3">
      <c r="A123" s="4" t="s">
        <v>1291</v>
      </c>
      <c r="B123" s="4" t="s">
        <v>927</v>
      </c>
      <c r="C123" s="4" t="s">
        <v>1283</v>
      </c>
      <c r="D123" s="4"/>
      <c r="E123" s="4"/>
    </row>
    <row r="124" spans="1:5" x14ac:dyDescent="0.3">
      <c r="A124" s="4" t="s">
        <v>1291</v>
      </c>
      <c r="B124" s="4" t="s">
        <v>928</v>
      </c>
      <c r="C124" s="4" t="s">
        <v>1283</v>
      </c>
      <c r="D124" s="4"/>
      <c r="E124" s="4"/>
    </row>
    <row r="125" spans="1:5" x14ac:dyDescent="0.3">
      <c r="A125" s="4" t="s">
        <v>1291</v>
      </c>
      <c r="B125" s="4" t="s">
        <v>929</v>
      </c>
      <c r="C125" s="4" t="s">
        <v>1283</v>
      </c>
      <c r="D125" s="4"/>
      <c r="E125" s="4"/>
    </row>
    <row r="126" spans="1:5" x14ac:dyDescent="0.3">
      <c r="A126" s="4" t="s">
        <v>1291</v>
      </c>
      <c r="B126" s="4" t="s">
        <v>70</v>
      </c>
      <c r="C126" s="4" t="s">
        <v>1283</v>
      </c>
      <c r="D126" s="4" t="s">
        <v>1300</v>
      </c>
      <c r="E126" s="4"/>
    </row>
    <row r="127" spans="1:5" x14ac:dyDescent="0.3">
      <c r="A127" s="4" t="s">
        <v>1291</v>
      </c>
      <c r="B127" s="4" t="s">
        <v>930</v>
      </c>
      <c r="C127" s="4" t="s">
        <v>1283</v>
      </c>
      <c r="D127" s="4"/>
      <c r="E127" s="4"/>
    </row>
    <row r="128" spans="1:5" x14ac:dyDescent="0.3">
      <c r="A128" s="4" t="s">
        <v>1291</v>
      </c>
      <c r="B128" s="4" t="s">
        <v>931</v>
      </c>
      <c r="C128" s="4" t="s">
        <v>1283</v>
      </c>
      <c r="D128" s="4" t="s">
        <v>1301</v>
      </c>
      <c r="E128" s="4"/>
    </row>
    <row r="129" spans="1:5" x14ac:dyDescent="0.3">
      <c r="A129" s="4" t="s">
        <v>1291</v>
      </c>
      <c r="B129" s="4" t="s">
        <v>932</v>
      </c>
      <c r="C129" s="4" t="s">
        <v>1283</v>
      </c>
      <c r="D129" s="4"/>
      <c r="E129" s="4"/>
    </row>
    <row r="130" spans="1:5" x14ac:dyDescent="0.3">
      <c r="A130" s="4" t="s">
        <v>1291</v>
      </c>
      <c r="B130" s="4" t="s">
        <v>933</v>
      </c>
      <c r="C130" s="4" t="s">
        <v>1283</v>
      </c>
      <c r="D130" s="4"/>
      <c r="E130" s="4"/>
    </row>
    <row r="131" spans="1:5" x14ac:dyDescent="0.3">
      <c r="A131" s="4" t="s">
        <v>1291</v>
      </c>
      <c r="B131" s="4" t="s">
        <v>934</v>
      </c>
      <c r="C131" s="4" t="s">
        <v>1283</v>
      </c>
      <c r="D131" s="4"/>
      <c r="E131" s="4"/>
    </row>
  </sheetData>
  <autoFilter ref="A1:E131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"/>
  <sheetViews>
    <sheetView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4" width="22" customWidth="1"/>
  </cols>
  <sheetData>
    <row r="1" spans="1:14" x14ac:dyDescent="0.3">
      <c r="A1" s="9" t="s">
        <v>1302</v>
      </c>
    </row>
    <row r="2" spans="1:14" ht="42" customHeight="1" x14ac:dyDescent="0.3">
      <c r="A2" s="1" t="s">
        <v>0</v>
      </c>
      <c r="B2" s="1" t="s">
        <v>1</v>
      </c>
      <c r="C2" s="1" t="s">
        <v>8</v>
      </c>
      <c r="D2" s="1" t="s">
        <v>15</v>
      </c>
      <c r="E2" s="1" t="s">
        <v>911</v>
      </c>
      <c r="F2" s="1" t="s">
        <v>913</v>
      </c>
      <c r="G2" s="1" t="s">
        <v>919</v>
      </c>
      <c r="H2" s="1" t="s">
        <v>1303</v>
      </c>
      <c r="I2" s="1" t="s">
        <v>921</v>
      </c>
      <c r="J2" s="1" t="s">
        <v>922</v>
      </c>
      <c r="K2" s="1" t="s">
        <v>70</v>
      </c>
      <c r="L2" s="1" t="s">
        <v>1304</v>
      </c>
      <c r="M2" s="1" t="s">
        <v>1305</v>
      </c>
      <c r="N2" s="1" t="s">
        <v>1306</v>
      </c>
    </row>
    <row r="3" spans="1:14" x14ac:dyDescent="0.3">
      <c r="A3" s="12" t="s">
        <v>1307</v>
      </c>
      <c r="B3" s="12" t="s">
        <v>1308</v>
      </c>
      <c r="C3" s="12">
        <v>2022</v>
      </c>
      <c r="D3" s="12" t="s">
        <v>92</v>
      </c>
      <c r="E3" s="12" t="s">
        <v>1309</v>
      </c>
      <c r="F3" s="12" t="s">
        <v>937</v>
      </c>
      <c r="G3" s="12">
        <v>2024</v>
      </c>
      <c r="H3" s="12" t="s">
        <v>1310</v>
      </c>
      <c r="I3" s="12">
        <v>500000</v>
      </c>
      <c r="J3" s="12"/>
      <c r="K3" s="12">
        <v>2</v>
      </c>
      <c r="L3" s="12" t="s">
        <v>1311</v>
      </c>
      <c r="M3" s="12" t="s">
        <v>1312</v>
      </c>
      <c r="N3" s="12" t="s">
        <v>1313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8" customWidth="1"/>
    <col min="2" max="2" width="120" customWidth="1"/>
  </cols>
  <sheetData>
    <row r="1" spans="1:2" ht="42" customHeight="1" x14ac:dyDescent="0.3">
      <c r="A1" s="1" t="s">
        <v>1314</v>
      </c>
      <c r="B1" s="1" t="s">
        <v>1315</v>
      </c>
    </row>
    <row r="2" spans="1:2" x14ac:dyDescent="0.3">
      <c r="A2" s="4" t="s">
        <v>1316</v>
      </c>
      <c r="B2" s="4" t="s">
        <v>1317</v>
      </c>
    </row>
    <row r="3" spans="1:2" x14ac:dyDescent="0.3">
      <c r="A3" s="4" t="s">
        <v>1318</v>
      </c>
      <c r="B3" s="4" t="s">
        <v>1319</v>
      </c>
    </row>
    <row r="4" spans="1:2" x14ac:dyDescent="0.3">
      <c r="A4" s="4" t="s">
        <v>1320</v>
      </c>
      <c r="B4" s="4" t="s">
        <v>1321</v>
      </c>
    </row>
    <row r="5" spans="1:2" x14ac:dyDescent="0.3">
      <c r="A5" s="4" t="s">
        <v>1322</v>
      </c>
      <c r="B5" s="4" t="s">
        <v>1313</v>
      </c>
    </row>
    <row r="6" spans="1:2" x14ac:dyDescent="0.3">
      <c r="A6" s="4" t="s">
        <v>1323</v>
      </c>
      <c r="B6" s="4" t="s">
        <v>1324</v>
      </c>
    </row>
    <row r="7" spans="1:2" x14ac:dyDescent="0.3">
      <c r="A7" s="4" t="s">
        <v>1325</v>
      </c>
      <c r="B7" s="4" t="s">
        <v>1326</v>
      </c>
    </row>
    <row r="8" spans="1:2" x14ac:dyDescent="0.3">
      <c r="A8" s="4" t="s">
        <v>1327</v>
      </c>
      <c r="B8" s="4" t="s">
        <v>1328</v>
      </c>
    </row>
  </sheetData>
  <autoFilter ref="A1:B8" xr:uid="{00000000-0009-0000-0000-000009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Model_Ready_Startups</vt:lpstr>
      <vt:lpstr>ML_Matrix_Imputed</vt:lpstr>
      <vt:lpstr>Founders_Clean</vt:lpstr>
      <vt:lpstr>Investments_Clean</vt:lpstr>
      <vt:lpstr>Macro_Lookup</vt:lpstr>
      <vt:lpstr>Data_Dictionary</vt:lpstr>
      <vt:lpstr>Add_Rejected_Template</vt:lpstr>
      <vt:lpstr>Version_Log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Abul Hosen</cp:lastModifiedBy>
  <cp:revision>0</cp:revision>
  <dcterms:created xsi:type="dcterms:W3CDTF">2026-10-05T23:46:08Z</dcterms:created>
  <dcterms:modified xsi:type="dcterms:W3CDTF">2026-10-06T03:42:02Z</dcterms:modified>
  <dc:language>en-US</dc:language>
</cp:coreProperties>
</file>