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Model_Ready_Startups" sheetId="1" state="visible" r:id="rId3"/>
    <sheet name="ML_Matrix_Imputed" sheetId="2" state="visible" r:id="rId4"/>
    <sheet name="Founders_Clean" sheetId="3" state="visible" r:id="rId5"/>
    <sheet name="Investments_Clean" sheetId="4" state="visible" r:id="rId6"/>
    <sheet name="Macro_Lookup" sheetId="5" state="visible" r:id="rId7"/>
    <sheet name="Data_Dictionary" sheetId="6" state="visible" r:id="rId8"/>
    <sheet name="Add_Rejected_Template" sheetId="7" state="visible" r:id="rId9"/>
    <sheet name="Version_Log" sheetId="8" state="visible" r:id="rId10"/>
    <sheet name="Data_Notes" sheetId="9" state="visible" r:id="rId11"/>
    <sheet name="Sampling_Frame" sheetId="10" state="visible" r:id="rId12"/>
    <sheet name="Study_Design" sheetId="11" state="visible" r:id="rId13"/>
  </sheets>
  <definedNames>
    <definedName function="false" hidden="true" localSheetId="5" name="_xlnm._FilterDatabase" vbProcedure="false">Data_Dictionary!$A$1:$E$131</definedName>
    <definedName function="false" hidden="true" localSheetId="2" name="_xlnm._FilterDatabase" vbProcedure="false">Founders_Clean!$A$1:$R$159</definedName>
    <definedName function="false" hidden="true" localSheetId="3" name="_xlnm._FilterDatabase" vbProcedure="false">Investments_Clean!$A$1:$Z$150</definedName>
    <definedName function="false" hidden="true" localSheetId="4" name="_xlnm._FilterDatabase" vbProcedure="false">Macro_Lookup!$A$1:$E$31</definedName>
    <definedName function="false" hidden="true" localSheetId="1" name="_xlnm._FilterDatabase" vbProcedure="false">ML_Matrix_Imputed!$A$1:$BD$101</definedName>
    <definedName function="false" hidden="true" localSheetId="0" name="_xlnm._FilterDatabase" vbProcedure="false">Model_Ready_Startups!$A$1:$CG$101</definedName>
    <definedName function="false" hidden="true" localSheetId="7" name="_xlnm._FilterDatabase" vbProcedure="false">Version_Log!$A$1:$B$8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<sst xmlns="http://schemas.openxmlformats.org/spreadsheetml/2006/main" count="8054" uniqueCount="2614">
  <si>
    <t xml:space="preserve">startup_id</t>
  </si>
  <si>
    <t xml:space="preserve">startup_name</t>
  </si>
  <si>
    <t xml:space="preserve">hq_country</t>
  </si>
  <si>
    <t xml:space="preserve">hq_city</t>
  </si>
  <si>
    <t xml:space="preserve">foreign_hq_flag</t>
  </si>
  <si>
    <t xml:space="preserve">entity_type</t>
  </si>
  <si>
    <t xml:space="preserve">related_startup_id</t>
  </si>
  <si>
    <t xml:space="preserve">possible_duplicate_of</t>
  </si>
  <si>
    <t xml:space="preserve">founding_year</t>
  </si>
  <si>
    <t xml:space="preserve">founding_month</t>
  </si>
  <si>
    <t xml:space="preserve">founding_date_precision</t>
  </si>
  <si>
    <t xml:space="preserve">baseline_date</t>
  </si>
  <si>
    <t xml:space="preserve">months_since_inception</t>
  </si>
  <si>
    <t xml:space="preserve">age_years</t>
  </si>
  <si>
    <t xml:space="preserve">industry_raw</t>
  </si>
  <si>
    <t xml:space="preserve">sector_group</t>
  </si>
  <si>
    <t xml:space="preserve">business_model_raw</t>
  </si>
  <si>
    <t xml:space="preserve">is_b2b</t>
  </si>
  <si>
    <t xml:space="preserve">is_b2c</t>
  </si>
  <si>
    <t xml:space="preserve">is_marketplace</t>
  </si>
  <si>
    <t xml:space="preserve">is_subscription_saas</t>
  </si>
  <si>
    <t xml:space="preserve">is_hardware_iot</t>
  </si>
  <si>
    <t xml:space="preserve">is_transaction_commission</t>
  </si>
  <si>
    <t xml:space="preserve">mvp_status_raw</t>
  </si>
  <si>
    <t xml:space="preserve">product_stage</t>
  </si>
  <si>
    <t xml:space="preserve">mvp_built</t>
  </si>
  <si>
    <t xml:space="preserve">accelerator_participated</t>
  </si>
  <si>
    <t xml:space="preserve">accelerator_programs_raw</t>
  </si>
  <si>
    <t xml:space="preserve">prior_grant_flag</t>
  </si>
  <si>
    <t xml:space="preserve">prior_grants_usd</t>
  </si>
  <si>
    <t xml:space="preserve">grant_info_source</t>
  </si>
  <si>
    <t xml:space="preserve">n_founders</t>
  </si>
  <si>
    <t xml:space="preserve">n_male_founders</t>
  </si>
  <si>
    <t xml:space="preserve">n_female_founders</t>
  </si>
  <si>
    <t xml:space="preserve">female_founder_share</t>
  </si>
  <si>
    <t xml:space="preserve">has_female_founder</t>
  </si>
  <si>
    <t xml:space="preserve">gender_diversity_blau</t>
  </si>
  <si>
    <t xml:space="preserve">team_female_pct_est</t>
  </si>
  <si>
    <t xml:space="preserve">edu_max_level</t>
  </si>
  <si>
    <t xml:space="preserve">edu_max_label</t>
  </si>
  <si>
    <t xml:space="preserve">any_stem_founder</t>
  </si>
  <si>
    <t xml:space="preserve">stem_share</t>
  </si>
  <si>
    <t xml:space="preserve">serial_entrepreneur</t>
  </si>
  <si>
    <t xml:space="preserve">industry_exp_max_years</t>
  </si>
  <si>
    <t xml:space="preserve">industry_exp_mean_years</t>
  </si>
  <si>
    <t xml:space="preserve">team_size_mid</t>
  </si>
  <si>
    <t xml:space="preserve">team_size_band</t>
  </si>
  <si>
    <t xml:space="preserve">team_size_source</t>
  </si>
  <si>
    <t xml:space="preserve">team_size_note</t>
  </si>
  <si>
    <t xml:space="preserve">survival_status</t>
  </si>
  <si>
    <t xml:space="preserve">status_confidence</t>
  </si>
  <si>
    <t xml:space="preserve">status_note</t>
  </si>
  <si>
    <t xml:space="preserve">acquired_flag</t>
  </si>
  <si>
    <t xml:space="preserve">is_acquirer</t>
  </si>
  <si>
    <t xml:space="preserve">event_closed</t>
  </si>
  <si>
    <t xml:space="preserve">closure_year</t>
  </si>
  <si>
    <t xml:space="preserve">closure_month</t>
  </si>
  <si>
    <t xml:space="preserve">duration_months</t>
  </si>
  <si>
    <t xml:space="preserve">follow_on_funding_received</t>
  </si>
  <si>
    <t xml:space="preserve">follow_on_funding_usd</t>
  </si>
  <si>
    <t xml:space="preserve">funding_amount_basis</t>
  </si>
  <si>
    <t xml:space="preserve">follow_on_year</t>
  </si>
  <si>
    <t xml:space="preserve">any_external_funding</t>
  </si>
  <si>
    <t xml:space="preserve">n_accepted_investment_rows</t>
  </si>
  <si>
    <t xml:space="preserve">has_vc_pe</t>
  </si>
  <si>
    <t xml:space="preserve">has_angel</t>
  </si>
  <si>
    <t xml:space="preserve">has_accelerator_investor</t>
  </si>
  <si>
    <t xml:space="preserve">has_corporate</t>
  </si>
  <si>
    <t xml:space="preserve">has_government</t>
  </si>
  <si>
    <t xml:space="preserve">has_grant_dfi</t>
  </si>
  <si>
    <t xml:space="preserve">evaluation_score_1to5</t>
  </si>
  <si>
    <t xml:space="preserve">revenue_growth_pct_mid</t>
  </si>
  <si>
    <t xml:space="preserve">employee_growth_pct_mid</t>
  </si>
  <si>
    <t xml:space="preserve">web_visits_mid</t>
  </si>
  <si>
    <t xml:space="preserve">news_mentions_mid</t>
  </si>
  <si>
    <t xml:space="preserve">social_growth_pct_mid</t>
  </si>
  <si>
    <t xml:space="preserve">app_downloads_lb</t>
  </si>
  <si>
    <t xml:space="preserve">app_rating</t>
  </si>
  <si>
    <t xml:space="preserve">traction_n_components</t>
  </si>
  <si>
    <t xml:space="preserve">traction_composite</t>
  </si>
  <si>
    <t xml:space="preserve">gdp_growth_at_founding</t>
  </si>
  <si>
    <t xml:space="preserve">inflation_at_founding</t>
  </si>
  <si>
    <t xml:space="preserve">gdp_growth_at_funding</t>
  </si>
  <si>
    <t xml:space="preserve">inflation_at_funding</t>
  </si>
  <si>
    <t xml:space="preserve">n_key_fields_missing</t>
  </si>
  <si>
    <t xml:space="preserve">source_citation</t>
  </si>
  <si>
    <t xml:space="preserve">date_collected</t>
  </si>
  <si>
    <t xml:space="preserve">BD-ST-001</t>
  </si>
  <si>
    <t xml:space="preserve">bKash</t>
  </si>
  <si>
    <t xml:space="preserve">Bangladesh</t>
  </si>
  <si>
    <t xml:space="preserve">Dhaka</t>
  </si>
  <si>
    <t xml:space="preserve">Independent startup</t>
  </si>
  <si>
    <t xml:space="preserve">year</t>
  </si>
  <si>
    <t xml:space="preserve">Fintech / Payments</t>
  </si>
  <si>
    <t xml:space="preserve">Fintech</t>
  </si>
  <si>
    <t xml:space="preserve">Mobile Financial Services (MFS) - B2C/B2B agent network</t>
  </si>
  <si>
    <t xml:space="preserve">Active (market-mature; unicorn)</t>
  </si>
  <si>
    <t xml:space="preserve">master</t>
  </si>
  <si>
    <t xml:space="preserve">Master's/MBA/professional</t>
  </si>
  <si>
    <t xml:space="preserve">501+</t>
  </si>
  <si>
    <t xml:space="preserve">LinkedIn (Public_Macro_Data)</t>
  </si>
  <si>
    <t xml:space="preserve">Active</t>
  </si>
  <si>
    <t xml:space="preserve">High</t>
  </si>
  <si>
    <t xml:space="preserve">round</t>
  </si>
  <si>
    <t xml:space="preserve">Original 100 (BD-ST-001..100); see Version_Log v1 (2026-10-06)</t>
  </si>
  <si>
    <t xml:space="preserve">2026-10-06</t>
  </si>
  <si>
    <t xml:space="preserve">BD-ST-002</t>
  </si>
  <si>
    <t xml:space="preserve">Nagad</t>
  </si>
  <si>
    <t xml:space="preserve">MFS (Public-Private Partnership w/ Bangladesh Post Office)</t>
  </si>
  <si>
    <t xml:space="preserve">unknown</t>
  </si>
  <si>
    <t xml:space="preserve">BD-ST-003</t>
  </si>
  <si>
    <t xml:space="preserve">Rocket (DBBL Mobile Banking)</t>
  </si>
  <si>
    <t xml:space="preserve">Corporate division/subsidiary</t>
  </si>
  <si>
    <t xml:space="preserve">Bank-led MFS Payments (DBBL subsidiary)</t>
  </si>
  <si>
    <t xml:space="preserve">excluded</t>
  </si>
  <si>
    <t xml:space="preserve">Value is Dutch-Bangla Bank group headcount (projected), not Rocket team size</t>
  </si>
  <si>
    <t xml:space="preserve">none</t>
  </si>
  <si>
    <t xml:space="preserve">BD-ST-004</t>
  </si>
  <si>
    <t xml:space="preserve">SureCash</t>
  </si>
  <si>
    <t xml:space="preserve">Payment Network Rails / Interoperability Infrastructure</t>
  </si>
  <si>
    <t xml:space="preserve">PhD</t>
  </si>
  <si>
    <t xml:space="preserve">201-500</t>
  </si>
  <si>
    <t xml:space="preserve">Founders_Team</t>
  </si>
  <si>
    <t xml:space="preserve">BD-ST-005</t>
  </si>
  <si>
    <t xml:space="preserve">Upay</t>
  </si>
  <si>
    <t xml:space="preserve">BD-ST-008</t>
  </si>
  <si>
    <t xml:space="preserve">MFS (blockchain-based ledger; UCB subsidiary)</t>
  </si>
  <si>
    <t xml:space="preserve">BD-ST-006</t>
  </si>
  <si>
    <t xml:space="preserve">Dmoney</t>
  </si>
  <si>
    <t xml:space="preserve">Digital Wallet</t>
  </si>
  <si>
    <t xml:space="preserve">51-200</t>
  </si>
  <si>
    <t xml:space="preserve">BD-ST-007</t>
  </si>
  <si>
    <t xml:space="preserve">PayWell</t>
  </si>
  <si>
    <t xml:space="preserve">month</t>
  </si>
  <si>
    <t xml:space="preserve">B2C/B2B utility, telecom &amp; financial transaction retail aggregator (POS/agent network)</t>
  </si>
  <si>
    <t xml:space="preserve">Acquired (by ShopUp, Bangladeshi B2B commerce platform)</t>
  </si>
  <si>
    <t xml:space="preserve">Below bachelor</t>
  </si>
  <si>
    <t xml:space="preserve">Parent-company scale (CloudWell), not PayWell alone</t>
  </si>
  <si>
    <t xml:space="preserve">Acquired</t>
  </si>
  <si>
    <t xml:space="preserve">Ucash</t>
  </si>
  <si>
    <t xml:space="preserve">MFS Payments</t>
  </si>
  <si>
    <t xml:space="preserve">Closed (migrated users to Upay, 2021)</t>
  </si>
  <si>
    <t xml:space="preserve">Closed</t>
  </si>
  <si>
    <t xml:space="preserve">Closed 2021; users migrated to Upay (BD-ST-005)</t>
  </si>
  <si>
    <t xml:space="preserve">BD-ST-009</t>
  </si>
  <si>
    <t xml:space="preserve">AamarPay</t>
  </si>
  <si>
    <t xml:space="preserve">Payment Gateway (PSO)</t>
  </si>
  <si>
    <t xml:space="preserve">Bachelor's</t>
  </si>
  <si>
    <t xml:space="preserve">Acquired by Simpaisa March 2026; still operating</t>
  </si>
  <si>
    <t xml:space="preserve">cumulative</t>
  </si>
  <si>
    <t xml:space="preserve">BD-ST-010</t>
  </si>
  <si>
    <t xml:space="preserve">SSLCOMMERZ</t>
  </si>
  <si>
    <t xml:space="preserve">BD-ST-011</t>
  </si>
  <si>
    <t xml:space="preserve">Muthopay</t>
  </si>
  <si>
    <t xml:space="preserve">Payment Gateway (Bluetooth / low-bandwidth transactions)</t>
  </si>
  <si>
    <t xml:space="preserve">1-10</t>
  </si>
  <si>
    <t xml:space="preserve">BD-ST-012</t>
  </si>
  <si>
    <t xml:space="preserve">Tredx</t>
  </si>
  <si>
    <t xml:space="preserve">Fintech / Digital Lending</t>
  </si>
  <si>
    <t xml:space="preserve">Digital supply chain finance / online invoice factoring marketplace</t>
  </si>
  <si>
    <t xml:space="preserve">Active (live production platform; integrated w/ Midland Bank PLC)</t>
  </si>
  <si>
    <t xml:space="preserve">11-50</t>
  </si>
  <si>
    <t xml:space="preserve">BD-ST-013</t>
  </si>
  <si>
    <t xml:space="preserve">Chaldal</t>
  </si>
  <si>
    <t xml:space="preserve">E-commerce / Grocery</t>
  </si>
  <si>
    <t xml:space="preserve">E-commerce</t>
  </si>
  <si>
    <t xml:space="preserve">Micro-warehouse ('nano-warehouse') grocery retail</t>
  </si>
  <si>
    <t xml:space="preserve">Y Combinator</t>
  </si>
  <si>
    <t xml:space="preserve">BD-ST-014</t>
  </si>
  <si>
    <t xml:space="preserve">Daraz Bangladesh</t>
  </si>
  <si>
    <t xml:space="preserve">Independent startup (acquired by corporate)</t>
  </si>
  <si>
    <t xml:space="preserve">E-commerce / Marketplace</t>
  </si>
  <si>
    <t xml:space="preserve">Horizontal Marketplace</t>
  </si>
  <si>
    <t xml:space="preserve">BD-ST-015</t>
  </si>
  <si>
    <t xml:space="preserve">AjkerDeal</t>
  </si>
  <si>
    <t xml:space="preserve">B2C Marketplace</t>
  </si>
  <si>
    <t xml:space="preserve">BD-ST-016</t>
  </si>
  <si>
    <t xml:space="preserve">Rokomari.com</t>
  </si>
  <si>
    <t xml:space="preserve">E-commerce / Books</t>
  </si>
  <si>
    <t xml:space="preserve">Online Bookstore</t>
  </si>
  <si>
    <t xml:space="preserve">BD-ST-017</t>
  </si>
  <si>
    <t xml:space="preserve">Bikroy.com</t>
  </si>
  <si>
    <t xml:space="preserve">E-commerce / Classifieds</t>
  </si>
  <si>
    <t xml:space="preserve">Online Classifieds</t>
  </si>
  <si>
    <t xml:space="preserve">Acquired by Jiji.com May 2026</t>
  </si>
  <si>
    <t xml:space="preserve">BD-ST-018</t>
  </si>
  <si>
    <t xml:space="preserve">Pickaboo</t>
  </si>
  <si>
    <t xml:space="preserve">E-commerce / Electronics</t>
  </si>
  <si>
    <t xml:space="preserve">Omnichannel Retail</t>
  </si>
  <si>
    <t xml:space="preserve">BD-ST-019</t>
  </si>
  <si>
    <t xml:space="preserve">Priyoshop</t>
  </si>
  <si>
    <t xml:space="preserve">E-commerce / B2B Retail</t>
  </si>
  <si>
    <t xml:space="preserve">B2B Retail Marketplace</t>
  </si>
  <si>
    <t xml:space="preserve">BD-ST-020</t>
  </si>
  <si>
    <t xml:space="preserve">Sindabad.com</t>
  </si>
  <si>
    <t xml:space="preserve">E-commerce / B2B Procurement</t>
  </si>
  <si>
    <t xml:space="preserve">B2B Procurement</t>
  </si>
  <si>
    <t xml:space="preserve">BD-ST-021</t>
  </si>
  <si>
    <t xml:space="preserve">Shajgoj</t>
  </si>
  <si>
    <t xml:space="preserve">E-commerce / Beauty</t>
  </si>
  <si>
    <t xml:space="preserve">D2C / e-commerce</t>
  </si>
  <si>
    <t xml:space="preserve">Live/Scaling</t>
  </si>
  <si>
    <t xml:space="preserve">Surge (Sequoia India)</t>
  </si>
  <si>
    <t xml:space="preserve">BD-ST-022</t>
  </si>
  <si>
    <t xml:space="preserve">Khaas Food</t>
  </si>
  <si>
    <t xml:space="preserve">E-commerce / Agri-food</t>
  </si>
  <si>
    <t xml:space="preserve">D2C, online + retail</t>
  </si>
  <si>
    <t xml:space="preserve">BD-ST-023</t>
  </si>
  <si>
    <t xml:space="preserve">Pathao</t>
  </si>
  <si>
    <t xml:space="preserve">Logistics / Ride-hailing</t>
  </si>
  <si>
    <t xml:space="preserve">Logistics/Travel</t>
  </si>
  <si>
    <t xml:space="preserve">Marketplace, super-app</t>
  </si>
  <si>
    <t xml:space="preserve">BD-ST-024</t>
  </si>
  <si>
    <t xml:space="preserve">Shohoz</t>
  </si>
  <si>
    <t xml:space="preserve">Logistics / Lifestyle Platform</t>
  </si>
  <si>
    <t xml:space="preserve">B2C ticketing marketplace</t>
  </si>
  <si>
    <t xml:space="preserve">BD-ST-025</t>
  </si>
  <si>
    <t xml:space="preserve">eCourier</t>
  </si>
  <si>
    <t xml:space="preserve">Logistics / Courier</t>
  </si>
  <si>
    <t xml:space="preserve">B2B logistics</t>
  </si>
  <si>
    <t xml:space="preserve">BD-ST-026</t>
  </si>
  <si>
    <t xml:space="preserve">Truck Lagbe</t>
  </si>
  <si>
    <t xml:space="preserve">Logistics / Freight</t>
  </si>
  <si>
    <t xml:space="preserve">Marketplace, trucking (B2B/B2C)</t>
  </si>
  <si>
    <t xml:space="preserve">BD-ST-027</t>
  </si>
  <si>
    <t xml:space="preserve">Jatri</t>
  </si>
  <si>
    <t xml:space="preserve">Logistics / Mass Mobility</t>
  </si>
  <si>
    <t xml:space="preserve">B2B2C mass transit / travel commerce</t>
  </si>
  <si>
    <t xml:space="preserve">BD-ST-028</t>
  </si>
  <si>
    <t xml:space="preserve">Shuttle</t>
  </si>
  <si>
    <t xml:space="preserve">Logistics / Ride-sharing</t>
  </si>
  <si>
    <t xml:space="preserve">Marketplace, ride-pooling</t>
  </si>
  <si>
    <t xml:space="preserve">Accelerating Asia</t>
  </si>
  <si>
    <t xml:space="preserve">BD-ST-029</t>
  </si>
  <si>
    <t xml:space="preserve">Paperfly</t>
  </si>
  <si>
    <t xml:space="preserve">Logistics / E-commerce Delivery</t>
  </si>
  <si>
    <t xml:space="preserve">B2B/B2B2C fulfillment &amp; logistics</t>
  </si>
  <si>
    <t xml:space="preserve">BD-ST-030</t>
  </si>
  <si>
    <t xml:space="preserve">Zantrik</t>
  </si>
  <si>
    <t xml:space="preserve">Logistics / Roadside Assistance</t>
  </si>
  <si>
    <t xml:space="preserve">Marketplace, on-demand auto services</t>
  </si>
  <si>
    <t xml:space="preserve">BD-ST-031</t>
  </si>
  <si>
    <t xml:space="preserve">HungryNaki</t>
  </si>
  <si>
    <t xml:space="preserve">Logistics / Food Delivery</t>
  </si>
  <si>
    <t xml:space="preserve">Marketplace, food delivery</t>
  </si>
  <si>
    <t xml:space="preserve">Shut down</t>
  </si>
  <si>
    <t xml:space="preserve">Closed 2023-07 after Daraz acquisition (2021)</t>
  </si>
  <si>
    <t xml:space="preserve">BD-ST-032</t>
  </si>
  <si>
    <t xml:space="preserve">Foodpanda Bangladesh</t>
  </si>
  <si>
    <t xml:space="preserve">Marketplace, food &amp; grocery delivery</t>
  </si>
  <si>
    <t xml:space="preserve">BD-ST-033</t>
  </si>
  <si>
    <t xml:space="preserve">GoZayaan</t>
  </si>
  <si>
    <t xml:space="preserve">Travel / Tourism</t>
  </si>
  <si>
    <t xml:space="preserve">OTA marketplace</t>
  </si>
  <si>
    <t xml:space="preserve">BD-ST-034</t>
  </si>
  <si>
    <t xml:space="preserve">ShareTrip</t>
  </si>
  <si>
    <t xml:space="preserve">BD-ST-035</t>
  </si>
  <si>
    <t xml:space="preserve">Bproperty</t>
  </si>
  <si>
    <t xml:space="preserve">Real Estate / PropTech</t>
  </si>
  <si>
    <t xml:space="preserve">Other</t>
  </si>
  <si>
    <t xml:space="preserve">Marketplace, real estate brokerage</t>
  </si>
  <si>
    <t xml:space="preserve">Unclear, possibly inactive</t>
  </si>
  <si>
    <t xml:space="preserve">Unknown</t>
  </si>
  <si>
    <t xml:space="preserve">Low</t>
  </si>
  <si>
    <t xml:space="preserve">Status unclear (acquired by DCG 2023; Rupayan investment 2025)</t>
  </si>
  <si>
    <t xml:space="preserve">BD-ST-036</t>
  </si>
  <si>
    <t xml:space="preserve">10 Minute School</t>
  </si>
  <si>
    <t xml:space="preserve">EdTech</t>
  </si>
  <si>
    <t xml:space="preserve">B2C EdTech subscription</t>
  </si>
  <si>
    <t xml:space="preserve">Surge (Sequoia/Peak XV)</t>
  </si>
  <si>
    <t xml:space="preserve">BD-ST-037</t>
  </si>
  <si>
    <t xml:space="preserve">Shikho</t>
  </si>
  <si>
    <t xml:space="preserve">BD-ST-038</t>
  </si>
  <si>
    <t xml:space="preserve">Bohubrihi</t>
  </si>
  <si>
    <t xml:space="preserve">B2C EdTech marketplace</t>
  </si>
  <si>
    <t xml:space="preserve">BD-ST-039</t>
  </si>
  <si>
    <t xml:space="preserve">Thrive EdTech</t>
  </si>
  <si>
    <t xml:space="preserve">B2B2C EdTech SaaS</t>
  </si>
  <si>
    <t xml:space="preserve">NSU Startups Next</t>
  </si>
  <si>
    <t xml:space="preserve">BD-ST-040</t>
  </si>
  <si>
    <t xml:space="preserve">Durbin Academy</t>
  </si>
  <si>
    <t xml:space="preserve">B2C EdTech content platform</t>
  </si>
  <si>
    <t xml:space="preserve">Unclear</t>
  </si>
  <si>
    <t xml:space="preserve">Status unclear in source</t>
  </si>
  <si>
    <t xml:space="preserve">BD-ST-041</t>
  </si>
  <si>
    <t xml:space="preserve">Upskill</t>
  </si>
  <si>
    <t xml:space="preserve">B2B / B2C</t>
  </si>
  <si>
    <t xml:space="preserve">Live and Scaling</t>
  </si>
  <si>
    <t xml:space="preserve">GP Accelerator</t>
  </si>
  <si>
    <t xml:space="preserve">BD-ST-042</t>
  </si>
  <si>
    <t xml:space="preserve">Interactive Cares</t>
  </si>
  <si>
    <t xml:space="preserve">B2C / SaaS</t>
  </si>
  <si>
    <t xml:space="preserve">Accelerating Asia, SuperCharger Ventures</t>
  </si>
  <si>
    <t xml:space="preserve">Investment_Decisions</t>
  </si>
  <si>
    <t xml:space="preserve">Founder/CEO detained April 2026 (embezzlement/money-laundering allegations); company status unclear</t>
  </si>
  <si>
    <t xml:space="preserve">BD-ST-043</t>
  </si>
  <si>
    <t xml:space="preserve">EduHive</t>
  </si>
  <si>
    <t xml:space="preserve">B2C / Marketplace</t>
  </si>
  <si>
    <t xml:space="preserve">GP Accelerator (Cohort 5)</t>
  </si>
  <si>
    <t xml:space="preserve">BD-ST-044</t>
  </si>
  <si>
    <t xml:space="preserve">Programming Hero</t>
  </si>
  <si>
    <t xml:space="preserve">B2C / Subscription</t>
  </si>
  <si>
    <t xml:space="preserve">BD-ST-045</t>
  </si>
  <si>
    <t xml:space="preserve">Sohopathi</t>
  </si>
  <si>
    <t xml:space="preserve">B2C / P2P</t>
  </si>
  <si>
    <t xml:space="preserve">GP Accelerator (Cohort 6), Student to Start-up</t>
  </si>
  <si>
    <t xml:space="preserve">master (amount undisclosed)</t>
  </si>
  <si>
    <t xml:space="preserve">BD-ST-046</t>
  </si>
  <si>
    <t xml:space="preserve">eShikhon</t>
  </si>
  <si>
    <t xml:space="preserve">B2C</t>
  </si>
  <si>
    <t xml:space="preserve">BD-ST-047</t>
  </si>
  <si>
    <t xml:space="preserve">Repto</t>
  </si>
  <si>
    <t xml:space="preserve">Marketplace / B2C</t>
  </si>
  <si>
    <t xml:space="preserve">GP Accelerator (Cohort 1)</t>
  </si>
  <si>
    <t xml:space="preserve">BD-ST-048</t>
  </si>
  <si>
    <t xml:space="preserve">Ostad</t>
  </si>
  <si>
    <t xml:space="preserve">B2C / Live Learning</t>
  </si>
  <si>
    <t xml:space="preserve">Accelerating Asia (Cohort 6)</t>
  </si>
  <si>
    <t xml:space="preserve">BD-ST-049</t>
  </si>
  <si>
    <t xml:space="preserve">Onnorokom Pathshala</t>
  </si>
  <si>
    <t xml:space="preserve">Non-profit / B2C (Freemium &amp; Social Enterprise)</t>
  </si>
  <si>
    <t xml:space="preserve">BD-ST-050</t>
  </si>
  <si>
    <t xml:space="preserve">Bissoy</t>
  </si>
  <si>
    <t xml:space="preserve">EdTech / Q&amp;A Platform</t>
  </si>
  <si>
    <t xml:space="preserve">Q&amp;A Platform / Ad-supported / B2C</t>
  </si>
  <si>
    <t xml:space="preserve">BD-ST-051</t>
  </si>
  <si>
    <t xml:space="preserve">Praava Health</t>
  </si>
  <si>
    <t xml:space="preserve">HealthTech</t>
  </si>
  <si>
    <t xml:space="preserve">Hybrid (B2C Clinics &amp; Digital Telehealth / Diagnostics)</t>
  </si>
  <si>
    <t xml:space="preserve">Fast Company World Changing Ideas, Harvard Business School Case Study</t>
  </si>
  <si>
    <t xml:space="preserve">BD-ST-052</t>
  </si>
  <si>
    <t xml:space="preserve">DocTime</t>
  </si>
  <si>
    <t xml:space="preserve">HealthTech / Telemedicine</t>
  </si>
  <si>
    <t xml:space="preserve">B2C / B2B (Corporate Health Packages)</t>
  </si>
  <si>
    <t xml:space="preserve">BD-ST-053</t>
  </si>
  <si>
    <t xml:space="preserve">Arogga</t>
  </si>
  <si>
    <t xml:space="preserve">HealthTech / E-pharmacy</t>
  </si>
  <si>
    <t xml:space="preserve">B2C / E-commerce</t>
  </si>
  <si>
    <t xml:space="preserve">Y Combinator (YC W21), Surge (Peak XV Partners)</t>
  </si>
  <si>
    <t xml:space="preserve">BD-ST-054</t>
  </si>
  <si>
    <t xml:space="preserve">Moner Bondhu</t>
  </si>
  <si>
    <t xml:space="preserve">HealthTech / Mental Health</t>
  </si>
  <si>
    <t xml:space="preserve">B2C / B2B (Corporate Wellness Programs)</t>
  </si>
  <si>
    <t xml:space="preserve">Accelerating Asia, Tommy Hilfiger Fashion Frontier Challenge</t>
  </si>
  <si>
    <t xml:space="preserve">BD-ST-055</t>
  </si>
  <si>
    <t xml:space="preserve">Maya (Myalogy)</t>
  </si>
  <si>
    <t xml:space="preserve">HealthTech / Telehealth</t>
  </si>
  <si>
    <t xml:space="preserve">B2C / B2B (Corporate Healthcare Solutions)</t>
  </si>
  <si>
    <t xml:space="preserve">Google for Startups Accelerator, Spring Accelerator</t>
  </si>
  <si>
    <t xml:space="preserve">BD-ST-056</t>
  </si>
  <si>
    <t xml:space="preserve">Jeeon</t>
  </si>
  <si>
    <t xml:space="preserve">HealthTech / Rural Health</t>
  </si>
  <si>
    <t xml:space="preserve">B2B / Marketplace</t>
  </si>
  <si>
    <t xml:space="preserve">Transform Health Challenge, Echoing Green</t>
  </si>
  <si>
    <t xml:space="preserve">BD-ST-057</t>
  </si>
  <si>
    <t xml:space="preserve">MedEasy</t>
  </si>
  <si>
    <t xml:space="preserve">B2C / Health Services</t>
  </si>
  <si>
    <t xml:space="preserve">Accelerating Asia (Cohort 8), GP Accelerator</t>
  </si>
  <si>
    <t xml:space="preserve">MedEasy is the ACQUIRER (bought Alchemy, 2023), not acquired</t>
  </si>
  <si>
    <t xml:space="preserve">BD-ST-058</t>
  </si>
  <si>
    <t xml:space="preserve">Doctorola</t>
  </si>
  <si>
    <t xml:space="preserve">Founder moved to lead Pulse Healthcare Services; Doctorola status as per source = Active</t>
  </si>
  <si>
    <t xml:space="preserve">BD-ST-059</t>
  </si>
  <si>
    <t xml:space="preserve">Doctor Koi</t>
  </si>
  <si>
    <t xml:space="preserve">GP Accelerator (Cohort 4)</t>
  </si>
  <si>
    <t xml:space="preserve">BD-ST-060</t>
  </si>
  <si>
    <t xml:space="preserve">Doctor Plus</t>
  </si>
  <si>
    <t xml:space="preserve">BD-ST-061</t>
  </si>
  <si>
    <t xml:space="preserve">Soowgood</t>
  </si>
  <si>
    <t xml:space="preserve">HealthTech / Health Records</t>
  </si>
  <si>
    <t xml:space="preserve">B2C Marketplace / Agent-assisted telemedicine</t>
  </si>
  <si>
    <t xml:space="preserve">Validated Product</t>
  </si>
  <si>
    <t xml:space="preserve">UNDP Youth Co:Lab (Springboard Elevate)</t>
  </si>
  <si>
    <t xml:space="preserve">BD-ST-062</t>
  </si>
  <si>
    <t xml:space="preserve">TrueMed</t>
  </si>
  <si>
    <t xml:space="preserve">HealthTech / Medication Tracking</t>
  </si>
  <si>
    <t xml:space="preserve">B2C mobile app</t>
  </si>
  <si>
    <t xml:space="preserve">Early-stage pilot</t>
  </si>
  <si>
    <t xml:space="preserve">Accelerating Bangladesh — Smart Bangladesh Accelerator (ESS-C01, 2024)</t>
  </si>
  <si>
    <t xml:space="preserve">BD-ST-063</t>
  </si>
  <si>
    <t xml:space="preserve">Pulse Healthcare</t>
  </si>
  <si>
    <t xml:space="preserve">B2B2C Subscription &amp; Corporate</t>
  </si>
  <si>
    <t xml:space="preserve">Full Production</t>
  </si>
  <si>
    <t xml:space="preserve">BD-ST-064</t>
  </si>
  <si>
    <t xml:space="preserve">Jolpie</t>
  </si>
  <si>
    <t xml:space="preserve">HealthTech / Doctor Booking</t>
  </si>
  <si>
    <t xml:space="preserve">B2C Aggregator / Transaction Fee</t>
  </si>
  <si>
    <t xml:space="preserve">Seedstars Dhaka 2017 (finalist)</t>
  </si>
  <si>
    <t xml:space="preserve">Dormant per source (&lt;2K visits/mo, inactive app listing) but not confirmed closed</t>
  </si>
  <si>
    <t xml:space="preserve">BD-ST-065</t>
  </si>
  <si>
    <t xml:space="preserve">AmarLab</t>
  </si>
  <si>
    <t xml:space="preserve">B2C &amp; B2B Home Diagnostics</t>
  </si>
  <si>
    <t xml:space="preserve">Accelerating Asia; Startup Bangladesh</t>
  </si>
  <si>
    <t xml:space="preserve">BD-ST-066</t>
  </si>
  <si>
    <t xml:space="preserve">CMED Health</t>
  </si>
  <si>
    <t xml:space="preserve">B2B SaaS &amp; IoT</t>
  </si>
  <si>
    <t xml:space="preserve">Biniyog Briddhi; Seedstars Dhaka 2016/17 winner; GP Accelerator</t>
  </si>
  <si>
    <t xml:space="preserve">BD-ST-067</t>
  </si>
  <si>
    <t xml:space="preserve">Zaynax Health</t>
  </si>
  <si>
    <t xml:space="preserve">HealthTech / Insurance</t>
  </si>
  <si>
    <t xml:space="preserve">B2B2C Subscription</t>
  </si>
  <si>
    <t xml:space="preserve">ICT Division iDEA Project</t>
  </si>
  <si>
    <t xml:space="preserve">BD-ST-068</t>
  </si>
  <si>
    <t xml:space="preserve">iFarmer</t>
  </si>
  <si>
    <t xml:space="preserve">AgriTech / Agri-fintech</t>
  </si>
  <si>
    <t xml:space="preserve">Commission &amp; Trade; Full-stack platform</t>
  </si>
  <si>
    <t xml:space="preserve">BD-ST-069</t>
  </si>
  <si>
    <t xml:space="preserve">Fashol</t>
  </si>
  <si>
    <t xml:space="preserve">AgriTech / Supply Chain</t>
  </si>
  <si>
    <t xml:space="preserve">AgriTech</t>
  </si>
  <si>
    <t xml:space="preserve">B2B Wholesale Trading</t>
  </si>
  <si>
    <t xml:space="preserve">Orbit Startups; SOSV</t>
  </si>
  <si>
    <t xml:space="preserve">BD-ST-070</t>
  </si>
  <si>
    <t xml:space="preserve">Dr.Chashi</t>
  </si>
  <si>
    <t xml:space="preserve">Freemium App &amp; B2B Marketplace</t>
  </si>
  <si>
    <t xml:space="preserve">WIPO / ITC SheTrades Innovation Festival 2024</t>
  </si>
  <si>
    <t xml:space="preserve">BD-ST-071</t>
  </si>
  <si>
    <t xml:space="preserve">Agroshift Technologies</t>
  </si>
  <si>
    <t xml:space="preserve">AgriTech / B2B Supply Chain</t>
  </si>
  <si>
    <t xml:space="preserve">B2B Digital Retail Trading</t>
  </si>
  <si>
    <t xml:space="preserve">H&amp;M Foundation STITCH for RMG</t>
  </si>
  <si>
    <t xml:space="preserve">BD-ST-072</t>
  </si>
  <si>
    <t xml:space="preserve">Krishi Shwapno</t>
  </si>
  <si>
    <t xml:space="preserve">Circular Commodity Trading</t>
  </si>
  <si>
    <t xml:space="preserve">Innovatech LATAM 2.0 (IFAD / EU / Sparkassenstiftung)</t>
  </si>
  <si>
    <t xml:space="preserve">BD-ST-073</t>
  </si>
  <si>
    <t xml:space="preserve">e-Hub</t>
  </si>
  <si>
    <t xml:space="preserve">AgriTech / Procurement</t>
  </si>
  <si>
    <t xml:space="preserve">B2B Enterprise Supply Chain</t>
  </si>
  <si>
    <t xml:space="preserve">Syngenta Foundation</t>
  </si>
  <si>
    <t xml:space="preserve">Existence unconfirmed in public sources</t>
  </si>
  <si>
    <t xml:space="preserve">BD-ST-074</t>
  </si>
  <si>
    <t xml:space="preserve">Adorsho Pranisheba</t>
  </si>
  <si>
    <t xml:space="preserve">AgriTech / Livestock IoT</t>
  </si>
  <si>
    <t xml:space="preserve">B2B IoT &amp; Insurance</t>
  </si>
  <si>
    <t xml:space="preserve">Biniyog Briddhi (SIINC)</t>
  </si>
  <si>
    <t xml:space="preserve">BD-ST-075</t>
  </si>
  <si>
    <t xml:space="preserve">Wegro</t>
  </si>
  <si>
    <t xml:space="preserve">Commission / Crowdfunded Trade</t>
  </si>
  <si>
    <t xml:space="preserve">BD-ST-076</t>
  </si>
  <si>
    <t xml:space="preserve">KrishiHub</t>
  </si>
  <si>
    <t xml:space="preserve">Agri-Input &amp; Advisory Platform</t>
  </si>
  <si>
    <t xml:space="preserve">Unconfirmed</t>
  </si>
  <si>
    <t xml:space="preserve">BD-ST-077</t>
  </si>
  <si>
    <t xml:space="preserve">Markopolo Ai</t>
  </si>
  <si>
    <t xml:space="preserve">AdTech / AI</t>
  </si>
  <si>
    <t xml:space="preserve">IT/SaaS/AI/IoT</t>
  </si>
  <si>
    <t xml:space="preserve">SaaS Subscription</t>
  </si>
  <si>
    <t xml:space="preserve">HF0; Accelerating Asia</t>
  </si>
  <si>
    <t xml:space="preserve">BD-ST-078</t>
  </si>
  <si>
    <t xml:space="preserve">Intelligent Machines</t>
  </si>
  <si>
    <t xml:space="preserve">AI / Enterprise Solutions</t>
  </si>
  <si>
    <t xml:space="preserve">B2B Enterprise SaaS / Services</t>
  </si>
  <si>
    <t xml:space="preserve">Startup Bangladesh</t>
  </si>
  <si>
    <t xml:space="preserve">BD-ST-079</t>
  </si>
  <si>
    <t xml:space="preserve">MyAlice</t>
  </si>
  <si>
    <t xml:space="preserve">SaaS / Customer Engagement</t>
  </si>
  <si>
    <t xml:space="preserve">B2B SaaS Subscription</t>
  </si>
  <si>
    <t xml:space="preserve">Orbit Startups</t>
  </si>
  <si>
    <t xml:space="preserve">BD-ST-080</t>
  </si>
  <si>
    <t xml:space="preserve">Hishab</t>
  </si>
  <si>
    <t xml:space="preserve">Singapore</t>
  </si>
  <si>
    <t xml:space="preserve">AI / Voice Tech</t>
  </si>
  <si>
    <t xml:space="preserve">B2B Enterprise Licensing</t>
  </si>
  <si>
    <t xml:space="preserve">ICMG Partners; Startup Bangladesh</t>
  </si>
  <si>
    <t xml:space="preserve">BD-ST-081</t>
  </si>
  <si>
    <t xml:space="preserve">Inovace Technologies</t>
  </si>
  <si>
    <t xml:space="preserve">Internet of Things (IoT) &amp; Enterprise Software (B2B SaaS)</t>
  </si>
  <si>
    <t xml:space="preserve">B2B SaaS &amp; IoT Hardware Sales</t>
  </si>
  <si>
    <t xml:space="preserve">Launched &amp; Scaled (Commercial Product)</t>
  </si>
  <si>
    <t xml:space="preserve">Yes (Accelerating Asia Cohort 11)</t>
  </si>
  <si>
    <t xml:space="preserve">BD-ST-082</t>
  </si>
  <si>
    <t xml:space="preserve">Ekkbaz</t>
  </si>
  <si>
    <t xml:space="preserve">B2B Marketplace / AgriFood</t>
  </si>
  <si>
    <t xml:space="preserve">B2B Marketplace &amp; SaaS</t>
  </si>
  <si>
    <t xml:space="preserve">Yes (HASAN.VC Accelerator, Chinaccelerator)</t>
  </si>
  <si>
    <t xml:space="preserve">BD-ST-083</t>
  </si>
  <si>
    <t xml:space="preserve">Next Ventures</t>
  </si>
  <si>
    <t xml:space="preserve">IT Services</t>
  </si>
  <si>
    <t xml:space="preserve">Digital Product Portfolio &amp; Proprietary Trading</t>
  </si>
  <si>
    <t xml:space="preserve">No (Self-funded bootstrapped model)</t>
  </si>
  <si>
    <t xml:space="preserve">BD-ST-084</t>
  </si>
  <si>
    <t xml:space="preserve">Turtle Venture</t>
  </si>
  <si>
    <t xml:space="preserve">Venture studio / ecosystem operator</t>
  </si>
  <si>
    <t xml:space="preserve">Venture Studio</t>
  </si>
  <si>
    <t xml:space="preserve">Venture Studio &amp; Advisory Fees</t>
  </si>
  <si>
    <t xml:space="preserve">No (Acts as an incubator/program operator itself)</t>
  </si>
  <si>
    <t xml:space="preserve">BD-ST-085</t>
  </si>
  <si>
    <t xml:space="preserve">Tipsoi</t>
  </si>
  <si>
    <t xml:space="preserve">B2B SaaS</t>
  </si>
  <si>
    <t xml:space="preserve">Yes (Accelerating Asia Cohort 11, Orbit 10)</t>
  </si>
  <si>
    <t xml:space="preserve">BD-ST-086</t>
  </si>
  <si>
    <t xml:space="preserve">Dana</t>
  </si>
  <si>
    <t xml:space="preserve">Fintech / AI Credit Scoring</t>
  </si>
  <si>
    <t xml:space="preserve">B2B Embedded Finance &amp; API Licensing</t>
  </si>
  <si>
    <t xml:space="preserve">Yes (Accelerating Asia Cohort 5) and Yes (Approved Portfolio Member) ( startup bd)</t>
  </si>
  <si>
    <t xml:space="preserve">BD-ST-087</t>
  </si>
  <si>
    <t xml:space="preserve">trackersbd</t>
  </si>
  <si>
    <t xml:space="preserve">IoT / Vehicle Tracking</t>
  </si>
  <si>
    <t xml:space="preserve">B2C/B2B Hardware &amp; SaaS Subscription</t>
  </si>
  <si>
    <t xml:space="preserve">No (Direct commercial launch)</t>
  </si>
  <si>
    <t xml:space="preserve">BD-ST-088</t>
  </si>
  <si>
    <t xml:space="preserve">Easytrax</t>
  </si>
  <si>
    <t xml:space="preserve">IoT / Fleet Tracking</t>
  </si>
  <si>
    <t xml:space="preserve">B2B/B2C Fleet Management Subscription</t>
  </si>
  <si>
    <t xml:space="preserve">BD-ST-089</t>
  </si>
  <si>
    <t xml:space="preserve">Bondstein Technologies</t>
  </si>
  <si>
    <t xml:space="preserve">Internet of Things (IoT) &amp; Smart Logistics (Telematics)</t>
  </si>
  <si>
    <t xml:space="preserve">BD-ST-090</t>
  </si>
  <si>
    <t xml:space="preserve">SOLshare</t>
  </si>
  <si>
    <t xml:space="preserve">ClimateTech, Renewable Energy &amp; Clean Mobility</t>
  </si>
  <si>
    <t xml:space="preserve">B2B &amp; B2C Peer-to-Peer Energy Trading</t>
  </si>
  <si>
    <t xml:space="preserve">Yes (Savant Build Program, Free Electrons Global)</t>
  </si>
  <si>
    <t xml:space="preserve">BD-ST-091</t>
  </si>
  <si>
    <t xml:space="preserve">BongoBD</t>
  </si>
  <si>
    <t xml:space="preserve">Media / Streaming</t>
  </si>
  <si>
    <t xml:space="preserve">Media</t>
  </si>
  <si>
    <t xml:space="preserve">Freemium AVOD, SVOD &amp; Content Licensing</t>
  </si>
  <si>
    <t xml:space="preserve">No (Direct enterprise expansion growth)</t>
  </si>
  <si>
    <t xml:space="preserve">BD-ST-092</t>
  </si>
  <si>
    <t xml:space="preserve">Chorki</t>
  </si>
  <si>
    <t xml:space="preserve">Media / OTT Streaming</t>
  </si>
  <si>
    <t xml:space="preserve">Subscription Video on Demand (SVOD)</t>
  </si>
  <si>
    <t xml:space="preserve">No (Launched internally under Transcom media group)</t>
  </si>
  <si>
    <t xml:space="preserve">BD-ST-093</t>
  </si>
  <si>
    <t xml:space="preserve">Bdjobs.com</t>
  </si>
  <si>
    <t xml:space="preserve">Established corporation</t>
  </si>
  <si>
    <t xml:space="preserve">HR Tech / Job Portal</t>
  </si>
  <si>
    <t xml:space="preserve">B2B Enterprise Listing Fees &amp; Premium B2C Services</t>
  </si>
  <si>
    <t xml:space="preserve">No (Pre-dates the local accelerator ecosystem)</t>
  </si>
  <si>
    <t xml:space="preserve">BD-ST-094</t>
  </si>
  <si>
    <t xml:space="preserve">ParentsCare</t>
  </si>
  <si>
    <t xml:space="preserve">HealthTech / Parenting</t>
  </si>
  <si>
    <t xml:space="preserve">B2C Medical Service Commissions &amp; Subscription</t>
  </si>
  <si>
    <t xml:space="preserve">Yes (BYLC Ventures Cohort) and Yes (Seed pipeline support portfolio) ( startup bd)</t>
  </si>
  <si>
    <t xml:space="preserve">BD-ST-096</t>
  </si>
  <si>
    <t xml:space="preserve">Sheba.xyz (Sheba Platform)</t>
  </si>
  <si>
    <t xml:space="preserve">On-demand Services Marketplace</t>
  </si>
  <si>
    <t xml:space="preserve">Transactional Marketplace Commission &amp; SaaS</t>
  </si>
  <si>
    <t xml:space="preserve">Yes (Approved Portfolio Member)</t>
  </si>
  <si>
    <t xml:space="preserve">BD-ST-097</t>
  </si>
  <si>
    <t xml:space="preserve">Grameenphone</t>
  </si>
  <si>
    <t xml:space="preserve">Telecommunications &amp; Digital Services (Telecom)</t>
  </si>
  <si>
    <t xml:space="preserve">Telecom Enterprise Services &amp; B2B Solutions</t>
  </si>
  <si>
    <t xml:space="preserve">(Operates its own cohort engine: GP Accelerator)</t>
  </si>
  <si>
    <t xml:space="preserve">BD-ST-098</t>
  </si>
  <si>
    <t xml:space="preserve">InstaCOD</t>
  </si>
  <si>
    <t xml:space="preserve">B2B E-commerce Logistics &amp; Transaction Fees</t>
  </si>
  <si>
    <t xml:space="preserve">Yes (Early-stage local logistics incubator loops)</t>
  </si>
  <si>
    <t xml:space="preserve">Closed; last active mid-2024</t>
  </si>
  <si>
    <t xml:space="preserve">BD-ST-099</t>
  </si>
  <si>
    <t xml:space="preserve">PulseTechWeb</t>
  </si>
  <si>
    <t xml:space="preserve">B2B E-commerce Margin &amp; Procurement Fees</t>
  </si>
  <si>
    <t xml:space="preserve">Yes (Accelerating Asia Cohort mapping)</t>
  </si>
  <si>
    <t xml:space="preserve">BD-ST-100</t>
  </si>
  <si>
    <t xml:space="preserve">Lifeplus Bd</t>
  </si>
  <si>
    <t xml:space="preserve">Transactional Health Services &amp; Diagnostics Markup</t>
  </si>
  <si>
    <t xml:space="preserve">No (Internal project of Labaid Group corporate framework)</t>
  </si>
  <si>
    <t xml:space="preserve">IN-ST-001</t>
  </si>
  <si>
    <t xml:space="preserve">Ola</t>
  </si>
  <si>
    <t xml:space="preserve">India</t>
  </si>
  <si>
    <t xml:space="preserve">Bengaluru</t>
  </si>
  <si>
    <t xml:space="preserve">Year</t>
  </si>
  <si>
    <t xml:space="preserve">B2C ride-hailing aggregator app connecting riders with drivers; also autos, bikes, outstation</t>
  </si>
  <si>
    <t xml:space="preserve">Bachelor's, IIT Bombay (both founders)</t>
  </si>
  <si>
    <t xml:space="preserve">Sourced</t>
  </si>
  <si>
    <t xml:space="preserve">Operated by ANI Technologies; Ola Electric is a separate group entity.</t>
  </si>
  <si>
    <t xml:space="preserve">Crunchbase News 11-Oct-2017 (Ola $1.1B round led by Tencent); Ola press release 11-Oct-2017 (olacabs.com); Economic Times 2017 profile (founders Bhavish Aggarwal &amp; Ankit Bhati, IIT Bombay, Bangalore, launched 2010); Wikipedia 'Ola Consumer' (founded 3 Dec 2010, HQ Bangalore)</t>
  </si>
  <si>
    <t xml:space="preserve">2026-10-19</t>
  </si>
  <si>
    <t xml:space="preserve">IN-ST-002</t>
  </si>
  <si>
    <t xml:space="preserve">Swiggy</t>
  </si>
  <si>
    <t xml:space="preserve">Online food ordering and delivery marketplace; collects commissions from restaurants plus delivery fees; also grocery (Instamart)</t>
  </si>
  <si>
    <t xml:space="preserve">MBA, IIM Calcutta (Sriharsha Majety); BITS Pilani; IIT Kharagpur</t>
  </si>
  <si>
    <t xml:space="preserve">Listed on NSE/BSE Nov 2024; operates Instamart quick-commerce arm.</t>
  </si>
  <si>
    <t xml:space="preserve">TechCrunch 20-Jul-2021 (Swiggy $1.25B Series J); Forbes India 30-Under-30 2017 (founders Sriharsha Majety, Nandan Reddy, Rahul Jaimini; founded Aug 2014; restaurant commissions; Bundl predecessor); TechCircle 2016 (founders, Aug 2014)</t>
  </si>
  <si>
    <t xml:space="preserve">IN-ST-003</t>
  </si>
  <si>
    <t xml:space="preserve">Freshworks</t>
  </si>
  <si>
    <t xml:space="preserve">Chennai</t>
  </si>
  <si>
    <t xml:space="preserve">B2B SaaS: CRM, customer support (Freshdesk) and IT service management software sold on subscription</t>
  </si>
  <si>
    <t xml:space="preserve">Founded in Chennai 2010; corporate HQ later moved to San Mateo, US (recorded as founding HQ Chennai).</t>
  </si>
  <si>
    <t xml:space="preserve">TechStory/Moneycontrol 2021 (Freshworks $150M Series H Nov 2019, Accel/CapitalG; founded 2010 by Girish Mathrubootham &amp; Shan Krishnasamy as Freshdesk; Chennai); Global Venturing 2021 ($1.03B Nasdaq IPO Sep 2021)</t>
  </si>
  <si>
    <t xml:space="preserve">IN-ST-004</t>
  </si>
  <si>
    <t xml:space="preserve">Razorpay</t>
  </si>
  <si>
    <t xml:space="preserve">B2B fintech: payment gateway plus neo-banking and lending for businesses</t>
  </si>
  <si>
    <t xml:space="preserve">Y Combinator (Winter 2015)</t>
  </si>
  <si>
    <t xml:space="preserve">Bachelor's, IIT Roorkee (both founders)</t>
  </si>
  <si>
    <t xml:space="preserve">Relocated from Jaipur to Bengaluru early on; first Y Combinator-backed Indian unicorn per TechCrunch.</t>
  </si>
  <si>
    <t xml:space="preserve">TechCrunch 18-Apr-2021 (Razorpay $160M Series E; Y Combinator-backed; Bangalore-based); Moneycontrol 19-Apr-2021 (co-founders Harshil Mathur &amp; Shashank Kumar); Economic Times 2025 (founded 2014, first Indian fintech funded by YC)</t>
  </si>
  <si>
    <t xml:space="preserve">IN-ST-005</t>
  </si>
  <si>
    <t xml:space="preserve">CRED</t>
  </si>
  <si>
    <t xml:space="preserve">Members-only credit-card bill payments app with rewards; expanded into lending, UPI, insurance</t>
  </si>
  <si>
    <t xml:space="preserve">Bachelor's in Philosophy, Wilson College (dropped out of NMIMS part-time MBA)</t>
  </si>
  <si>
    <t xml:space="preserve">Serial entrepreneur: previously co-founded FreeCharge (2010), acquired by Snapdeal in 2015.</t>
  </si>
  <si>
    <t xml:space="preserve">The HinduBusinessLine 06-Apr-2021 (CRED $215M Series D at $2.2B); HinduBusinessLine (founded 2018 by Kunal Shah; FreeCharge co-founder 2010, acquired by Snapdeal 2015)</t>
  </si>
  <si>
    <t xml:space="preserve">IN-ST-006</t>
  </si>
  <si>
    <t xml:space="preserve">Meesho</t>
  </si>
  <si>
    <t xml:space="preserve">Three-sided social commerce marketplace connecting suppliers, resellers and customers; resellers sell via WhatsApp/Facebook/Instagram</t>
  </si>
  <si>
    <t xml:space="preserve">Y Combinator participation verified via TechCrunch as earliest investor; founders described as 'the two engineers'.</t>
  </si>
  <si>
    <t xml:space="preserve">TechCrunch 29-Sep-2021 (Meesho $570M Series F at $4.9B; Bangalore-headquartered; founded 2015 by Vidit Aatrey &amp; Sanjeev Barnwal; Y Combinator among earliest investors; three-sided marketplace)</t>
  </si>
  <si>
    <t xml:space="preserve">IN-ST-007</t>
  </si>
  <si>
    <t xml:space="preserve">PharmEasy</t>
  </si>
  <si>
    <t xml:space="preserve">Mumbai</t>
  </si>
  <si>
    <t xml:space="preserve">Online pharmacy marketplace connecting customers with 60,000+ brick-and-mortar pharmacies and 4,000+ doctors; medicine delivery and diagnostics (acquired Thyrocare 2021)</t>
  </si>
  <si>
    <t xml:space="preserve">Parent API Holdings; IPO plans deferred but company continues operating.</t>
  </si>
  <si>
    <t xml:space="preserve">CIOL Apr-2021 / VCCircle (API Holdings $350M Series E, Prosus Ventures &amp; TPG Growth); YourStory Jun-2021 (Mumbai-headquartered; founders Dharmil Sheth, Dhaval Shah, Harsh Parekh, Hardik Dedhia, Siddharth Shah); Economic Times (closed $350M pre-IPO round Oct 2021)</t>
  </si>
  <si>
    <t xml:space="preserve">IN-ST-008</t>
  </si>
  <si>
    <t xml:space="preserve">Lenskart</t>
  </si>
  <si>
    <t xml:space="preserve">Faridabad</t>
  </si>
  <si>
    <t xml:space="preserve">Omnichannel D2C eyewear retailer (online + stores); vertically integrated design, manufacturing, distribution and retail</t>
  </si>
  <si>
    <t xml:space="preserve">Bachelor's in electrical engineering, McGill University; IIM Bangalore entrepreneurship programme (Peyush Bansal)</t>
  </si>
  <si>
    <t xml:space="preserve">Founding year/HQ vary by source: 2010 per Wikipedia/Testbook (Lenskart launch; Valyoo Technologies registered 2008 per Inc42); HQ reported as Faridabad (Testbook, VnExpress) or Gurugram (Inc42, Gulf Business). Recorded 2010 / Faridabad per majority company-profile sources.</t>
  </si>
  <si>
    <t xml:space="preserve">EquityPandit 16-Mar-2023 / ETtech (Lenskart $500M from ADIA, Mar 2023); Testbook/Gulf Business (founded 2010 by Peyush Bansal, Amit Chaudhary, Sumeet Kapahi); StartupTalky (Bansal's first startup SearchMycampus, 2007)</t>
  </si>
  <si>
    <t xml:space="preserve">IN-ST-009</t>
  </si>
  <si>
    <t xml:space="preserve">Nykaa</t>
  </si>
  <si>
    <t xml:space="preserve">Omnichannel beauty and fashion retailer; inventory-based e-commerce plus offline stores</t>
  </si>
  <si>
    <t xml:space="preserve">Parent FSN E-Commerce Ventures; IPO Nov 2021, listed on NSE/BSE.</t>
  </si>
  <si>
    <t xml:space="preserve">TechStory/Inc42 2021 (Nykaa ~$25M Steadview Capital Mar 2020 at $1.2B; founded 2012 by Falguni Nayar, Mumbai); YourStory Nov-2021 (IPO Nov 2021, first profitable Indian startup IPO); TechCircle 2014 (inventory-based model)</t>
  </si>
  <si>
    <t xml:space="preserve">IN-ST-010</t>
  </si>
  <si>
    <t xml:space="preserve">Paytm</t>
  </si>
  <si>
    <t xml:space="preserve">Noida</t>
  </si>
  <si>
    <t xml:space="preserve">Digital payments platform (wallet, UPI, QR/Soundbox for merchants, payment gateway) plus financial services</t>
  </si>
  <si>
    <t xml:space="preserve">Delhi College of Engineering (Delhi Technological University)</t>
  </si>
  <si>
    <t xml:space="preserve">Operated by One97 Communications; listed on Indian exchanges Nov 2021.</t>
  </si>
  <si>
    <t xml:space="preserve">Indian Express 18-May-2017 / The HinduBusinessLine (SoftBank $1.4B May 2017; founded 2010 by Vijay Shekhar Sharma); Wikipedia 'Paytm' (HQ Noida, founded 2010, IPO Nov 2021)</t>
  </si>
  <si>
    <t xml:space="preserve">IN-ST-011</t>
  </si>
  <si>
    <t xml:space="preserve">boAt</t>
  </si>
  <si>
    <t xml:space="preserve">Delhi</t>
  </si>
  <si>
    <t xml:space="preserve">Consumer electronics brand: audio products (headphones, earbuds, speakers) and wearables sold D2C and via marketplaces</t>
  </si>
  <si>
    <t xml:space="preserve">Legal entity Imagine Marketing; founded 2013, brand launched 2016.</t>
  </si>
  <si>
    <t xml:space="preserve">TechCrunch 05-Jan-2021 (boAt $100M Series B from Warburg Pincus; Delhi-based; profitable hardware startup); ElectronicsForYou (founded 2013 by Sameer Mehta &amp; Aman Gupta, launched 2016); M&amp;A Critique (follow-on funding Oct 2022)</t>
  </si>
  <si>
    <t xml:space="preserve">IN-ST-012</t>
  </si>
  <si>
    <t xml:space="preserve">Delhivery</t>
  </si>
  <si>
    <t xml:space="preserve">Gurgaon</t>
  </si>
  <si>
    <t xml:space="preserve">Third-party logistics: express parcel, freight (including freight exchange platform connecting consigners, agents and truckers), warehousing and supply chain for e-commerce and SMEs</t>
  </si>
  <si>
    <t xml:space="preserve">Listed on NSE/BSE 2022; began as a hyperlocal food delivery service in 2011 before pivoting to logistics.</t>
  </si>
  <si>
    <t xml:space="preserve">TechCrunch 30-May-2021 (Delhivery $277M, Fidelity-led; Gurgaon-headquartered; freight exchange platform); Wikipedia 'Delhivery' (founded May 2011; HQ Gurgaon; founders Sahil Barua, Mohit Tandon, Bhavesh Manglani, Suraj Saharan, Kapil Bharati); Dealroom (founding team engineering background)</t>
  </si>
  <si>
    <t xml:space="preserve">IN-ST-013</t>
  </si>
  <si>
    <t xml:space="preserve">OYO</t>
  </si>
  <si>
    <t xml:space="preserve">Gurugram</t>
  </si>
  <si>
    <t xml:space="preserve">Budget hotel aggregation/franchise network; standardizes independent hotels and takes about 25% cut of bookings</t>
  </si>
  <si>
    <t xml:space="preserve">College dropout (Thiel Fellow)</t>
  </si>
  <si>
    <t xml:space="preserve">Filed DRHP with SEBI in 2021 for IPO; remains privately held and operating.</t>
  </si>
  <si>
    <t xml:space="preserve">TechCrunch 25-Sep-2018 (OYO $1B, SoftBank Vision Fund-led; started May 2013 by Thiel Fellow Ritesh Agarwal); The HinduBusinessLine (founder Ritesh Agarwal, college dropout; first hotel Gurugram); Bloomberg via Economic Times (25% cut of bookings; HQ near New Delhi)</t>
  </si>
  <si>
    <t xml:space="preserve">IN-ST-014</t>
  </si>
  <si>
    <t xml:space="preserve">Urban Company</t>
  </si>
  <si>
    <t xml:space="preserve">On-demand home services marketplace (beauty, repairs, cleaning, etc.); customers book via app; revenue from service partners</t>
  </si>
  <si>
    <t xml:space="preserve">Formerly UrbanClap (rebranded 2020); became unicorn with the Apr 2021 round.</t>
  </si>
  <si>
    <t xml:space="preserve">YourStory Apr-2021 / VCCircle (Urban Company $188M, Prosus-led, Series F); VCCircle (founded 2014 by Abhiraj Singh Bhal, Varun Khaitan, Raghav Chandra; Gurugram; on-demand home services marketplace)</t>
  </si>
  <si>
    <t xml:space="preserve">IN-ST-015</t>
  </si>
  <si>
    <t xml:space="preserve">Ather Energy</t>
  </si>
  <si>
    <t xml:space="preserve">Electric two-wheeler OEM: smart connected scooters (Ather 450X) sold via experience centres; operates own fast-charging network (Ather Grid)</t>
  </si>
  <si>
    <t xml:space="preserve">IIT Madras (both founders, engineering)</t>
  </si>
  <si>
    <t xml:space="preserve">IPO process underway per 2025 filings; early backing from Flipkart founders Sachin and Binny Bansal and Tiger Global per YourStory.</t>
  </si>
  <si>
    <t xml:space="preserve">The Hindu/PTI 12-May-2022 (Ather $128M Series E, NIIFL &amp; Hero MotoCorp); YourStory 2018 / ThePrint 2021 (founded 2013 in Bengaluru by IIT Madras alumni Tarun Mehta &amp; Swapnil Jain)</t>
  </si>
  <si>
    <t xml:space="preserve">IN-ST-016</t>
  </si>
  <si>
    <t xml:space="preserve">Groww</t>
  </si>
  <si>
    <t xml:space="preserve">Retail investment platform: mutual funds, stocks, ETFs and IPOs via app</t>
  </si>
  <si>
    <t xml:space="preserve">Founding year cited as 2016 (HinduBusinessLine, Reuters) vs 2017 (Business Standard); recorded 2016.</t>
  </si>
  <si>
    <t xml:space="preserve">TechCrunch 24-Oct-2021 (Groww $251M Series E at $3B, ICONIQ Growth-led; Bangalore-based); The HinduBusinessLine (started 2016; founders Lalit Keshre, Harsh Jain, Neeraj Singh, Ishan Bansal); Business Standard (founders are former Flipkart employees)</t>
  </si>
  <si>
    <t xml:space="preserve">IN-ST-017</t>
  </si>
  <si>
    <t xml:space="preserve">Unacademy</t>
  </si>
  <si>
    <t xml:space="preserve">Online test-preparation edtech: live classes from educators sold on subscription; competitive exams and graduate courses</t>
  </si>
  <si>
    <t xml:space="preserve">Operated by Sorting Hat Technologies; began as a YouTube channel in 2010 before incorporation.</t>
  </si>
  <si>
    <t xml:space="preserve">TechCrunch 02-Sep-2020 (Unacademy $150M Series F at $1.45B, SoftBank Vision Fund 2-led; Bangalore-based; subscription service for live classes); TechCircle (founded 2015 by Gaurav Munjal, Roman Saini, Hemesh Singh)</t>
  </si>
  <si>
    <t xml:space="preserve">IN-ST-018</t>
  </si>
  <si>
    <t xml:space="preserve">Vedantu</t>
  </si>
  <si>
    <t xml:space="preserve">Live online tutoring for K12 students (grades 1-12) and competitive exams (IIT-JEE, NEET)</t>
  </si>
  <si>
    <t xml:space="preserve">Founding year cited as 2011 (Economic Times) vs 2014 (Moneycontrol); recorded 2011.</t>
  </si>
  <si>
    <t xml:space="preserve">The HinduBusinessLine 30-Sep-2021 (Vedantu $100M Series E at $1B, ABC World Asia-led); Economic Times (founded 2011 by Vamsi Krishna, Anand Prakash, Saurabh Saxena, Pulkit Jain; Bengaluru); TechCrunch (via NextBillion 29-Sep-2021)</t>
  </si>
  <si>
    <t xml:space="preserve">IN-ST-019</t>
  </si>
  <si>
    <t xml:space="preserve">Mamaearth</t>
  </si>
  <si>
    <t xml:space="preserve">D2C personal care brand (Honasa Consumer): toxin-free baby, skin and hair care products sold online and offline</t>
  </si>
  <si>
    <t xml:space="preserve">Parent Honasa Consumer listed on Indian exchanges Nov 2023.</t>
  </si>
  <si>
    <t xml:space="preserve">Moneycontrol 26-Jul-2021 (Mamaearth $50M, Sofina Ventures-led, at $730M); YourStory Dec-2021 (founded 2016 by Varun &amp; Ghazal Alagh; Gurugram-based D2C brand); VCCircle (follow-on $52M Series F, Sequoia-led, Jan 2022)</t>
  </si>
  <si>
    <t xml:space="preserve">IN-ST-020</t>
  </si>
  <si>
    <t xml:space="preserve">Blinkit</t>
  </si>
  <si>
    <t xml:space="preserve">Quick-commerce grocery delivery promising 10-minute delivery from dark stores; formerly Grofers</t>
  </si>
  <si>
    <t xml:space="preserve">MBA, Columbia Business School (Albinder Dhindsa); Master's in Transportation Engineering, UT Austin (Saurabh Kumar); IIT Delhi / IIT Bombay undergrad</t>
  </si>
  <si>
    <t xml:space="preserve">Acquired by Zomato in Jun 2022 in an all-stock deal of Rs 4,447 crore (~$568M) approved 24-Jun-2022, per Times of India/LawStreet; now a subsidiary of Eternal Ltd (formerly Zomato Ltd).</t>
  </si>
  <si>
    <t xml:space="preserve">ETtech via Economic Times (Blinkit $120M Jun 2021 from Zomato &amp; Tiger Global; $100M Zomato convertible notes Mar 2022); Times of India / LawStreet Jun-2022 (Zomato board approved acquisition, Rs 4,447 crore all-stock, 24-Jun-2022); Wikipedia 'Blinkit' (founded Dec 2013 as Grofers by Albinder Dhindsa &amp; Saurabh Kumar; HQ Gurgaon)</t>
  </si>
  <si>
    <t xml:space="preserve">IN-ST-021</t>
  </si>
  <si>
    <t xml:space="preserve">Koo</t>
  </si>
  <si>
    <t xml:space="preserve">Multilingual microblogging social network (positioned as India's alternative to X/Twitter); ad-supported</t>
  </si>
  <si>
    <t xml:space="preserve">Shut down 3-Jul-2024 after partnership/acquisition talks (incl. Dailyhunt) failed, announced by founders on LinkedIn, per Financial Express (Reuters). Wikipedia lists company founded 14-Nov-2019, app launched early 2020; recorded founding year 2020 per launch.</t>
  </si>
  <si>
    <t xml:space="preserve">Indian Express / Business Standard / TechCircle 26-May-2021 (Koo $30M Series B, Tiger Global-led); TechCircle (founders Aprameya Radhakrishna &amp; Mayank Bidawatka; Radhakrishna founded TaxiForSure); Financial Express (Reuters) 03-Jul-2024 (Koo discontinues service Jul 2024 after partnership talks fail); Wikipedia 'Koo' (HQ Bengaluru; dissolved 3-Jul-2024)</t>
  </si>
  <si>
    <t xml:space="preserve">IN-ST-022</t>
  </si>
  <si>
    <t xml:space="preserve">Chargebee</t>
  </si>
  <si>
    <t xml:space="preserve">B2B SaaS: subscription billing and revenue management platform for subscription businesses</t>
  </si>
  <si>
    <t xml:space="preserve">Bachelor's in Computer Science Engineering, AVC College of Engineering (co-founder Krish Subramanian)</t>
  </si>
  <si>
    <t xml:space="preserve">ETtech describes as 'Chennai-and-San Francisco-based'; recorded HQ Chennai (founding HQ).</t>
  </si>
  <si>
    <t xml:space="preserve">ETtech 08-Feb-2022 (Chargebee $250M, Tiger Global &amp; Sequoia co-led, at $3.5B; Chennai-and-San Francisco-based); Inc42 (founded 2011 by Krish Subramanian, Rajaraman Santhanam, Saravanan KP, Thiyagarajan T; Chennai); The HinduBusinessLine (subscription billing/revenue management platform; Krish CS engineering degree 2001, AVC College)</t>
  </si>
  <si>
    <t xml:space="preserve">IN-ST-101</t>
  </si>
  <si>
    <t xml:space="preserve">Stayzilla</t>
  </si>
  <si>
    <t xml:space="preserve">Homestay/alternate-stay online aggregator and marketplace (Airbnb of India); pivoted from budget hotels to homestays in late 2015</t>
  </si>
  <si>
    <t xml:space="preserve">Announced halt of operations in current form on 23-Feb-2017; ET dates founding to 2007 (Inasra Technologies, rebranded Stayzilla in 2010). Failed case, funded.</t>
  </si>
  <si>
    <t xml:space="preserve">The Economic Times, 24-Feb-2017: 'Stayzilla suspends operations, to reboot with new business model' (blog announcement by co-founder/CEO Yogendra Vasupal; bookings after 28-Feb-2017 cancelled/refunded); accessed 2026-10-19</t>
  </si>
  <si>
    <t xml:space="preserve">IN-ST-102</t>
  </si>
  <si>
    <t xml:space="preserve">PepperTap</t>
  </si>
  <si>
    <t xml:space="preserve">Mobile-first hyperlocal/on-demand grocery delivery marketplace connecting consumers with neighbourhood kirana stores (inventory-less); acquired Jiffstore (late 2015)</t>
  </si>
  <si>
    <t xml:space="preserve">Shut consumer grocery operations April 2016; pivoted to parent Nuvo Logistics (later sold to Shadowfax 2017). Coded Closed for the consumer startup entity per contemporaneous reports. Failed case, funded.</t>
  </si>
  <si>
    <t xml:space="preserve">Moneycontrol, 25-Apr-2016: 'PepperTap shuts grocery delivery ops, 150 staffers laid off' (CEO Navneet Singh statement); ET year-ender '10 startups that shut down in 2016'; accessed 2026-10-19</t>
  </si>
  <si>
    <t xml:space="preserve">IN-ST-103</t>
  </si>
  <si>
    <t xml:space="preserve">AskMe</t>
  </si>
  <si>
    <t xml:space="preserve">Consumer internet search/classifieds platform expanded into e-commerce (Askmebazaar), grocery, payments, furniture (Mebelkart); operated by Getit Infoservices</t>
  </si>
  <si>
    <t xml:space="preserve">Shut down Aug 2016 after investor Astro Holdings stopped funding; ~4,000 employees laid off. AskMe.com launched 2010 as classifieds; AskMeBazaar launched 2012. HQ city not verified in sources — left null. Failed case, funded.</t>
  </si>
  <si>
    <t xml:space="preserve">Financial Express, 20-Aug-2016: 'Askme shuts ops after non-payment of dues'; Moneycontrol, 22-Aug-2016: '4,000 lose jobs as AskMe shuts down'; accessed 2026-10-19</t>
  </si>
  <si>
    <t xml:space="preserve">IN-ST-104</t>
  </si>
  <si>
    <t xml:space="preserve">TinyOwl</t>
  </si>
  <si>
    <t xml:space="preserve">Food-ordering/delivery platform aggregating restaurants; discount-led growth, owned delivery initially</t>
  </si>
  <si>
    <t xml:space="preserve">IIT Bombay (graduates; degree level unspecified)</t>
  </si>
  <si>
    <t xml:space="preserve">Shut down operations May 2016 after mass layoffs, then merged into hyperlocal logistics startup Roadrunnr (June 2016), rebranded Runnr; Runnr later acquired by Zomato 2017. Coded Acquired with closure event. Only one co-founder name verified in sources.</t>
  </si>
  <si>
    <t xml:space="preserve">ET, Dec-2016: 'Foodtech resembled a startup graveyard in 2016' (shut operations May 2016; acquired by Roadrunnr June 2016, rebranded Runnr); GadgetsNow year-ender; accessed 2026-10-19</t>
  </si>
  <si>
    <t xml:space="preserve">IN-ST-105</t>
  </si>
  <si>
    <t xml:space="preserve">TaskBob</t>
  </si>
  <si>
    <t xml:space="preserve">On-demand home services aggregator (appliance repair, cleaning); commission per booking; acquired Zepper (2015)</t>
  </si>
  <si>
    <t xml:space="preserve">MBA, IIM Ahmedabad (co-founder Abhiroop Medhekar); IIT Bombay computer engineering</t>
  </si>
  <si>
    <t xml:space="preserve">Shut down 19-Jan-2017; founder cited low margins and inability to scale profitably; failed acquisition talks preceded closure. Co-founder Aseem Khare had previously launched venture Shaukk (serial entrepreneur). Failed case, funded.</t>
  </si>
  <si>
    <t xml:space="preserve">The Indian Express, 20-Jan-2017: 'Home services startup Taskbob shuts shop' (CEO Aseem Khare email: operations shut as of 19-Jan-2017); TechCircle 20-Jan-2017; accessed 2026-10-19</t>
  </si>
  <si>
    <t xml:space="preserve">IN-ST-106</t>
  </si>
  <si>
    <t xml:space="preserve">Fashionara</t>
  </si>
  <si>
    <t xml:space="preserve">Online fashion and lifestyle e-tailer (apparel, accessories, footwear); pivoted from pure-play portal to marketplace in 2014</t>
  </si>
  <si>
    <t xml:space="preserve">Closed May 2016 after unsuccessful attempts to raise money or find buyers; net loss Rs 32.13 crore in FY15. Failed case, funded.</t>
  </si>
  <si>
    <t xml:space="preserve">TechStory, 28-May-2016: 'Lifestyle E-tailer Fashionara Backed by VC Shuts Shop' (website/app inaccessible); ET year-ender '10 startups that shut down in 2016' (closed business May 2016); accessed 2026-10-19</t>
  </si>
  <si>
    <t xml:space="preserve">IN-ST-107</t>
  </si>
  <si>
    <t xml:space="preserve">Koovs</t>
  </si>
  <si>
    <t xml:space="preserve">Online fashion e-retailer for the Indian market (western fashion, private label + brands); UK-listed on AIM 2014</t>
  </si>
  <si>
    <t xml:space="preserve">Koovs India established May 2010 by the four named founders (VCCircle); Waheed Alli/Robert Bready founded the London plc vehicle in 2012. Placed into administration Dec 2019 after Future Group's £6.5M investment failed; assets bought by Alli's SGIK 3 Investments in pre-pack rescue. Coded Acquired with closure event. Failed case, funded.</t>
  </si>
  <si>
    <t xml:space="preserve">Reuters via Zawya, Dec-2019: 'Koovs sold by administrators as Indian FLF fails to invest'; Drapers, 11-Dec-2019: 'Indian etailer Koovs rescued from administration'; VCCircle founding history; accessed 2026-10-19</t>
  </si>
  <si>
    <t xml:space="preserve">IN-ST-108</t>
  </si>
  <si>
    <t xml:space="preserve">ShopX</t>
  </si>
  <si>
    <t xml:space="preserve">B2B e-commerce enablement platform connecting brands/wholesalers with kirana stores and small retailers; later FMCG distribution and a consumer cashback app</t>
  </si>
  <si>
    <t xml:space="preserve">Wound down operations 2022 citing unsustainable low-margin business and inability to meet loan obligations; filed for corporate insolvency. Founding year reported as 2014 (VCCircle) vs 2015 (ET) — coded 2014. Failed case, funded.</t>
  </si>
  <si>
    <t xml:space="preserve">The Hindu BusinessLine, Aug-2022: 'Nandan Nilekani-backed ShopX shuts shop' (insolvency application filed; company statement: 'took the hard decision to close the business'); VCCircle on IBC Section 10 filing; accessed 2026-10-19</t>
  </si>
  <si>
    <t xml:space="preserve">IN-ST-109</t>
  </si>
  <si>
    <t xml:space="preserve">Dazo</t>
  </si>
  <si>
    <t xml:space="preserve">Curated food-delivery app (internet kitchen pivoting to restaurant aggregator); started as TapCibo</t>
  </si>
  <si>
    <t xml:space="preserve">Indian School of Business (co-founder Shashaank Shekhar Singhal)</t>
  </si>
  <si>
    <t xml:space="preserve">Shut operations October 2016 barely a year after launch; wafer-thin margins and high cash burn cited. Failed case, funded (angel rounds only; no institutional VC disclosed).</t>
  </si>
  <si>
    <t xml:space="preserve">TechCircle, 29-Dec-2015: 'Recap 2015: Ten startups that lost their way' (Dazo 'shut shop in early October'); ET year-ender Dec-2016 confirms shutdown Oct 2016; accessed 2026-10-19</t>
  </si>
  <si>
    <t xml:space="preserve">IN-ST-110</t>
  </si>
  <si>
    <t xml:space="preserve">DoneByNone</t>
  </si>
  <si>
    <t xml:space="preserve">Web-only women's fashion private-label brand (bags, clothes, accessories, shoes); launched as Handspick.com (Feb 2011), rebranded 2012/2013</t>
  </si>
  <si>
    <t xml:space="preserve">Went offline/inactive early 2015; both co-founders quit after failing to raise fresh funding (Seedfund investor Shailesh Vikram Singh confirmed). HQ city not verified in sources — left null. Failed case, funded.</t>
  </si>
  <si>
    <t xml:space="preserve">MediaNama, Jan-2015: 'Online private label DoneByNone goes offline' (site down; co-founders quit over failure to raise follow-on capital); TechCircle/VCCircle 'Recap 2015' (went inactive January 2015); accessed 2026-10-19</t>
  </si>
  <si>
    <t xml:space="preserve">IN-ST-111</t>
  </si>
  <si>
    <t xml:space="preserve">Doodhwala</t>
  </si>
  <si>
    <t xml:space="preserve">Subscription-based micro-delivery of fresh milk and groceries to doorsteps by 7am (Bengaluru, Pune, Hyderabad)</t>
  </si>
  <si>
    <t xml:space="preserve">Halted operations Oct 2019; FreshToHome paid ~Rs 3-4 crore for its customer base and provided migration path (FreshToHome CEO denied a formal company acquisition). Coded Acquired with closure event. Failed case, funded.</t>
  </si>
  <si>
    <t xml:space="preserve">ET, 15-Oct-2019: 'Doodhwala comes via FreshToHome' (halted operations, redirected customers to FreshToHome); Inc42, 14-Oct-2019: 'Doodhwala Shuts Down, FreshToHome Supports Its Delivery Services'; accessed 2026-10-19</t>
  </si>
  <si>
    <t xml:space="preserve">IN-ST-112</t>
  </si>
  <si>
    <t xml:space="preserve">Supr Daily</t>
  </si>
  <si>
    <t xml:space="preserve">Subscription-based morning delivery of daily consumables (milk, bread, eggs, groceries) by 7am, direct farm-to-consumer model</t>
  </si>
  <si>
    <t xml:space="preserve">Y Combinator Winter 2017 ($120K investment)</t>
  </si>
  <si>
    <t xml:space="preserve">MBA, IIM Bangalore (Shreyas Nagdawane); IIT Bombay alumni</t>
  </si>
  <si>
    <t xml:space="preserve">Strategically acquired by Swiggy (reported 2018, cash+stock); integrated as separate unit Sep 2021; merged into Swiggy Instamart 2024; co-founders exited 2022. Coded Acquired, not Closed. Funded case.</t>
  </si>
  <si>
    <t xml:space="preserve">Inc42/ RestaurantIndia (Jul-2019): Swiggy acquired Supr Daily in 2018 in cash-plus-stock deal; ET, Jan-2026: 'SuprDaily... was acquired by Swiggy in 2021 and then merged into its quick commerce unit, Instamart, in 2024'; accessed 2026-10-19</t>
  </si>
  <si>
    <t xml:space="preserve">IN-ST-113</t>
  </si>
  <si>
    <t xml:space="preserve">Zerodha</t>
  </si>
  <si>
    <t xml:space="preserve">Discount stock brokerage: zero brokerage on equity delivery, flat Rs 20/order on intraday/F&amp;O; platforms Kite, Coin, Varsity; earns via brokerage, interest, margin lending</t>
  </si>
  <si>
    <t xml:space="preserve">India's largest retail broker by active clients (~17.5M); profitable since early years. Unfunded-operating case.</t>
  </si>
  <si>
    <t xml:space="preserve">BusinessToday, 27-Aug-2026: 'Zerodha @17.5 million clients...' (bootstrapped, no external capital); upgrowth.in/ founders-lense founder profiles corroborate 'never raised a single rupee of external capital'; accessed 2026-10-19</t>
  </si>
  <si>
    <t xml:space="preserve">IN-ST-114</t>
  </si>
  <si>
    <t xml:space="preserve">Zoho</t>
  </si>
  <si>
    <t xml:space="preserve">Cloud business software suite (CRM, Mail, Books, People, Workplace, ManageEngine); subscription SaaS</t>
  </si>
  <si>
    <t xml:space="preserve">PhD Electrical Engineering, Princeton (Sridhar Vembu)</t>
  </si>
  <si>
    <t xml:space="preserve">Founded 1996 as AdventNet; rebranded Zoho Corporation 2009. 100M+ users, $1B+ revenue, privately held. Unfunded-operating case.</t>
  </si>
  <si>
    <t xml:space="preserve">Financial Express, 3-Oct-2025: 'Meet Sridhar Vembu... built a global tech company from a village without any external funding'; thecityceleb biography (co-founded AdventNet with Tony Thomas, 1996); accessed 2026-10-19</t>
  </si>
  <si>
    <t xml:space="preserve">IN-ST-115</t>
  </si>
  <si>
    <t xml:space="preserve">Wingify</t>
  </si>
  <si>
    <t xml:space="preserve">SaaS website optimization platform VWO (A/B testing, conversion rate optimization); subscription pricing</t>
  </si>
  <si>
    <t xml:space="preserve">Biotechnology (undergraduate; Paras Chopra, per buildd.co)</t>
  </si>
  <si>
    <t xml:space="preserve">Majority stake acquired by PE firm Everstone Jan 2025 for ~$200M; ~$50M ARR, profitable, 6,000+ clients. Coded Acquired (not Closed) with any_external_funding=0 — unfunded-but-acquired case.</t>
  </si>
  <si>
    <t xml:space="preserve">TechCrunch, 23-Jan-2025: 'Everstone acquires bootstrapped Indian startup Wingify for $200M' (no external funding since 2010; Chopra owned 71%); accessed 2026-10-19</t>
  </si>
  <si>
    <t xml:space="preserve">IN-ST-116</t>
  </si>
  <si>
    <t xml:space="preserve">FusionCharts</t>
  </si>
  <si>
    <t xml:space="preserve">Kolkata</t>
  </si>
  <si>
    <t xml:space="preserve">JavaScript data-visualization/charting library sold as licensed developer software (customers in 110+ countries)</t>
  </si>
  <si>
    <t xml:space="preserve">MS Computer Science, University of Edinburgh (Pallav Nadhani)</t>
  </si>
  <si>
    <t xml:space="preserve">Founded as Infosoft Global at age 17; bootstrapped throughout; acquired by US-based Idera, Inc. March 2020. Coded Acquired (not Closed) with any_external_funding=0 — unfunded-but-acquired case.</t>
  </si>
  <si>
    <t xml:space="preserve">ET: 'How Pallav Nadhani charts global fame with FusionCharts Technologies' (bootstrapping quote); Wikipedia: 'In March 2020, the company was acquired by Idera, Inc.'; accessed 2026-10-19</t>
  </si>
  <si>
    <t xml:space="preserve">IN-ST-117</t>
  </si>
  <si>
    <t xml:space="preserve">Noise</t>
  </si>
  <si>
    <t xml:space="preserve">D2C consumer electronics brand: smartwatches, TWS audio, smart ring; sells online (Amazon/Flipkart) and retail</t>
  </si>
  <si>
    <t xml:space="preserve">Founded Aug 2014 by the Khatri brothers; pivoted from smartphone cases to smart wearables 2017. Profitable bootstrapped hardware brand. Unfunded-operating case.</t>
  </si>
  <si>
    <t xml:space="preserve">Republic World, 28-Apr-2025: 'How Noise Bootstrapped Its Way to the Top' (COO interview); CNBC-TV18, 12-Dec-2024: 'How Noise defied odds in a competitive consumer tech market'; accessed 2026-10-19</t>
  </si>
  <si>
    <t xml:space="preserve">IN-ST-118</t>
  </si>
  <si>
    <t xml:space="preserve">HappyFox</t>
  </si>
  <si>
    <t xml:space="preserve">Cloud-based customer support software: helpdesk ticketing, live chat, AI chatbots; monthly/yearly subscriptions</t>
  </si>
  <si>
    <t xml:space="preserve">Rebranded from Tenmiles (founded 2000); dual presence Irvine, California and Chennai — HQ city coded Chennai per ET nominee page. Unfunded-operating case.</t>
  </si>
  <si>
    <t xml:space="preserve">SaaStr AI 2026 session notes: 'zero outside funding'; YoungUpstarts, 9-Apr-2021: founder essay on bootstrapping; ET Startup Awards 2019 'Bootstrap Champ' nominee page (founded 2012, Shalin Jain, Irvine+Chennai); accessed 2026-10-19</t>
  </si>
  <si>
    <t xml:space="preserve">IN-ST-119</t>
  </si>
  <si>
    <t xml:space="preserve">Webkul</t>
  </si>
  <si>
    <t xml:space="preserve">Open-source e-commerce plugins/modules store (Magento, PrestaShop, WooCommerce) plus enterprise e-commerce, ERP, CRM and mobile app services</t>
  </si>
  <si>
    <t xml:space="preserve">Self-described '100% self-bootstrapped company'; 650+ employees, 150,000+ customers. Unfunded-operating case.</t>
  </si>
  <si>
    <t xml:space="preserve">Tech In Asia, 26-May-2014: 'How India's Webkul earned $1 million in revenue with no funding'; Inc42: 'From 3 Passionate Entrepreneurs... Webkul's Bootstrap Journey'; Mixergy interview with Vipin Sahu; accessed 2026-10-19</t>
  </si>
  <si>
    <t xml:space="preserve">IN-ST-120</t>
  </si>
  <si>
    <t xml:space="preserve">Appointy</t>
  </si>
  <si>
    <t xml:space="preserve">Bhopal</t>
  </si>
  <si>
    <t xml:space="preserve">Online appointment-scheduling SaaS for SMBs (salons, spas, doctors); freemium-to-paid plans from $10/month</t>
  </si>
  <si>
    <t xml:space="preserve">Microsoft Ventures Accelerator, summer 2014 batch (non-equity program; no disclosed investment)</t>
  </si>
  <si>
    <t xml:space="preserve">Oriental Institute of Science and Technology (Nemesh Singh)</t>
  </si>
  <si>
    <t xml:space="preserve">ET Startup Awards nominee page says founded 2007 (TOI 2015 says 2006; coded 2007). ET reports four co-founding engineers; two named here. Survived two near-bankruptcies (2011, 2014). Unfunded-operating case.</t>
  </si>
  <si>
    <t xml:space="preserve">The Tech Portal, 19-Jan-2017: 'Now Appointy customers will be able to gain appointments directly via Google searches' (completely bootstrapped); ET, 2014: 'Four Bhopal based engineers build top scheduling applications worldwide' ($18K seed from own outsourcing earnings); accessed 2026-10-19</t>
  </si>
  <si>
    <t xml:space="preserve">IN-ST-121</t>
  </si>
  <si>
    <t xml:space="preserve">ExportersIndia</t>
  </si>
  <si>
    <t xml:space="preserve">New Delhi</t>
  </si>
  <si>
    <t xml:space="preserve">B2B export/import directory and marketplace connecting manufacturers, suppliers and exporters with global buyers (paid memberships, lead generation)</t>
  </si>
  <si>
    <t xml:space="preserve">Founder reported as 'Sunil Gupta' (TOI) / 'S.K. Gupta' (businessnewsweek) — same person presumed; n_founders left null. Unfunded-operating case.</t>
  </si>
  <si>
    <t xml:space="preserve">Times of India, Apr-2017: 'These ventures succeeded without venture funds' (ExportersIndia, profitable since inception, no VC); businessnewsweek.in: founded 1997 in New Delhi; accessed 2026-10-19</t>
  </si>
  <si>
    <t xml:space="preserve">IN-ST-201</t>
  </si>
  <si>
    <t xml:space="preserve">Fipola</t>
  </si>
  <si>
    <t xml:space="preserve">D2C online meat delivery via app/website plus own restaurant brands (Fipola Exclusive Cafe, Grill House)</t>
  </si>
  <si>
    <t xml:space="preserve">Shut shop February 2023 after failing to raise follow-on capital in funding winter; 65 stores across South India; vendor/delivery dues reportedly unpaid; asset liquidation pursued.</t>
  </si>
  <si>
    <t xml:space="preserve">https://inc42.com/features/plagued-by-funding-winter-bad-economics-here-are-15-indian-startups-that-shutdown-in-2023/</t>
  </si>
  <si>
    <t xml:space="preserve">IN-ST-202</t>
  </si>
  <si>
    <t xml:space="preserve">Friyey</t>
  </si>
  <si>
    <t xml:space="preserve">Pune</t>
  </si>
  <si>
    <t xml:space="preserve">Coworking marketplace converting restaurants, pubs and clubs into daytime coworking spaces (featured on Shark Tank India S2)</t>
  </si>
  <si>
    <t xml:space="preserve">Founder announced closure on LinkedIn July 2023 after 4 years; cited funding crunch, weak demand, expenses above top line; ~500 restaurant partners, ~24,000 remote workers at peak.</t>
  </si>
  <si>
    <t xml:space="preserve">https://inc42.com/BUZZ/COWORKING-SPACE-PROVIDER-FRIYEY-SHUTS-DOWN-DUE-TO-FUNDING-CRUNCH/</t>
  </si>
  <si>
    <t xml:space="preserve">IN-ST-203</t>
  </si>
  <si>
    <t xml:space="preserve">Kenko Health</t>
  </si>
  <si>
    <t xml:space="preserve">Subscription-based health/insurtech plans covering OPD, medicines and healthcare products (HMO model)</t>
  </si>
  <si>
    <t xml:space="preserve">Shut August 2024 after running out of funds and failing to secure IRDAI insurance licence (two-year 'wild goose chase' per cofounder); debt fund took company to NCLT; administration/bankruptcy-like creditor action.</t>
  </si>
  <si>
    <t xml:space="preserve">https://www.business-standard.com/companies/news/peak-xv-backed-kenko-health-shuts-down-after-running-out-of-funds-124082300669_1.html</t>
  </si>
  <si>
    <t xml:space="preserve">IN-ST-204</t>
  </si>
  <si>
    <t xml:space="preserve">Vah Vah!</t>
  </si>
  <si>
    <t xml:space="preserve">Vocational training platform with certificate courses in makeup artistry, hair styling and grooming</t>
  </si>
  <si>
    <t xml:space="preserve">Peak XV Surge</t>
  </si>
  <si>
    <t xml:space="preserve">Silently shut July 2023; entire 150-person workforce fired (police intervention reported); declining revenue, weak unit economics, inability to raise funds.</t>
  </si>
  <si>
    <t xml:space="preserve">https://m.dailyhunt.in/news/india/english/inc42-epaper-inc/plagued+by+funding+winter+bad-economics+here+are+15+indian+startups+that+shut+down+in+2023-newsid-n562016722</t>
  </si>
  <si>
    <t xml:space="preserve">IN-ST-205</t>
  </si>
  <si>
    <t xml:space="preserve">Nintee</t>
  </si>
  <si>
    <t xml:space="preserve">AI-powered consumer app for habit building/personal growth; later pivoted toward education/learning</t>
  </si>
  <si>
    <t xml:space="preserve">Shut April 2024; founder Paras Chopra (Wingify) cited user-retention/scaling failures and pivot failing; returned majority of raised capital to investors; employees given 4 months severance and offers at Wingify.</t>
  </si>
  <si>
    <t xml:space="preserve">https://www.etnownews.com/technology/nintee-peak-xv-partners-backed-ai-startup-closes-operations-will-investors-get-their-money-back-article-109752767</t>
  </si>
  <si>
    <t xml:space="preserve">IN-ST-206</t>
  </si>
  <si>
    <t xml:space="preserve">Tally Solutions</t>
  </si>
  <si>
    <t xml:space="preserve">ERP/accounting software (TallyPrime) licensed to 2M+ SMEs across 100+ countries</t>
  </si>
  <si>
    <t xml:space="preserve">UNFUNDED and active: 36+ months old, no disclosed external funding/grant/accelerator investment in any listed source; family-owned. Conflicting older blog (prodwrks) claimed a 2005 Sequoia investment but no primary source supports it; treated as unverified.</t>
  </si>
  <si>
    <t xml:space="preserve">https://www.moneycontrol.com/news/business/indian-family-business-awards-2021-tally-solutions-wins-best-family-business-award-8423731.html</t>
  </si>
  <si>
    <t xml:space="preserve">PK-ST-001</t>
  </si>
  <si>
    <t xml:space="preserve">Bazaar Technologies</t>
  </si>
  <si>
    <t xml:space="preserve">Pakistan</t>
  </si>
  <si>
    <t xml:space="preserve">Karachi</t>
  </si>
  <si>
    <t xml:space="preserve">B2B e-commerce marketplace for retailers plus embedded fintech (Easy Khata bookkeeping app, Bazaar Credit working-capital financing)</t>
  </si>
  <si>
    <t xml:space="preserve">Endeavor (2022)</t>
  </si>
  <si>
    <t xml:space="preserve">Acquired fintech Keenu (per The Company Check); founders selected by Endeavor 2022.</t>
  </si>
  <si>
    <t xml:space="preserve">TechCrunch 14-Mar-2022; Business Recorder 15-Mar-2022; Aaj TV 15-Mar-2022; YesPress profile; accessed 2026-10-19</t>
  </si>
  <si>
    <t xml:space="preserve">PK-ST-002</t>
  </si>
  <si>
    <t xml:space="preserve">Dastgyr</t>
  </si>
  <si>
    <t xml:space="preserve">B2B e-commerce marketplace connecting retailers to manufacturers, distributors and wholesalers with next-day delivery</t>
  </si>
  <si>
    <t xml:space="preserve">$37M round was Pakistan's largest-ever Series A at the time (per Bloomberg via Business Recorder).</t>
  </si>
  <si>
    <t xml:space="preserve">Business Recorder 14-Jun-2022 (via Bloomberg); CW Pakistan (seed round); accessed 2026-10-19</t>
  </si>
  <si>
    <t xml:space="preserve">PK-ST-003</t>
  </si>
  <si>
    <t xml:space="preserve">Jugnu</t>
  </si>
  <si>
    <t xml:space="preserve">Lahore</t>
  </si>
  <si>
    <t xml:space="preserve">B2B e-commerce platform connecting kiryana stores and SMEs to manufacturers for inventory procurement</t>
  </si>
  <si>
    <t xml:space="preserve">Associate of Systems Limited via subsidiary Systems Ventures. Scaled back self-managed fulfilment/inventory model in 2023, pivoting to asset-light tech-platform play; still operating. [Consolidation note: a second collection coded Jugnu as 'Unknown' (Jul-2023 core-ops shutdown reported, board denied); kept 'Active' per pivot evidence.]</t>
  </si>
  <si>
    <t xml:space="preserve">Profit by Pakistan Today 24-Mar-2022; The News 25-Mar-2022; Business Recorder (2023 scale-back article); accessed 2026-10-19</t>
  </si>
  <si>
    <t xml:space="preserve">PK-ST-004</t>
  </si>
  <si>
    <t xml:space="preserve">Airlift Technologies</t>
  </si>
  <si>
    <t xml:space="preserve">Quick-commerce grocery and essentials delivery (pivoted from mass-transit buses); dark stores and 30-minute delivery</t>
  </si>
  <si>
    <t xml:space="preserve">Shut down Jul-2022 after failing to close a follow-on funding round; lead backer pulled commitment (Bloomberg). Co-founder Usman Gul confirmed.</t>
  </si>
  <si>
    <t xml:space="preserve">TechCrunch (Remembering the startups we lost in 2022); Bloomberg via Business Standard 12-Sep-2022; Reuters via 94.1 Duke 13-Jul-2022; accessed 2026-10-19</t>
  </si>
  <si>
    <t xml:space="preserve">PK-ST-005</t>
  </si>
  <si>
    <t xml:space="preserve">Bykea</t>
  </si>
  <si>
    <t xml:space="preserve">On-demand motorbike taxi, parcel delivery, food delivery and cash-in/cash-out logistics network; B2B fulfilment services</t>
  </si>
  <si>
    <t xml:space="preserve">MSc Computer Science, University of Massachusetts Amherst (BSc CS, LUMS)</t>
  </si>
  <si>
    <t xml:space="preserve">Founder Muneeb Maayr previously founded Daraz.pk (acquired by Alibaba) in 2012.</t>
  </si>
  <si>
    <t xml:space="preserve">Company announcement Apr-2019 (bykea.com); NewsnReleases Oct-2020 (Series B); Bloomberg via Arab News/Mettis Jun-2022 ($10M); Arab News interview (founded Dec-2016 by Maayr); accessed 2026-10-19</t>
  </si>
  <si>
    <t xml:space="preserve">PK-ST-006</t>
  </si>
  <si>
    <t xml:space="preserve">Finja</t>
  </si>
  <si>
    <t xml:space="preserve">Digital lending platform for micro-SMEs (kiryana stores) and salaried professionals: inventory financing, salary advances, supply-chain loans via partner bank credit books</t>
  </si>
  <si>
    <t xml:space="preserve">Transferred EMI/payment operations to OPay in 2023-24 to focus on digital SME lending; an OPay acquisition of Finja was reported by secondary sources but not verified from a primary credible outlet — coded Active.</t>
  </si>
  <si>
    <t xml:space="preserve">MENAbytes via finja.pk press (Series A1 2020); finja.pk pressDetail/21 (HBL Rs.176M); CB Insights company profile; accessed 2026-10-19</t>
  </si>
  <si>
    <t xml:space="preserve">PK-ST-007</t>
  </si>
  <si>
    <t xml:space="preserve">SadaPay</t>
  </si>
  <si>
    <t xml:space="preserve">Islamabad</t>
  </si>
  <si>
    <t xml:space="preserve">Digital-first neobank under EMI license: consumer wallet app with free numberless debit card and in-app support</t>
  </si>
  <si>
    <t xml:space="preserve">Acquired by Turkish fintech Papara (CB Insights lists latest funding round as 'Acquired' and Papara among investors); acquisition year not verified from a primary source.</t>
  </si>
  <si>
    <t xml:space="preserve">Company seed announcement (sadapay.pk); MAGNiTT ($10.7M seed extension, Apr-2022); CB Insights company profile (latest round 'Acquired', total $17.9M); accessed 2026-10-19</t>
  </si>
  <si>
    <t xml:space="preserve">PK-ST-008</t>
  </si>
  <si>
    <t xml:space="preserve">NayaPay</t>
  </si>
  <si>
    <t xml:space="preserve">EMI-licensed digital payments: chat-centric consumer payments app plus NayaPay Arc SaaS (payment acceptance and financial tools for SMBs)</t>
  </si>
  <si>
    <t xml:space="preserve">First fintech to secure EMI license from State Bank of Pakistan; founder Danish Lakhani previously led StormFiber.</t>
  </si>
  <si>
    <t xml:space="preserve">Company announcement (nayapay.com); Nasdaq press release Mar-2022; Cooley 07-Mar-2022; NetMag Pakistan; accessed 2026-10-19</t>
  </si>
  <si>
    <t xml:space="preserve">PK-ST-009</t>
  </si>
  <si>
    <t xml:space="preserve">PostEx</t>
  </si>
  <si>
    <t xml:space="preserve">Fintech + logistics hybrid: instant upfront payments/factoring on cash-on-delivery orders plus in-house e-commerce logistics fleet</t>
  </si>
  <si>
    <t xml:space="preserve">Crossed $21M ARR and profitability with 4M+ monthly transactions; expanding into GCC (Wamda Aug-2024). Founding year inferred from operations beginning &lt;36 months before Aug-2024.</t>
  </si>
  <si>
    <t xml:space="preserve">Wamda 2024 (pre-Series A); Fintech Global 21-Aug-2024; TechCrunch 2021 (seed, via TechStreamToday summary); FreeLibrary; accessed 2026-10-19</t>
  </si>
  <si>
    <t xml:space="preserve">PK-ST-010</t>
  </si>
  <si>
    <t xml:space="preserve">Tajir</t>
  </si>
  <si>
    <t xml:space="preserve">B2B e-commerce marketplace: kiryana stores order FMCG inventory via app with transparent pricing and next-day delivery</t>
  </si>
  <si>
    <t xml:space="preserve">Y Combinator W20</t>
  </si>
  <si>
    <t xml:space="preserve">First Pakistan-focused startup to go through Y Combinator (W20); Kleiner Perkins' first Pakistan investment.</t>
  </si>
  <si>
    <t xml:space="preserve">Pakistan Defence (MENAbytes) 02-Jun-2021; MAGNiTT Series A announcement; accessed 2026-10-19</t>
  </si>
  <si>
    <t xml:space="preserve">PK-ST-011</t>
  </si>
  <si>
    <t xml:space="preserve">Abhi</t>
  </si>
  <si>
    <t xml:space="preserve">Earned-wage-access and embedded finance: employees draw accrued salary early via corporate payroll partnerships; SME supply-chain financing</t>
  </si>
  <si>
    <t xml:space="preserve">Expanded to UAE; co-acquired FINCA Microfinance Bank with TPL (TecSpectrum 2025).</t>
  </si>
  <si>
    <t xml:space="preserve">Company Series A announcement (abhi.com.pk, 19-Apr-2022); Everything.pk (seed $2M); Halal Times (Sukuk issuance); accessed 2026-10-19</t>
  </si>
  <si>
    <t xml:space="preserve">PK-ST-012</t>
  </si>
  <si>
    <t xml:space="preserve">Neem</t>
  </si>
  <si>
    <t xml:space="preserve">Embedded finance / banking-as-a-service: B2B2C lending platform and BaaS (wallets, payments, insurance, savings) for partners serving underbanked communities</t>
  </si>
  <si>
    <t xml:space="preserve">Founding year inferred: TechCrunch described it as 'three-year-old' in Sep-2022.</t>
  </si>
  <si>
    <t xml:space="preserve">TechCrunch 13-Sep-2022; Dawn 14-Sep-2022; CEO Insights Asia 13-Sep-2022; accessed 2026-10-19</t>
  </si>
  <si>
    <t xml:space="preserve">PK-ST-013</t>
  </si>
  <si>
    <t xml:space="preserve">Oraan</t>
  </si>
  <si>
    <t xml:space="preserve">Digital savings committees (ROSCAs): app-based group savings, credit and insurance products targeting women and unbanked communities</t>
  </si>
  <si>
    <t xml:space="preserve">Women-led; first women-led Pakistani fintech seed of its size; co-founder Halima Iqbal is a former investment banker.</t>
  </si>
  <si>
    <t xml:space="preserve">Arab News 27-Sep-2021; The Express Tribune 01-Nov-2021; MAGNiTT Q3'21 rounds roundup; accessed 2026-10-19</t>
  </si>
  <si>
    <t xml:space="preserve">PK-ST-014</t>
  </si>
  <si>
    <t xml:space="preserve">QisstPay</t>
  </si>
  <si>
    <t xml:space="preserve">Buy-now-pay-later: interest-free installment payments at checkout for online shoppers; charges merchants, not customers</t>
  </si>
  <si>
    <t xml:space="preserve">Pivoted within months of the Sep-2021 raise; Dawn (Jul-2024) reported the startup 'didn't really work out'. No credible shutdown announcement found — coded Unknown.</t>
  </si>
  <si>
    <t xml:space="preserve">TechJuice (raise announcement); FreeLibrary (raise details); Dawn 2024 ('Rise of buy now, pay later'); CB Insights profile; accessed 2026-10-19</t>
  </si>
  <si>
    <t xml:space="preserve">PK-ST-015</t>
  </si>
  <si>
    <t xml:space="preserve">Truck It In</t>
  </si>
  <si>
    <t xml:space="preserve">Road-freight tech platform: online marketplace connecting SME shippers with SME truckers in Pakistan's $25B road freight market</t>
  </si>
  <si>
    <t xml:space="preserve">Founders previously worked at Careem; largest seed round in MENAP trucking space at the time.</t>
  </si>
  <si>
    <t xml:space="preserve">Dawn 05-Feb-2022; Nasdaq press release 04-Feb-2022; Global Village Space (founded Aug-2020); accessed 2026-10-19</t>
  </si>
  <si>
    <t xml:space="preserve">PK-ST-016</t>
  </si>
  <si>
    <t xml:space="preserve">MedznMore</t>
  </si>
  <si>
    <t xml:space="preserve">B2X pharma delivery platform: online pharmacy (Tabiyat.pk) for consumers plus wholesale distribution to pharmacies via warehouses and software (Tezmedz/TezOS)</t>
  </si>
  <si>
    <t xml:space="preserve">Shut down operations early Jun-2023 (macro conditions, failed fundraise); in talks to sell technology and Tabiyat.pk brand (Business Recorder Jul-2023).</t>
  </si>
  <si>
    <t xml:space="preserve">Express Tribune 12-May-2022 (pre-Series A); Business Recorder Jul-2023 (shutdown confirmed by co-founders); Bloomberg via Business Times 12-May-2022; accessed 2026-10-19</t>
  </si>
  <si>
    <t xml:space="preserve">PK-ST-017</t>
  </si>
  <si>
    <t xml:space="preserve">Dawaai</t>
  </si>
  <si>
    <t xml:space="preserve">Online pharmacy and healthcare platform: prescription medicine ordering, teleconsultations, home health services and lab tests</t>
  </si>
  <si>
    <t xml:space="preserve">SAMENA Daily (MENAbytes) 2021; KrASIA (Nov-2021); CW Pakistan; accessed 2026-10-19</t>
  </si>
  <si>
    <t xml:space="preserve">PK-ST-018</t>
  </si>
  <si>
    <t xml:space="preserve">Maqsad</t>
  </si>
  <si>
    <t xml:space="preserve">Mobile-only K-12 learning platform: after-school academic content in English/Urdu, quizzes, gamification and query-solving (DoubtSolve) for grades 9-12</t>
  </si>
  <si>
    <t xml:space="preserve">Founders are London-based childhood friends who quit strategy consulting/investment banking to launch in Pakistan.</t>
  </si>
  <si>
    <t xml:space="preserve">TechCrunch (pre-seed 2021, via Wedbush/Investor repost); Dawn 19-Sep-2021; ByMENA (seed Mar-2023); AIN 16-Mar-2023; accessed 2026-10-19</t>
  </si>
  <si>
    <t xml:space="preserve">PK-ST-019</t>
  </si>
  <si>
    <t xml:space="preserve">TAG Innovation</t>
  </si>
  <si>
    <t xml:space="preserve">Digital bank / EMI: app-based account opening with free Visa debit card, P2P transfers, bill payments and mobile top-ups</t>
  </si>
  <si>
    <t xml:space="preserve">Y Combinator S21</t>
  </si>
  <si>
    <t xml:space="preserve">Ran into EMI license obstacles in Pakistan end-2022 and announced expansion outside Pakistan (NewMediaWire Jan-2023); current operating status unverified — coded Unknown.</t>
  </si>
  <si>
    <t xml:space="preserve">Bloomberg via Arab News 04-Jun-2021 (pre-seed); Crowdfund Insider 17-Sep-2021 (seed $12M+); NewMediaWire 05-Jan-2023 (license obstacles); accessed 2026-10-19</t>
  </si>
  <si>
    <t xml:space="preserve">PK-ST-103</t>
  </si>
  <si>
    <t xml:space="preserve">Cheetay</t>
  </si>
  <si>
    <t xml:space="preserve">Food delivery and quick-commerce (groceries, pharma, essentials) platform with in-house rider fleet; later an aggregator for restaurants</t>
  </si>
  <si>
    <t xml:space="preserve">FAILED (funded): no formal public closure statement found; coded Closed 2024 on company-insider confirmation reported by Profit (Jan 2024) plus PitchBook 'Out of Business' status. Founding year 2015 (Scribd case study, PitchBook); CB Insights says launched 2016 — minor conflict noted.</t>
  </si>
  <si>
    <t xml:space="preserve">Profit (Pakistan Today) 18-Jan-2024 'Cheetay mulling shut down' — high-ranking company sources confirmed plans for permanent closure after laying off half its staff; PitchBook company profile lists status 'Out of Business'; CB Insights: operations effectively wound down early 2024. Accessed 2026-10-19.</t>
  </si>
  <si>
    <t xml:space="preserve">PK-ST-104</t>
  </si>
  <si>
    <t xml:space="preserve">Travly</t>
  </si>
  <si>
    <t xml:space="preserve">On-demand rickshaw-hailing app ('Uber for rickshaws') in Lahore and Karachi; also offered bus-trip timings and logistics services</t>
  </si>
  <si>
    <t xml:space="preserve">Plan9; PlanX</t>
  </si>
  <si>
    <t xml:space="preserve">FAILED (funded): shutdown ~2017. Founding year 2014 (PakWired, Research Snipers; incubated at Plan9); Tracxn lists 2013 — conflict noted.</t>
  </si>
  <si>
    <t xml:space="preserve">TechJuice 2017 'Travly shuts down' — venture-funded rickshaw-hailing service shut down, cofounders took full-time jobs; investor Humayun Mazhar (CresVentures) confirmed shutdown, citing execution failures and tech-stack acquisition problems; PakWired 2017 collapse report. Accessed 2026-10-19.</t>
  </si>
  <si>
    <t xml:space="preserve">PK-ST-105</t>
  </si>
  <si>
    <t xml:space="preserve">Taazi</t>
  </si>
  <si>
    <t xml:space="preserve">Legal music streaming/download platform ('Pakistan's first legal music app') with unique mobile-credit billing; artists uploaded content and kept 70% of revenue; 100,000+ songs, 100,000+ app downloads</t>
  </si>
  <si>
    <t xml:space="preserve">UNFUNDED-FAILED: no external funding, grant, or accelerator-investment disclosed in any source; built over ~3 years by team at founder's own production company (Unicorn Black), wound up during 2020.</t>
  </si>
  <si>
    <t xml:space="preserve">Wikipedia 'Taazi': launched Aug 2015, HQ Islamabad, dissolved 2020, division of founder's media production company Unicorn Black; rip.so obituary: 'The company was wound up during 2020 and the site stopped answering'; The Express Tribune 2015 launch coverage (founder Haroon Rashid). No funding/grant/accelerator disclosed in any source. Accessed 2026-10-19.</t>
  </si>
  <si>
    <t xml:space="preserve">PK-ST-106</t>
  </si>
  <si>
    <t xml:space="preserve">Patari</t>
  </si>
  <si>
    <t xml:space="preserve">Music streaming service for Pakistani music (20,000+ songs, 600+ artists at launch; largest local catalog); iOS/Android apps; artist monetisation program</t>
  </si>
  <si>
    <t xml:space="preserve">FAILED (funded) but closure year unknown: Wikipedia changed status from Active to Closed between 2025 and 2026 crawls without a closure date; coded event_closed=1, closure_year=null. Company was mired in 2018 founder sexual-harassment scandal (CEO Khalid Bajwa resigned).</t>
  </si>
  <si>
    <t xml:space="preserve">Wikipedia 'Patari (service)' (updated Sep 2026): founded Feb 2015, HQ Lahore, $200K Sarmayacar seed 30-Dec-2016, Current status 'Closed'. Earlier snapshot (2025) listed status 'Active'. No dated shutdown announcement found. Accessed 2026-10-19.</t>
  </si>
  <si>
    <t xml:space="preserve">PK-ST-107</t>
  </si>
  <si>
    <t xml:space="preserve">Savyour</t>
  </si>
  <si>
    <t xml:space="preserve">Cashback rewards platform and pay-per-sale affiliate marketing network for e-commerce brands (Daraz, foodpanda, Bata); earned partner commissions and passed a portion back as cashback</t>
  </si>
  <si>
    <t xml:space="preserve">FAILED (funded): Pakistan's first cashback fintech; 4-year journey ended with structured wind-down, company-managed closure announced Feb 2025. HQ city not stated in sources found — left null.</t>
  </si>
  <si>
    <t xml:space="preserve">Profit (Pakistan Today) 28-Feb-2025: co-founder confirmed closure; decision taken ~12 months earlier, wind-down completed; TechJuice 27-Feb-2025: operations to cease 20-Mar-2025 (app/website inaccessible after). Launched Aug 2020; Rs400M cashback paid to ~4M users. Accessed 2026-10-19.</t>
  </si>
  <si>
    <t xml:space="preserve">PK-ST-108</t>
  </si>
  <si>
    <t xml:space="preserve">Popinjay</t>
  </si>
  <si>
    <t xml:space="preserve">D2C handbag/fashion label employing 150-200 women artisans in Hafizabad; sold online and via US retail partners (Anthropologie, One Kings Lane)</t>
  </si>
  <si>
    <t xml:space="preserve">Unreasonable Institute (US); i2i (Pakistan)</t>
  </si>
  <si>
    <t xml:space="preserve">FAILED (funded): founder exit Jun-2018; no successor operation reported — coded Closed 2018. Solo founder, MIT-educated engineer (any_stem_founder=1).</t>
  </si>
  <si>
    <t xml:space="preserve">The Express Tribune 14-Jun-2018 'After initial success, Popinjay fails to achieve economies of scale': $500K seed, lasted four years, founder Saba Gul stepping away, unable to achieve economies of scale; Dawn Aurora profile: capital raised in 2013 after accelerators. Accessed 2026-10-19.</t>
  </si>
  <si>
    <t xml:space="preserve">PK-ST-110</t>
  </si>
  <si>
    <t xml:space="preserve">Bramerz</t>
  </si>
  <si>
    <t xml:space="preserve">Full-service digital marketing and advertising agency (martech services for brands and SMEs); early entrant in Pakistan's digital services market</t>
  </si>
  <si>
    <t xml:space="preserve">UNFUNDED-ACQUIRED: explicitly described as bootstrapped in Profit; no VC/grant/accelerator disclosed. The 2023 S4 Digital (Portugal) deal was a 70% majority-stake acquisition (founders retained 30%), coded as acquisition not a funding round. any_stem_founder=0 per Dawn Aurora ('none had a tech background').</t>
  </si>
  <si>
    <t xml:space="preserve">Profit (Pakistan Today) 4-Mar-2023 'Portuguese tech firm S4 Digital acquires 70% stake in Pakistan's Bramerz': founded 2006 by Badar Khushnood, Amer Sarfaraz, Zeeshan Saleem; 'bootstrapped its operations, reaching revenues running in millions of dollars'. Dawn Aurora profile: 'None had a tech background'. Accessed 2026-10-19.</t>
  </si>
  <si>
    <t xml:space="preserve">PK-ST-111</t>
  </si>
  <si>
    <t xml:space="preserve">Mindstorm Studios</t>
  </si>
  <si>
    <t xml:space="preserve">Mobile game development studio (Cricket Revolution, Whacksy Taxi, Mafia Farm, Hexa Sort); 1B+ total downloads, 2M+ daily active users, ~150 employees</t>
  </si>
  <si>
    <t xml:space="preserve">MS Electrical Engineering &amp; Management Science, Stanford University</t>
  </si>
  <si>
    <t xml:space="preserve">UNFUNDED-OPERATING: initial capital was family money, not external; no external funding, grant or accelerator-investment disclosed in any source. Founder Babar Ahmed: BS Electrical Engineering UT Austin, MS EE &amp; Management Science Stanford (any_stem_founder=1).</t>
  </si>
  <si>
    <t xml:space="preserve">YesPress profile of Babar Ahmed: co-founded Mindstorm Studios 2006 with brother Faraz Ahmed after leaving Austin engineering job; 'Initial funding: their father's investment'; ran parallel services division to self-fund 3-year Cricket Revolution dev cycle; 2024: Hexa Sort #1 globally, studio surpassed 1 billion downloads. No VC/grant/accelerator disclosed in any source. Accessed 2026-10-19.</t>
  </si>
  <si>
    <t xml:space="preserve">PK-ST-112</t>
  </si>
  <si>
    <t xml:space="preserve">Arbisoft</t>
  </si>
  <si>
    <t xml:space="preserve">Software development services and technology consulting for startups and enterprises (clients include KAYAK, edX); web/mobile apps, data, AI</t>
  </si>
  <si>
    <t xml:space="preserve">MS Management Science &amp; Engineering, Stanford University</t>
  </si>
  <si>
    <t xml:space="preserve">UNFUNDED-OPERATING: no funding, grant or accelerator-investment disclosed in any source found (news + aggregators searched). Co-founder Yasser Bashir: CS undergrad (Pakistan) + MS Management Science &amp; Engineering, Stanford (any_stem_founder=1). Company itself is an investor (e.g., strategic investment in Cheetay).</t>
  </si>
  <si>
    <t xml:space="preserve">TechCrunch (via New York Tech Media) founder interview: founded 2007 by Yasser Bashir with colleagues, Lahore; prospeo.io company profile: 'Arbisoft has never raised funding before' (Total funding: No funding); Clutch: 750+ specialists, founded 2007, offices Lahore/Islamabad/Plano/Riyadh. No funding/grant/accelerator disclosed in any source. Accessed 2026-10-19.</t>
  </si>
  <si>
    <t xml:space="preserve">PK-ST-113</t>
  </si>
  <si>
    <t xml:space="preserve">Shophive</t>
  </si>
  <si>
    <t xml:space="preserve">Online retailer of consumer electronics, mobiles, laptops, appliances (45,000+ products); describes itself as Pakistan's first e-commerce store (started Sep 2005)</t>
  </si>
  <si>
    <t xml:space="preserve">UNFUNDED-OPERATING: no funding, grant or accelerator-investment disclosed in any source found. Founder name not disclosed in sources found.</t>
  </si>
  <si>
    <t xml:space="preserve">RocketReach Shophive profile: founded 2005, Lahore; Crunchbase Shophive profile (Operating Status Active): no funding rounds listed (only placeholder entries); hypestat site profile: 'First E-Commerce store of Pakistan, started in Sep 2005'. No funding/grant/accelerator disclosed in any source. Accessed 2026-10-19.</t>
  </si>
  <si>
    <t xml:space="preserve">PK-ST-114</t>
  </si>
  <si>
    <t xml:space="preserve">Homeshopping.pk</t>
  </si>
  <si>
    <t xml:space="preserve">Omni-channel online retailer of electronics and mobile phones (plus physical outlets); one of Pakistan's oldest e-commerce brands</t>
  </si>
  <si>
    <t xml:space="preserve">UNFUNDED-OPERATING: founder explicitly confirmed zero external funding to Business Recorder. Direct founder quote — strongest possible negative-funding evidence.</t>
  </si>
  <si>
    <t xml:space="preserve">Business Recorder interview with CEO Shayaan Tahir ('E-commerce needs a regulatory framework'): 'We have received no external funding so far' (started with $100 of his own money); Economic Times/Daily Sabah: launched 2008 with seed capital of Rs10,000. Accessed 2026-10-19.</t>
  </si>
  <si>
    <t xml:space="preserve">PK-ST-115</t>
  </si>
  <si>
    <t xml:space="preserve">TechJuice</t>
  </si>
  <si>
    <t xml:space="preserve">Technology and startup news publication covering Pakistan's tech ecosystem (news, reviews, startup coverage)</t>
  </si>
  <si>
    <t xml:space="preserve">UNFUNDED-OPERATING: no funding disclosed in any source found. Founder name not disclosed in sources found.</t>
  </si>
  <si>
    <t xml:space="preserve">LinkedIn company profile: founded 2014, HQ Islamabad, privately held; site active with daily 2026 coverage (techjuice.pk). No funding, grant or accelerator-investment disclosed in any source found. Accessed 2026-10-19.</t>
  </si>
  <si>
    <t xml:space="preserve">PK-ST-116</t>
  </si>
  <si>
    <t xml:space="preserve">GharPar</t>
  </si>
  <si>
    <t xml:space="preserve">On-demand at-home beauty services marketplace connecting women beauticians (mainly from marginalized backgrounds) with clients; platform takes 30% cut of each booking</t>
  </si>
  <si>
    <t xml:space="preserve">UNFUNDED-OPERATING: no funding, grant or accelerator-investment disclosed in any source found; social-enterprise model.</t>
  </si>
  <si>
    <t xml:space="preserve">Dawn Images 2019 feature ('New app GharPar gives beauticians the chance to be financially independent'): conceived end-2016 by Shameelah Ismail (CEO), Arooj Ismail (CMO), Fareed Qureshi (CFO), Mehvish Arifeen (COO); 100+ beauticians, 30% platform cut; World Bank blog: launched 2016, social enterprise. No funding/grant/accelerator disclosed in any source. Accessed 2026-10-19.</t>
  </si>
  <si>
    <t xml:space="preserve">PK-ST-117</t>
  </si>
  <si>
    <t xml:space="preserve">ilmkidunya</t>
  </si>
  <si>
    <t xml:space="preserve">Free online education portal: exam results, past papers for all boards, college/university directory, admissions info, daily education news</t>
  </si>
  <si>
    <t xml:space="preserve">UNFUNDED-OPERATING: no funding, grant or accelerator-investment disclosed in any source found; bootstrapped project of a web-design company.</t>
  </si>
  <si>
    <t xml:space="preserve">Alchetron 'Ilm Ki Dunya': educational website, 2004, Pakistan, project of SoftSolutions Pakistan; Crunchbase profile (Operating Status Active, founder Ghulam Ali): no funding rounds listed. No funding/grant/accelerator disclosed in any source. Accessed 2026-10-19.</t>
  </si>
  <si>
    <t xml:space="preserve">PK-ST-118</t>
  </si>
  <si>
    <t xml:space="preserve">HR Ways</t>
  </si>
  <si>
    <t xml:space="preserve">HR outsourcing and technical recruitment services for 300+ tech companies (staffing, onboarding, testing, talent management)</t>
  </si>
  <si>
    <t xml:space="preserve">UNFUNDED-ACQUIRED: no external funding rounds disclosed; the 2023 S4 Digital deal was a majority-stake acquisition (CB Insights deal type 'Corporate Majority'), coded as acquisition not a funding round.</t>
  </si>
  <si>
    <t xml:space="preserve">CB Insights HR Ways profile: founded 2017, HQ Karachi; latest deal type 'Corporate Majority' — S4Digital acquired majority stake Mar-2023 (terms undisclosed); no VC funding rounds listed. Profit (Pakistan Today) 4-Mar-2023 confirms S4 Digital's majority-stake acquisition of Karachi-based HR Ways alongside Bramerz. Accessed 2026-10-19.</t>
  </si>
  <si>
    <t xml:space="preserve">PK-ST-201</t>
  </si>
  <si>
    <t xml:space="preserve">Byte</t>
  </si>
  <si>
    <t xml:space="preserve">Delivery-only cloud kitchens with virtual food brands (Byte Pro subscriptions, Byte for Business meal plans) - B2C food delivery</t>
  </si>
  <si>
    <t xml:space="preserve">Y Combinator Summer 2020 (S20)</t>
  </si>
  <si>
    <t xml:space="preserve">Shut during 2024: engineering employment records ended, Android app stopped functioning and was removed from Google Play (Sept 12, 2024); YC lists it inactive; ~30% headcount cut early 2023 amid funding collapse.</t>
  </si>
  <si>
    <t xml:space="preserve">https://startups.rip/company/byte</t>
  </si>
  <si>
    <t xml:space="preserve">PK-ST-202</t>
  </si>
  <si>
    <t xml:space="preserve">CarFirst</t>
  </si>
  <si>
    <t xml:space="preserve">C2B2B used-car marketplace: buy cars from individuals, sell to dealers via online auctions; 35+ purchase centres</t>
  </si>
  <si>
    <t xml:space="preserve">Shut August 2022 via official LinkedIn announcement; 'closing of the entity'; 365 employees; victim of dried-up funding in Pakistan's 2022 startup downturn despite OLX Group/Frontier Car Group backing.</t>
  </si>
  <si>
    <t xml:space="preserve">https://www.dawn.com/news/print/1705824</t>
  </si>
  <si>
    <t xml:space="preserve">BD-ST-301</t>
  </si>
  <si>
    <t xml:space="preserve">EzyCourse</t>
  </si>
  <si>
    <t xml:space="preserve">Sylhet</t>
  </si>
  <si>
    <t xml:space="preserve">All-in-one online course platform for creators, coaches and educators (course hosting, landing pages/funnels, email automation, branded mobile apps)</t>
  </si>
  <si>
    <t xml:space="preserve">B2B SaaS subscription sold to course creators and educators</t>
  </si>
  <si>
    <t xml:space="preserve">Active: Financial Express founder profile (2 Aug 2025) reports 1,800+ creators served and US$1.5M trailing-twelve-month revenue; Product Hunt presence. Founding-year note: FE reports development of the platform began in 2020; a Payhip hub page says 'founded in 2022' (public launch) — coded 2020 per FE.</t>
  </si>
  <si>
    <t xml:space="preserve">The Financial Express, 'Bangladeshi founder bootstrapped his way to global success', 2 Aug 2025 — https://thefinancialexpress.com.bd/youth-and-entrepreneurship/bangladeshi-founder-bootstrapped-his-way-to-global-success ; Crunchbase person profile, Md Sadek Hossain — http://www.crunchbase.com/person/md-sadek-hossain ; Product Hunt maker profile/activity — https://www.producthunt.com/@sadek_hossain/activity ; Payhip creator hub page for EzyCourse (founding/bootstrapping statement, accessed via search). || Funding evidence: (a) Financial Express profile, 2 Aug 2025: 'Md Sadek Hossain bootstrapped EzyCourse to seven figures without a single dollar of outside funding'; Payhip creator hub: 'built the business from the ground up without any investment'. (b) Web news search 'EzyCourse funding OR raises OR seed OR investment OR grant' (20 Oct 2026) found no funding round, grant or investor. || Frame: Tracxn – Startups in Bangladesh</t>
  </si>
  <si>
    <t xml:space="preserve">2026-10-20</t>
  </si>
  <si>
    <t xml:space="preserve">BD-ST-302</t>
  </si>
  <si>
    <t xml:space="preserve">WPManageNinja</t>
  </si>
  <si>
    <t xml:space="preserve">WordPress plugin SaaS — form builder, CRM, support and table plugins (Fluent Forms, FluentCRM, Fluent Support, Ninja Tables, FluentSMTP); now also branded AuthLab</t>
  </si>
  <si>
    <t xml:space="preserve">Freemium B2B SaaS — free plugins with paid premium plans sold as annual subscriptions</t>
  </si>
  <si>
    <t xml:space="preserve">Directory listing / worker research (see source_citation)</t>
  </si>
  <si>
    <t xml:space="preserve">Active: products current and sold worldwide (300K+ businesses per company listings); founder active in WordCamp circuit 2025-2026. HQ note: operations and team are Sylhet-based and the company is described as Sylhet-based in Bangladesh sources; a US LLC with a Newark, Delaware registered office is used for international billing and LinkedIn lists Newark as HQ — HQ coded Sylhet (operating base/founder base).</t>
  </si>
  <si>
    <t xml:space="preserve">Company LinkedIn page (founded 2016; company size 51-200 employees — team_size_mid is the range midpoint); WPManageNinja 2019 year-in-review blog (founded April 2016); founder biography, werisebyliftingothers.in (BASc Chemical Engineering, SUST); Metropolitan University news (co-founder/Head of Ideas at Technext); WordCamp Malaysia 2023 speaker bio ('working with WordPress since 2010'); WP-Tonic founder interview (bootstrapped from client projects); AuthLab/WPManageNinja listing in 'Best WordPress Company in Bangladesh 2026' — https://wptowp.com/blog/best-wordpress-company-in-bangladesh/ (Sylhet base, founding 2016, Shahjahan Jewel Founder &amp; CEO). || Funding evidence: (a) WP-Tonic interview with the founder: the product business was funded from client-project income (bootstrapped), starting with a 3-person team; company profiles list no investors. (b) Web news search 'WPManageNinja funding OR raises OR seed OR investment OR grant' (20 Oct 2026) returned no funding round, grant or investor. || Frame: Tracxn – Startups in Bangladesh</t>
  </si>
  <si>
    <t xml:space="preserve">BD-ST-303</t>
  </si>
  <si>
    <t xml:space="preserve">SteadFast Courier</t>
  </si>
  <si>
    <t xml:space="preserve">E-commerce parcel courier and last-mile logistics (nationwide delivery for online merchants, COD handling); HQ in Dhanmondi, Dhaka</t>
  </si>
  <si>
    <t xml:space="preserve">Per-delivery courier charges to e-commerce merchants and individual senders</t>
  </si>
  <si>
    <t xml:space="preserve">Active: September 2026 rebrand coverage in The Business Standard / Times of Bangladesh / Digi Bangla reports 300,000+ e-commerce merchants served and riders in every union. Founder's later venture FastPower Tech (2025, a JV) is a separate company and not funding of SteadFast.</t>
  </si>
  <si>
    <t xml:space="preserve">The Business Standard, SteadFast rebrand coverage, Sep 2026 (founder: 'Ten years ago, we started with just a few people'; 300,000+ merchants); University of Asia Pacific, Dept. of EEE alumni page, 1 May 2025 (founder is an EEE alumnus); Bangla comparison/feature articles on SteadFast's 2016 founding. A 'Team: 50+' figure on the UAP page relates to the founder's separate FastPower venture context and was not used for team_size_mid. || Funding evidence: (a) No investor or funding round appears in any company profile or in extensive 2025-2026 press coverage of the company. (b) Web news search 'SteadFast Courier funding OR raises OR seed OR investment OR grant' (20 Oct 2026) found no round, grant or investor (results covered a data-breach claim story and general sector funding roundups). || Frame: Tracxn – Startups in Bangladesh</t>
  </si>
  <si>
    <t xml:space="preserve">BD-ST-304</t>
  </si>
  <si>
    <t xml:space="preserve">Battery Low Interactive</t>
  </si>
  <si>
    <t xml:space="preserve">Cross-platform game development, AR/VR and mobile app development studio</t>
  </si>
  <si>
    <t xml:space="preserve">B2B development services for clients plus own game/app titles</t>
  </si>
  <si>
    <t xml:space="preserve">Active: the company organised the IGDA Bangladesh GameDev Summer Meetup in May 2026 and its principals hold current industry-association roles. Employee-count sources conflict (Clutch: 50-249; Clodura: 28), so team_size_mid is left null.</t>
  </si>
  <si>
    <t xml:space="preserve">e27 company profile (founded early 2015, Dhaka); Clutch company profile (year founded 2015, Dhaka, 50-249 employees); Clodura profile (28 employees; total funding '--'); Battery Low anniversary post on hive.blog (founders studied CSE at IUT); IGDA Bangladesh GameDev Summer Meetup coverage, May 2026 (organised by Battery Low). || Funding evidence: (a) Clodura company profile lists Total Funding as '--' (none recorded); no investor appears on Clutch/e27 profiles. (b) Web news search 'Battery Low Interactive funding OR raises OR seed OR investment OR grant' (20 Oct 2026) found no funding round, grant or investor. || Frame: Tracxn – Startups in Bangladesh</t>
  </si>
  <si>
    <t xml:space="preserve">BD-ST-305</t>
  </si>
  <si>
    <t xml:space="preserve">Bdcalling IT</t>
  </si>
  <si>
    <t xml:space="preserve">IT services and digital solutions (web/app development, UI/UX, digital marketing) for overseas and local clients; now the flagship company of Betopia Group</t>
  </si>
  <si>
    <t xml:space="preserve">B2B IT services billed to business clients</t>
  </si>
  <si>
    <t xml:space="preserve">1000+</t>
  </si>
  <si>
    <t xml:space="preserve">Active: extensive 2026 press coverage as Betopia Group (~5,000 group employees; Tk 350 crore group revenue per profiles). September 2026 coverage reported Fiverr platform account restrictions and layoffs; the company remains in active operation. team_size_mid uses the group-wide ~5,000 employee figure from 2026 profiles.</t>
  </si>
  <si>
    <t xml:space="preserve">The Business Standard founder/group profiles of Muhammad Monir Hossain and Betopia Group (2026); Brand Practitioners founder profile (DUET CSE 2006; freelancing from 2013; founded Bdcalling IT in 2017); Business Brillianz group profile (Tk 450M total investment: Tk 30M bank loans, Tk 420M internally financed; ~5,000 employees); cmobangladesh group coverage. || Funding evidence: (a) Business Brillianz group profile: total investment in the group to date Tk 450 million, of which Tk 30 million came from bank loans and Tk 420 million was financed internally — no equity investors; founder profiles describe self-funding built up from his freelancing income. (b) Web news search 'Bdcalling IT funding OR raises OR seed OR investment OR grant' (20 Oct 2026) found no VC/angel/grant round. Note: bank loans are debt and fall outside the study's external-funding (equity/grant/accelerator) definition. || Frame: Tracxn – Startups in Bangladesh</t>
  </si>
  <si>
    <t xml:space="preserve">BD-ST-306</t>
  </si>
  <si>
    <t xml:space="preserve">Nascenia</t>
  </si>
  <si>
    <t xml:space="preserve">Custom software, web and mobile application development company (noted for Ruby on Rails), serving international clients</t>
  </si>
  <si>
    <t xml:space="preserve">B2B software development services billed to overseas clients</t>
  </si>
  <si>
    <t xml:space="preserve">Active: CEO Shaer Hassan spoke at an AIUB industry seminar in April 2025; company site and hiring presence current. The founders' later side venture Goponjinish is a separate Nascenia-funded e-commerce project and is not part of this row. industry_exp_mean_years is computed over the one founder whose pre-founding experience could be coded (see founders_detail).</t>
  </si>
  <si>
    <t xml:space="preserve">Future Startup, 'Face To Face With Shaer Hassan Of Nascenia' (2014) — https://futurestartup.com/2014/06/13/shaer-hassan-nascenia/ ; Future Startup, 'The Evolution Of Nascenia' interview (2017) — https://futurestartup.com/2017/07/12/an-interview-with-shaer-hassan-co-founder-and-ceo-nascenia/ ; Nascenia company deck (founders' experience/education; team size 70) — https://www.slideshare.net/slideshow/nascenia-the-leading-ruby-on-rails-development-company-in-bangladesh/97467408 ; UIU internship thesis on Nascenia (founded 2010 by three entrepreneurs; 70+ employees). || Funding evidence: (a) Founder's own statement in Future Startup interview: 'We never took external investment so far and have no plan to do so. Now we earn and invest into the company.' (b) Web news search 'Nascenia funding OR raises OR seed OR investment OR grant' (20 Oct 2026) found no funding round, grant or investor. || Frame: Tracxn – Startups in Bangladesh</t>
  </si>
  <si>
    <t xml:space="preserve">BD-ST-307</t>
  </si>
  <si>
    <t xml:space="preserve">Bit Apps</t>
  </si>
  <si>
    <t xml:space="preserve">Chattogram</t>
  </si>
  <si>
    <t xml:space="preserve">WordPress plugin SaaS (Bit Form, Bit Integrations, Bit Flows, Bit Assist, Bit Social, Bit SMTP, Bit File Manager)</t>
  </si>
  <si>
    <t xml:space="preserve">Freemium B2B SaaS — free plugins on WordPress.org with paid Pro plans (lifetime and yearly subscriptions)</t>
  </si>
  <si>
    <t xml:space="preserve">Active: sponsor/booth at WordCamp Dhaka 2025; products report 67,000+ active users in 150+ countries. Founder is based in Chattogram (his lifelong hometown, per his own account); team_size_mid uses the founder's stated team size of 35 (Jan 2025 interview) — a 2026 list says 40+.</t>
  </si>
  <si>
    <t xml:space="preserve">WPfounders, 'Abdul Kaioum of Bit Apps, Sharing His Story' — https://wpfounders.com/wordpress-plugin/abdul-kaioum-bit-apps/ ; Bit Apps at WordCamp Dhaka 2025 (CEO Md. Abdul Kaioum; team) — https://bitapps.pro/bit-apps-at-wordcamp-dhaka-2025/ ; WordCamp Dhaka 2025 sponsor page (Bit Form launched 2019; 67,000+ active users) — https://dhaka.wordcamp.org/2025/sponsor/bit-apps/ ; '35 Best WordPress Companies in Bangladesh' (Bit Apps founded 2019, 40+ professionals) — https://bdthemes.com/best-wordpress-companies-in-bangladesh/ || Funding evidence: (a) Founder's own account (WPfounders interview) describes a self-funded path — freelancing from 2017, a Zoho-partner services firm from 2018, then WordPress products from 2019 — with no investors mentioned. (b) Web searches for Bit Apps funding/investment (20 Oct 2026) returned only company, WordCamp and founder-story pages; no funding round, grant or investor is disclosed anywhere. || Frame: Tracxn – Startups in Bangladesh</t>
  </si>
  <si>
    <t xml:space="preserve">BD-ST-308</t>
  </si>
  <si>
    <t xml:space="preserve">Learn with Sumit</t>
  </si>
  <si>
    <t xml:space="preserve">Bangla-language programming education platform (own LMS with paid courses; 500+ free video tutorials)</t>
  </si>
  <si>
    <t xml:space="preserve">B2C paid online courses, with free YouTube content as the top of funnel</t>
  </si>
  <si>
    <t xml:space="preserve">Active: The Business Standard feature (2026) reports 500+ videos, 185,000+ YouTube subscribers and a learning community of over 100,000 members; founder profile lists the venture as current (Aug 2020 – present).</t>
  </si>
  <si>
    <t xml:space="preserve">Founder's official site, About &amp; work history (B.Sc. CSE BUET 2010; Analyzen Aug 2008–present; Learn with Sumit Aug 2020–present) — https://www.sumitsaha.me/about and https://www.sumitsaha.me/ ; The Business Standard, 'Bangladeshi educator Sumit Saha builds a wider path for developer learning' (2026) — https://www.tbsnews.net/bangladesh/bangladeshi-educator-sumit-saha-builds-a-wider-path-developer-learning-1541016 ; The Daily Star, 'From dorm room coder to national tech mentor' (Dec 2025) — https://www.thedailystar.net/tech-startup/news/dorm-room-coder-national-tech-mentor-the-journey-sumit-saha-4058061 || Funding evidence: (a) No investor, round or grant appears in the founder's official profile or in national-media features (TBS 2026; The Daily Star, Dec 2025), which describe his ventures as grown without foreign investment and the platform as course-revenue funded. (b) Web news search 'Learn with Sumit funding OR raises OR seed OR investment OR grant' (20 Oct 2026) found no funding round, grant or investor. || Frame: Tracxn – Startups in Bangladesh</t>
  </si>
  <si>
    <t xml:space="preserve">BD-ST-310</t>
  </si>
  <si>
    <t xml:space="preserve">MSB Academy</t>
  </si>
  <si>
    <t xml:space="preserve">E-learning platform (online courses incl. IT/freelancing skills)</t>
  </si>
  <si>
    <t xml:space="preserve">Sells online courses to individual learners through its own platform (skills.msbacademy.com)</t>
  </si>
  <si>
    <t xml:space="preserve">Platform skills.msbacademy.com live at collection, claiming 150,000+ students; Crunchbase lists Operating Status: Active; founder's MSB Digital site active in 2026.</t>
  </si>
  <si>
    <t xml:space="preserve">Founder's Teachlr profile: https://teachlr.com/masuksarker/ ; Crunchbase: https://www.crunchbase.com/organization/msb-academy (founder named; Operating Status: Active; Legal Name MSB Academy); platform: https://skills.msbacademy.com/ ; BangladeshYP listing (states he created MSB Academy in 2018 in Dhaka; searched 2026-10-20) || Funding evidence: (a) Crunchbase organization profile (https://www.crunchbase.com/organization/msb-academy) lists no genuine funding rounds — its only 'funding round' entries are placeholder records dated 1 Jan 1970 containing 'Lorem ipsum' text, i.e. data junk, not real rounds. (b) Web news search 'MSB Academy funding OR raises OR seed OR investment OR grant' on 2026-10-20 found no funding or grant item for the Bangladeshi company. || Frame: Tracxn explore listings, Dhaka/Bangladesh (fallback frame — StartupBlink Bangladesh listing unreadable)</t>
  </si>
  <si>
    <t xml:space="preserve">BD-ST-311</t>
  </si>
  <si>
    <t xml:space="preserve">CodemanBD</t>
  </si>
  <si>
    <t xml:space="preserve">IT and freelancing training institute (online and campus-based courses)</t>
  </si>
  <si>
    <t xml:space="preserve">Course fees from individual students for online and on-campus IT/freelancing training</t>
  </si>
  <si>
    <t xml:space="preserve">Own site codemanbd.com live and crawled in Oct 2026 with courses on sale; founder profile reports 10,000+ students trained across 200+ batches and a Rising Youth Award 2022. HQ address per site footer and Trustindex listing: 295/JHA/8-B Sikder Real Estate, Tali Office Road, Rayer Bazar, Dhaka 1209. Trade license TRAD/DSCC/006931/2021 shown on site.</t>
  </si>
  <si>
    <t xml:space="preserve">The Dhaka News founder profile: https://thedhakanews.com/post/592/ ; company site: https://codemanbd.com (HQ address and trade license TRAD/DSCC/006931/2021) ; founder's Udemy instructor bio: https://www.udemy.com/user/minhazul-asif-islam/ || Funding evidence: (a) No Tracxn or Crunchbase funding record (no rounds / $0) found for CodemanBD. (b) Web news search 'CodemanBD funding OR raises OR seed OR investment OR grant' on 2026-10-20 returned no funding or grant item; coverage describes a self-built training institute. || Frame: Tracxn explore listings, Dhaka/Bangladesh (fallback frame — StartupBlink Bangladesh listing unreadable)</t>
  </si>
  <si>
    <t xml:space="preserve">BD-ST-312</t>
  </si>
  <si>
    <t xml:space="preserve">Instructory</t>
  </si>
  <si>
    <t xml:space="preserve">Online teaching marketplace (instructors create and sell courses)</t>
  </si>
  <si>
    <t xml:space="preserve">Marketplace commission on course sales by independent instructors</t>
  </si>
  <si>
    <t xml:space="preserve">instructory.net live at collection; its Terms &amp; Conditions were last updated 10 Mar 2024. The Business Standard reported 40,000 course enrollments within 10 months of the COVID period (82 teachers at that time). Founding year coded 2019 per The Business Standard and fintechbd; a RocketReach profile text claims 2017 — the conflict is recorded here and 2019 used because two independent sources agree. Founder count caveat: Instructory's own Terms &amp; Conditions state the platform 'is owned and operated by Rifat M Huq, CEO &amp; Founder Of Instructory' (sole named founder in every source found); one blog paraphrase (bizmend) calls it a marketplace 'he co-founded' without naming any other co-founder. Instructory is Rifat M Huq's own venture, operationally separate from Shikhbe Shobai (which he co-founded earlier and left as CEO in May 2020 to focus on Instructory); it is not a corporate subsidiary.</t>
  </si>
  <si>
    <t xml:space="preserve">FutureStartup interview with the founder: https://futurestartup.com/2019/06/14/inside-online-learning-platform-shikhbe-shobai-with-rifat-m-huq/ ; The Business Standard: https://www.tbsnews.net/node/199474 (Instructory launched 2019; enrollment figures) ; Instructory Terms &amp; Conditions: https://instructory.net/terms-and-conditions (ownership by Rifat M Huq; updated 10 Mar 2024) ; fintechbd profile (searched 2026-10-20; launching in 2019, ~1,500 students pre-lockdown) || Funding evidence: (a) No Tracxn or Crunchbase funding rounds found for Instructory. (b) Web news search 'Instructory funding OR raises OR seed OR investment OR grant' on 2026-10-20 returned no funding or grant item; coverage (The Business Standard, fintechbd) describes organic growth from course sales. || Frame: Tracxn explore listings, Dhaka/Bangladesh (fallback frame — StartupBlink Bangladesh listing unreadable)</t>
  </si>
  <si>
    <t xml:space="preserve">BD-ST-314</t>
  </si>
  <si>
    <t xml:space="preserve">Pridesys IT Ltd</t>
  </si>
  <si>
    <t xml:space="preserve">Enterprise resource planning (ERP) software for ready-made garment, textile, manufacturing and trading enterprises (PRIDESYS ERP), AI-based fabric planning (PrideCut), and custom software development and implementation services</t>
  </si>
  <si>
    <t xml:space="preserve">B2B sale, implementation and support of ERP software products and custom software services to manufacturing and trading enterprises</t>
  </si>
  <si>
    <t xml:space="preserve">Founding year coded 2013 per the company's LinkedIn page and website text; Clutch lists 2014 — the conflict is disclosed here and 2013 is used. Rafee Mahmood (a Mahmud Group director) is listed as Chairman of Pridesys IT Ltd in a Textile Today interview; he is treated as chairman, not a founder — company sources name Mir Monuwar Iqbal alone as founder. Aggregates rest on the single documented founder. Recent-activity evidence: company blog post Feb 2025 and ASOCIO Outstanding Digital Transformation Organization Award 2025 (founder's website).</t>
  </si>
  <si>
    <t xml:space="preserve">Pridesys IT Ltd website https://pridesys.com/ (company profile, products, Feb 2025 blog post; head office Level-6, 8 20/21 Garden Road, Kawran Bazar, Dhaka-1215); founder's website https://monuwariqbal.com/ (education, career history, ASOCIO 2025 award); The Financial Express, 9 Jun 2022 (founder profile); LinkedIn company page 'Pridesys IT Ltd' (founded 2013; company size 201-500; '300+ team members' — team_size_mid coded 350 as the 201-500 range midpoint); Clutch profile 'Pridesys IT' (conflicting founding year 2014, disclosed in status_note). || Funding evidence: Checked 2026-10-20: (a) no Tracxn or Crunchbase funding profile or funding rounds found for Pridesys IT Ltd; (b) news search 'Pridesys IT funding OR raises OR seed OR investment OR grant' returned no funding, investment or grant item concerning the company. No investor, accelerator or grant is named in any source checked; the company presents itself as an organically grown product/services firm. || Frame: BASIS member listings (BASIS-published member coverage; directory itself unreadable)</t>
  </si>
  <si>
    <t xml:space="preserve">BD-ST-315</t>
  </si>
  <si>
    <t xml:space="preserve">NapTech Labs</t>
  </si>
  <si>
    <t xml:space="preserve">HTML5 game development and publishing, telco and brand gamification platforms, white-label game portals and educational games</t>
  </si>
  <si>
    <t xml:space="preserve">B2B game development, gamification and white-label portal services for telecom operators, brands and international clients, plus B2C publishing of its own HTML5 game catalogue (advertising and carrier-billing monetised)</t>
  </si>
  <si>
    <t xml:space="preserve">Pioneer Accelerator — the company's Kidy King educational-games platform 'ranked Top-2 startup at Pioneer Accelerator' (founder's website, musabbirhosain.com); no funding, equity or grant terms reported in any source</t>
  </si>
  <si>
    <t xml:space="preserve">Single documented founder (Founder &amp; Managing Director). Recent-activity evidence: The Financial Express feature of 27 Apr 2025 (16-member team, 600+ games published, exports to 24 countries, telco clients incl. Grameenphone, Robi, Teletalk) and the founder's current website. The founder's website reports that the company's Kidy King educational-games platform ranked Top-2 at Pioneer Accelerator; no funding, equity or grant terms are reported in any source, so accelerator_participated is coded 1 with disclosure while funding remains 0. Kidy King is presented in all sources as NapTech Labs' own platform, not a prior separate venture, supporting serial_entrepreneur = 0.</t>
  </si>
  <si>
    <t xml:space="preserve">The Financial Express, 27 Apr 2025 (NapTech Labs feature: BASIS member, founded September 2020, HQ ICT Tower, Agargaon, Dhaka; founder &amp; Managing Director Md. Musabbir Hosain, a CSE graduate of Daffodil International University; 16-member team; 600+ games published; exports to 24 countries); founder's website https://musabbirhosain.com/ (career journey phases, capabilities, Pioneer Accelerator Top-2 claim for Kidy King, 630+ games, 15+ team members). || Funding evidence: Checked 2026-10-20: (a) no Tracxn or Crunchbase funding record or funding rounds found for NapTech Labs; (b) news search 'NapTech Labs funding OR raises OR seed OR investment OR grant' returned no item concerning NapTech Labs (results referred to unrelated firms Naptha AI, NanoTech, Napatech). Disclosed: the founder's website claims a Top-2 ranking for the company's Kidy King platform at 'Pioneer Accelerator', with no funding terms reported anywhere; no investor or grant identified in any source checked. || Frame: BASIS member listings (BASIS-published member coverage; directory itself unreadable)</t>
  </si>
  <si>
    <t xml:space="preserve">BD-ST-316</t>
  </si>
  <si>
    <t xml:space="preserve">ThemeXpert</t>
  </si>
  <si>
    <t xml:space="preserve">Joomla templates and extensions and the Quix drag-and-drop page builder (CMS software products) sold to global customers</t>
  </si>
  <si>
    <t xml:space="preserve">Sale of premium Joomla template/extension licences and page-builder software to website owners, developers and agencies worldwide via its own storefront and online marketplaces; an explicitly bootstrapped product company</t>
  </si>
  <si>
    <t xml:space="preserve">Founding coded 2010, the year the first ThemeXpert template was launched and sold ('we launched the first template of ThemeXpert in 2010'; 'just completed 12 years of ThemeXpert' in Sep 2022); the founder states the company was formally registered in 2013 and took an office in Panthapath, Dhaka in late 2013. Sole founder: the friend who worked with him at launch was an employee, explicitly not a partner (Future Startup interview). Recent-activity evidence: company website live with blog updated Feb 2024 (checked Oct 2026), and the team actively building the ThriveDesk customer-support SaaS as its follow-on product.</t>
  </si>
  <si>
    <t xml:space="preserve">Future Startup interview with Parvez Akhter, founder of ThemeXpert and ThriveDesk, Sep 2022 (read in full via mirror https://virusword.com/building-a-global-software-company-out-of-bangladesh-an-interview-with-parvez-akhter-founder-themexpert-and-thrivedesk/); ThemeXpert website https://www.themexpert.com/blog/best-business-portfolio-template-for-startup/ (site live, blog updated Feb 2024, checked Oct 2026). || Funding evidence: Checked 2026-10-20: (a) no Tracxn or Crunchbase funding record or funding rounds found for ThemeXpert; (b) news search 'ThemeXpert funding OR raises OR seed OR investment OR grant' returned no funding item concerning the company. Future Startup (Sep 2022) describes ThemeXpert as 'a bootstrapped company through and through' and the founder states he never wanted to go for outside investment because of the limitations and expectations it brings. || Frame: Fallback frame — Tracxn Bangladesh software-sector listings / Future Startup Bangladesh software-founder coverage (BASIS directory unreadable)</t>
  </si>
  <si>
    <t xml:space="preserve">IN-ST-301</t>
  </si>
  <si>
    <t xml:space="preserve">The Caffeine Baar</t>
  </si>
  <si>
    <t xml:space="preserve">Internet-first specialty coffee brand (D2C packaged coffee, experience-centre cafes and in-house roastery)</t>
  </si>
  <si>
    <t xml:space="preserve">D2C retail of packaged specialty coffee via own e-commerce and marketplaces, plus own cafes and roastery</t>
  </si>
  <si>
    <t xml:space="preserve">Operating cafes (Church Street and Jayanagar, Bengaluru) and online packaged-coffee sales; featured in The Hindu (Aug 2024); restaurant-listing posts dated Apr-May 2026; legal entity CAFFEINE BAAR PRIVATE LIMITED (CIN U51909KA2020PTC133472, incorporated 18 Mar 2020) shows status Active with FY25 revenue in the Rs 0-10 Cr band (Tracxn).</t>
  </si>
  <si>
    <t xml:space="preserve">Tracxn company profile: https://tracxn.com/d/companies/the-caffeine-baar/__A43eFFMJP7t5kd8Q7iMjnv3sw1IBT94zNskmOU1t4Ps (unfunded, founded 2020, founders, employee count 10, legal entity and registered address, Bengaluru). YourStory author bio for Poojya Prasad: https://yourstory.com/author/poojyaprasad (biomedical engineer; two years at GE Healthcare). Kodagu First profile of Sreeraksha Poornesh (kodagufirst.in): MBA from Alliance Business School; ran family Baarbara Estate. The Hindu feature on The Caffeine Baar (thehindu.com, article 68557531, Aug 2024) naming both founders; ET HospitalityWorld founder interview (5 May 2022); FNB News founder interview (fnbnews.com). || Funding evidence: (a) Tracxn company profile (accessed 2026-10-20): 'unfunded company based in Bengaluru (India)... has not raised any funding yet', no funding rounds listed. (b) News search on 2026-10-20 for 'The Caffeine Baar funding OR raises OR seed OR investment OR grant' returned no funding announcement, only profiles and press features. No VC, angel, grant or accelerator-equity money found. || Frame: Tracxn – Startups in Bengaluru</t>
  </si>
  <si>
    <t xml:space="preserve">IN-ST-302</t>
  </si>
  <si>
    <t xml:space="preserve">Bhoomi Farms</t>
  </si>
  <si>
    <t xml:space="preserve">Online retailer of organic vegetables and farm produce grown with regenerative farming</t>
  </si>
  <si>
    <t xml:space="preserve">B2C online grocery retail of own-farm and partner-farm organic produce with home delivery and subscription options</t>
  </si>
  <si>
    <t xml:space="preserve">Legal entity BHOOMI INDIA AGTECH PRIVATE LIMITED (CIN U01409KA2020PTC131921) is Active with FY25 revenue Rs 12.1 Cr and 173 employees as of Aug 2025 (Tracxn legal-entity profile); registered address in Bengaluru. Founding-year sources conflict: Tracxn frame says 2018 (coded), an Akshaya Kalpa feature says Shankar Venkataraman founded it in 2015, and the legal entity was incorporated 24 Jan 2020. Co-founder Srinivasan Raman has no accessible biography (Tracxn board tenure of 1y 6m suggests later formal addition); all founder aggregates are determined by the documented co-founder Shankar Venkataraman, and stem_share counts the undocumented co-founder as non-STEM, so it is a lower bound.</t>
  </si>
  <si>
    <t xml:space="preserve">Tracxn company profile: https://tracxn.com/d/companies/bhoomi-farms/__cQTx8XHS--Zm1z9Dt3MFqZv_5_xG_82dk5LQwSkcu5M (unfunded, founded 2018, founders Shankar Venkataraman and Srinivasan Raman, 129 employees as of 31 May 2025, Bengaluru registered address). Tracxn legal-entity profile for BHOOMI INDIA AGTECH PRIVATE LIMITED (incorporated 24 Jan 2020, FY25 revenue Rs 12.1 Cr, 173 employees Aug 2025). Mapletree Farms profile of Shankar Venkataraman (vak1969.com, Nov 2018): BITS Pilani graduate, Texas Instruments, founder of Hillview Organics, California. EPC/BITS alumni profile (epcbits.com): wound up the US farm business in 2015 and joined Mapletree Farms. Akshaya Kalpa farmer feature (gfm.akshayakalpa.org) on Shankar Venkataraman and Bhoomi Farms. || Funding evidence: (a) Tracxn company profile (accessed 2026-10-20): 'unfunded company based in Bengaluru (India)... has not raised any funding yet'; legal-entity profile: 'has not raised any funding rounds yet'. (b) News search on 2026-10-20 for 'Bhoomi Farms OR Bhoomi India Agtech funding OR raises OR seed OR investment' returned no funding announcement, only profiles and retail features. No VC, angel, grant or accelerator-equity money found. || Frame: Tracxn – Startups in Bengaluru</t>
  </si>
  <si>
    <t xml:space="preserve">IN-ST-309</t>
  </si>
  <si>
    <t xml:space="preserve">Satin Neo Dimensions</t>
  </si>
  <si>
    <t xml:space="preserve">Architectural &amp; engineering design services</t>
  </si>
  <si>
    <t xml:space="preserve">B2B design services (infrastructure, corporate, institutional and hospitality projects)</t>
  </si>
  <si>
    <t xml:space="preserve">Company website live; MD Satvinder Singh interviewed as MD in In-store Asia/EuroShop coverage; group venture (Mohh) active in press. Caveat: company is a Satin-group promoter venture and itself invests in other startups; it does not receive funding.</t>
  </si>
  <si>
    <t xml:space="preserve">Tracxn 'Architects Startups in Delhi NCR' explore listing: https://tracxn.com/d/explore/architects-startups-in-delhi-ncr-india/__I0qn-5lbzdLzzc03IdModn__e-mQyGgOC99YY06_H7w ; company About page, satinneodimensions.com (founder Satvinder Singh, MBA IMT Ghaziabad, Satin Creditcare built from scratch to IPO); Satin Creditcare corporate-governance report, satincreditcare.com (director appointment 16 Oct 1990); YourStory (Aug 2019) Vedalabs pre-Series A (Satin Neo Dimensions as investor); retail4growth, Glue Design strategic investment. || Funding evidence: (a) Tracxn lists Stage: Unfunded with no funding rounds. (b) News search 'Satin Neo Dimensions funding OR raises OR seed OR investment OR grant' (20 Oct 2026) found no funding received; coverage shows the company only as an INVESTOR in others (Vedalabs pre-Series A participation, YourStory Aug 2019; strategic investment in Glue Design, retail4growth). || Frame: Tracxn explore - Architects Startups in Delhi NCR, India</t>
  </si>
  <si>
    <t xml:space="preserve">IN-ST-310</t>
  </si>
  <si>
    <t xml:space="preserve">NikahForever</t>
  </si>
  <si>
    <t xml:space="preserve">Online matrimony / matchmaking platform (Muslim matrimony)</t>
  </si>
  <si>
    <t xml:space="preserve">B2C subscription plans (monthly/yearly membership plans)</t>
  </si>
  <si>
    <t xml:space="preserve">Android app updated Oct 2026 (AppBrain); Inc42 reports FY25 revenue of Rs 4.8 Cr+ and 198 employees; company FAQ claims 4M+ members and 75,000+ marriages. Founding-year conflict: company FAQ, Inc42 and TechStory state founded 2018; Tracxn listing states 2019 - coded 2018 (majority, incl. primary source). Legal entity: GOALWIT TECHNOLOGIES PRIVATE LIMITED, HQ New Delhi.</t>
  </si>
  <si>
    <t xml:space="preserve">Tracxn 'Matchmaking Startups in Delhi NCR' explore listing (tracxn.com/d/explore); Inc42 company profile (Company Type: Bootstrapped; FY25 revenue Rs 4.8 Cr+; 198 employees; legal entity GOALWIT TECHNOLOGIES PRIVATE LIMITED; HQ New Delhi; founded 2018); Moneymint founder profile (computer engineering, Jamia Hamdard University; Goalwit Technologies started 2017; two unsuccessful ventures); company FAQ, nikahforever.com (founded 2018 by Hammad Rahman); TechStory (founded 2018); AppBrain Android listing (app updated Oct 2026). || Funding evidence: (a) Tracxn lists Stage: Unfunded with no funding rounds; Inc42 classifies the company type as 'Bootstrapped'. (b) News search 'NikahForever funding OR raises OR seed OR investment OR grant' (20 Oct 2026) found nothing about funding received (only the company's own pages). || Frame: Tracxn explore - Matchmaking Startups in Delhi NCR, India</t>
  </si>
  <si>
    <t xml:space="preserve">IN-ST-311</t>
  </si>
  <si>
    <t xml:space="preserve">Heyday Care</t>
  </si>
  <si>
    <t xml:space="preserve">Organic feminine hygiene &amp; personal care products (sanitary pads, panty liners, menstrual cups, baby diapers)</t>
  </si>
  <si>
    <t xml:space="preserve">D2C consumer brand sold via own website, marketplaces (Amazon, Flipkart, Nykaa, FirstCry, 1MG) and 300+ offline retail chains</t>
  </si>
  <si>
    <t xml:space="preserve">Brand currently listed for purchase in an iDiva sustainable-pads roundup crawled Oct 2026 and profiled as operating by Jumpstart Magazine (300+ stores; Amazon/Nykaa/Flipkart/FirstCry/1MG); founder Deepanjali Kanoria actively represents the brand in BioSpectrum. The company website (heydaycare.com) resolves but blocks automated fetching (HTTP 403), so activity evidence rests on current retail/press presence rather than a dated 2025 press release. Founder's married surname is Kanoria; she founded the company as Deepanjali Dalmia.</t>
  </si>
  <si>
    <t xml:space="preserve">YourStory Companies profile https://yourstory.com/companies/heyday (legal name Heyday Care LLP; HQ Gurugram; founding date 2016; 11-20 employees - team_size_mid 15 is the midpoint of that sourced range; core team: Deepanjali Kanoria, Founder &amp; CEO); YourStory HerStory https://yourstory.com/herstory/2021/03/sustainable-hygiene-startup-menstruation-women-heydey (Barnard College, psychology &amp; economics; EY Manhattan from 2014; quit Sep 2015; launched Oct 2017; 300+ retail chains); NDTV Swachh India https://swachhindia.ndtv.com/challenging-social-taboos-26-year-old-deepanjali-quit-job-new-york-sell-organic-sanitary-pads-india-17535/ (funds mostly own savings, some family support); Sunday Guardian Live founder interview ('completely bootstrapped'); leaderbiography.com Deepanjali Dalmia biography (Barnard, Leadership Scholar 2013; EY); CB Insights https://www.cbinsights.com/company/heyday-2/alternatives-competitors ; iDiva sustainable-pads roundup (brand currently on sale; crawled Oct 2026) https://www.idiva.com/amp/health-wellness/well-being/sanitary-pads-that-are-sustainable-organic-and-made-in-india/18012432 || Funding evidence: (a) YourStory Companies profile (legal name Heyday Care LLP) lists no funding rounds and no investors. (b) News search 'Heyday Care funding OR raises OR seed OR investment OR grant' (20 Oct 2026) returned NO funding for the Indian company - every 'Heyday raised' result concerns unrelated same-name firms (US skincare chain Heyday; Montreal conversational-AI Heyday; heyday.co brand aggregator). (c) Founder states on record: 'till date we are completely bootstrapped' (Sunday Guardian Live interview); NDTV reports the funds came mostly from her own savings with some family support - no VC/angel/grant round disclosed anywhere. Note: a Tracxn company-profile sighting could not be obtained (see frame_detail). || Frame: Tracxn explore - Delhi NCR frame (sector listings) - see frame_detail deviation note</t>
  </si>
  <si>
    <t xml:space="preserve">IN-ST-312</t>
  </si>
  <si>
    <t xml:space="preserve">Digidarts</t>
  </si>
  <si>
    <t xml:space="preserve">Digital (performance) marketing agency services</t>
  </si>
  <si>
    <t xml:space="preserve">B2B agency services - full-funnel performance marketing, SEO, media planning &amp; buying and marketing automation for brand clients; proprietary tools (DecisionBoard AI, DashIQ, DareAISearch)</t>
  </si>
  <si>
    <t xml:space="preserve">Founder interviewed about 2025 trading (Middle East expansion; launch of the DareAISearch AI product) in a MediaNews4U outlook piece for 2026, crawled Oct 2026; agency marked its 10th anniversary in Nov 2024 releases.</t>
  </si>
  <si>
    <t xml:space="preserve">Adgully interview https://archive.adgully.com/performance-marketing-in-india-is-poised-to-take-an-evolutionary-path-siddhartha-vanvani-146049.html (finished master's in the UK, founded Digidarts at 22); YourStory author bio https://yourstory.com/author/siddharthavanvani (Masters in International Marketing Management, University of Leeds; founded DigiDarts in 2014); New Indian Express, 14 Nov 2019 https://www.newindianexpress.com/business/2019/nov/14/digidarts-aims-to-achieve-a-200-per-cent-yoy-growth-by-fy20-2061595.html (bootstrapped agency started 2014; Leeds alumnus); Business Standard / ANI, 13 Nov 2021 https://www.business-standard.com/content/press-releases-ani/digidarts-india-s-pioneer-performance-driven-360%C2%B0-digital-agency-is-celebrating-7-glorious-years-of-accelerating-performance-121111300610_1.html (headquartered in Gurugram; operating since 2014; Nitisha Agarwal is COO, not a co-founder); ThePrint / ANI, 13 Nov 2024 https://theprint.in/ani-press-releases/digidarts-celebrates-a-decade-of-digital-excellence-a-10-year-journey-of-growth-and-innovation/2354933/ (bootstrapped; 10 years); MediaNews4U interview https://www.medianews4u.com/2026-is-about-proving-that-ai-visibility-can-be-productised-siddhartha-vanvani-digidarts/ (bootstrapped; 2025 Middle East expansion). || Funding evidence: (a) No funding round is recorded in any company profile or coverage found. (b) Formal news search 'Digidarts funding OR raises OR seed OR investment OR grant' (20 Oct 2026) found NO raise - all results concerned unrelated entities (DIGID fund, DIG Ventures, d1g1t, Digantara). (c) Repeated first-party statements: 'started as a bootstrapped agency in 2014' (New Indian Express, 14 Nov 2019); founder in the 10-year release (Nov 2024): 'Being bootstrapped has empowered us to build with sustainability and profitability at the core'; MediaNews4U interview premise and answer both confirm the company does not rely on external funding. || Frame: Tracxn explore - Delhi NCR frame (sector listings) - see frame_detail deviation note</t>
  </si>
  <si>
    <t xml:space="preserve">IN-ST-316</t>
  </si>
  <si>
    <t xml:space="preserve">Designerrs</t>
  </si>
  <si>
    <t xml:space="preserve">Provider of outcome-based UX/UI design courses and corporate training</t>
  </si>
  <si>
    <t xml:space="preserve">Outcome-based UX/UI design courses sold to individual learners, plus corporate training engagements; described by its founder as a profitable, bootstrapped business</t>
  </si>
  <si>
    <t xml:space="preserve">Founding history: Atul Kumar Chhabra founded Designerrs in 2016; Sidhant Goyal joined as co-founder in 2018 (per his own timeline). The legal entity UNLEARN AND LEARN PRIVATE LIMITED (CIN U80900KA2021PTC153622) was incorporated on 26 Oct 2021, after the 2016 founding year reported by Tracxn and the founders. Co-founder Atul Kumar Chhabra's degree level is not published (he is an alumnus of the National Institute of Design; whether B.Des or M.Des is unstated), so his edu fields are null and the company aggregates rest on the documented co-founder. The name is spelled 'Sidhant Goyal' by Tracxn and his own website; the company's About page spells it 'Siddhant' once. Employee count is the Tracxn profile headline (79 as of 31 Aug 2026); the entity table shows 30 as of 29 Feb 2024.</t>
  </si>
  <si>
    <t xml:space="preserve">Tracxn company profile: https://tracxn.com/d/companies/designerrs/__vFomVa35bvusPKVp6ig-p2DJjKlvukloOFqrC46G3dI (unfunded, founded 2016 by Sidhant Goyal and Atul Kumar Chhabra, 79 employees as of 31 Aug 2026, entity UNLEARN AND LEARN PRIVATE LIMITED inc. 26 Oct 2021, revenue &lt;Rs 10 Cr FY25). Founder's own site/timeline: https://sidhantgoyal.in/ (IIT Guwahati 2012–2016; Samsung R&amp;D 2016–2018; co-founded Designerrs 2018; 'profitable, bootstrapped'). Company About page: https://designerrs.com/about-designerrs/ (Atul Kumar Chhabra: Founder &amp; CEO, ex-Samsung, TCS, NID alumnus). || Funding evidence: (a) Tracxn company profile (opened 2026-10-20; page updated 2026-09-21): 'has not raised any funding yet' and 'has not raised any funding rounds yet'; the FAQ contains no funded-company line. (b) News search on 2026-10-20 for 'Designerrs funding OR raises OR seed OR investment OR grant' returned no funding announcement. The founder's own website describes Designerrs as profitable and bootstrapped. No VC, angel, grant or accelerator-equity money found. || Frame: Tracxn – Bengaluru company profiles (fallback frame 1, continuing after IN-A's examined set)</t>
  </si>
  <si>
    <t xml:space="preserve">IN-ST-317</t>
  </si>
  <si>
    <t xml:space="preserve">Fincurious</t>
  </si>
  <si>
    <t xml:space="preserve">Platform offering professional financial courses</t>
  </si>
  <si>
    <t xml:space="preserve">Online and offline practical finance courses with simulation software, job-placement assistance, authorised training centres and recruiter partnerships, sold to individual learners and institutions</t>
  </si>
  <si>
    <t xml:space="preserve">Tracxn lists Rahul Saria as 'Former Co-Founder'; he is coded as a founder because he co-founded the company in 2017. His industry_exp_years (5) is a conservative derivation from the company's own '15+ years' claim and is this row's main caveat — see his exp_evidence. His serial flag rests on a single aggregator profile (18startup.com) naming him in the founding team of Nimble Growth Organics (inception 2017, contemporaneous with Fincurious), so serial_entrepreneur reflects repeat/parallel founding rather than a completed prior exit. Co-founder Ganesh Shetty has no verifiable biography (all his fields are null); aggregates rest on Rahul Saria alone, and any_stem_founder = 0 is determined by the documented founder. Tracxn notes Fincurious made one investment in Conker World — an outbound investment by the company, not funding received. Employee count is the Tracxn headline (22 as of 31 Aug 2026).</t>
  </si>
  <si>
    <t xml:space="preserve">Tracxn company profile: https://tracxn.com/d/companies/fincurious/__I7zATMcyyBAkvCnGAVfOr3vNCsGjLGkDC3M7ValLADE (unfunded, founded 2017 by Rahul Saria and Ganesh Shetty, 22 employees as of 31 Aug 2026; entities FINCURIOUS CONSULTING PRIVATE LIMITED inc. 13 Oct 2016 and FINCURIOUS INNOVATIONS PRIVATE LIMITED inc. 2 Jun 2023). ZebraLearn instructor profiles: https://go.zebralearn.com/fincurious and /rahul-saria-1-0 (CA and CS, All India Rank holder). YourStory author bio: https://yourstory.com/author/rahulsaria (Director Finance at Near.co; Head Finance at Rentomojo; ICAI award 2016). 18startup.com Nimble Growth Organics profile (Rahul Saria in founding team). Fincurious course pages: https://fincurious.com ('15+ years of experience'). NOTE: two thefinancestory.com CA career profiles found in search are different people and were not used. || Funding evidence: (a) Tracxn company profile (opened 2026-10-20; page updated 2026-09-26): 'has not raised any funding yet' and 'has not raised any funding rounds yet'; the FAQ contains no funded-company line. (b) News search on 2026-10-20 for 'Fincurious funding OR raises OR seed OR investment OR grant' returned no funding announcement, only the Tracxn profile and course pages. No VC, angel, grant or accelerator-equity money found. || Frame: Tracxn – Bengaluru company profiles (fallback frame 1, continuing after IN-A's examined set)</t>
  </si>
  <si>
    <t xml:space="preserve">IN-ST-318</t>
  </si>
  <si>
    <t xml:space="preserve">MaxEye Tech</t>
  </si>
  <si>
    <t xml:space="preserve">Provider of a suite of V2X solutions for connected vehicles (automotive test and measurement instruments)</t>
  </si>
  <si>
    <t xml:space="preserve">B2B sale of connected-vehicle test instruments and solutions (cellular network emulators, battery cell simulators, V2X test suites) to automotive OEMs and suppliers</t>
  </si>
  <si>
    <t xml:space="preserve">Sole founder per Tracxn. A second director, Jaishreepadma Rameshkrishnan, joined the board on 30 Nov 2021 as an independent board member and is not identified as a co-founder in any source, so n_founders = 1. Employee count uses the Tracxn profile headline (90 as of 31 May 2025); the legal-entity table shows 105 as of 1 Apr 2026. The company exhibited at Automotive Testing Expo India 2025, launching its MWT-200 cellular network emulator and MBCS-12 battery cell simulator; revenue Rs 10–50 Cr band FY25 (Rs 27.84 Cr per thecompanycheck).</t>
  </si>
  <si>
    <t xml:space="preserve">Tracxn company profile: https://tracxn.com/d/companies/maxeyetech/__A40w0B1qoAVWmFMvTbt9wV1Qu2xiRl2vZPGBnjVmpy4 (unfunded, founded 2011 by Ramesh Krishnan Narayanan, 90 employees as of 31 May 2025; entity MAXEYE TECHNOLOGIES PRIVATE LIMITED, CIN U64203KA2011PTC059947, inc. 10 Aug 2011; revenue Rs 10–50 Cr FY25). SAE India speaker bio (saeindia.glueup.com event page): master's in Electrical Engineering, College of Engineering Guindy, Anna University; 24+ years of experience; prior employers National Instruments, L&amp;T Infotech, Sasken, Epigon Media Technologies. TheCompanyCheck profile (Rs 27.84 Cr FY25 revenue; DPIIT-recognised startup). || Funding evidence: (a) Tracxn company profile (opened 2026-10-20; page updated 2026-09-04): 'has not raised any funding yet' and 'has not raised any funding rounds yet'; the FAQ contains no funded-company line. (b) News search on 2026-10-20 for 'MaxEye Tech funding OR raises OR seed OR investment OR grant' returned only GalaxEye (a different, funded spacetech company) and an unrelated Shenzhen company of a similar name. No funding found for MaxEye Tech. || Frame: Tracxn – Bengaluru company profiles (fallback frame 1, continuing after IN-A's examined set)</t>
  </si>
  <si>
    <t xml:space="preserve">IN-ST-319</t>
  </si>
  <si>
    <t xml:space="preserve">Taskmonk</t>
  </si>
  <si>
    <t xml:space="preserve">AI based data labeling and workflow orchestration platform</t>
  </si>
  <si>
    <t xml:space="preserve">B2B SaaS platform charged pay-as-you-go per active user per month (US$60 per taskmonk.ai pricing page), plus fully managed data-annotation services for enterprise AI teams</t>
  </si>
  <si>
    <t xml:space="preserve">Co-founded in July 2018 per YourStory's Tech30 profile; the legal entity TASKMONK TECHNOLOGY PRIVATE LIMITED (CIN U72900KA2016PTC147355) was incorporated earlier, on 27 Jul 2016 — the vehicle pre-dates the product launch, and co-founder Chetan Velkur's ~10-year board tenure aligns with 2016. Co-founder Chetan Velkur also founded and runs Kriya Nextwealth (impact-sourcing BPO, Chittoor, est. 2010); Taskmonk is a separate legal entity and venture, not a subsidiary. Co-founder Vikram Kedlaya's education is not published (his edu fields are null); aggregates rest on the two documented co-founders. One secondary aggregator (Prospeo) lists a single 'funding round' dated 2020-08-20 with no amount, investors or article; it is uncorroborated by Tracxn, Inc42 or any news report and is disclosed in funding_evidence. Employee count is the Tracxn headline (24 as of 31 May 2026).</t>
  </si>
  <si>
    <t xml:space="preserve">Tracxn company profile: https://tracxn.com/d/companies/taskmonk/__1lsy0asQPkDdZc4UwmWHjqRnvNqwMqufq9NQ4tv6gdM (unfunded, founded 2018, 24 employees as of 31 May 2026; entity TASKMONK TECHNOLOGY PRIVATE LIMITED inc. 27 Jul 2016; revenue &lt;Rs 10 Cr FY25). YourStory Tech30 profile (Oct 2020): http://yourstory.com/2020/10/tech30-taskmonk-ai-ml-enterprises-data-labelling-bengaluru-startup (Chetan Velkur, Sampath Herga and Vikram Kedlaya co-founded Taskmonk in July 2018; Chetan's labelling BPO; Sampath's MeshLabs acquired by Pega in 2014). Kriya Nextwealth About page: https://www.kriyanxw.com/about-us.html (Chetan's University of Kentucky master's, GE Energy, Six Sigma, 4 patents; founded Kriya in 2010). Sampath Herga profile summary: https://me.sh/profile/sampath-herga (BS Computer Science, University of Mumbai; 20+ years; MeshLabs co-founder). MeshLabs acquisition: https://www.techcircle.in/2014/05/07/pegasystems-acquires-bangalore-based-text-mining-analytics-firm-meshlabs . Taskmonk pricing: https://www.taskmonk.ai/ ($60 per active user per month). Prospeo profile (uncorroborated funding artifact): https://prospeo.io/c/taskmonk-email-format . || Funding evidence: (a) Tracxn company profile (opened 2026-10-20; page updated 2026-10-10): 'has not raised any funding yet' and 'has not raised any funding rounds yet'; the FAQ contains no funded-company line. (b) News search on 2026-10-20 for 'Taskmonk funding OR raises OR seed OR investment OR grant' returned only TeaMonk (a different, funded tea brand) and Taskmonk's own website — no funding announcement for Taskmonk. Caveat: Prospeo's scraped profile of Taskmonk lists one funding round dated 2020-08-20 with amount 'N/A' and no investors or linked article; no other source corroborates any round, so any_external_funding is coded 0 on the preponderance of sources, with this artifact disclosed here. || Frame: Tracxn – Bengaluru company profiles (fallback frame 1, continuing after IN-A's examined set)</t>
  </si>
  <si>
    <t xml:space="preserve">IN-ST-320</t>
  </si>
  <si>
    <t xml:space="preserve">Foiwe</t>
  </si>
  <si>
    <t xml:space="preserve">IT and IT enabled services in consulting, technology and help desk; specialising in content moderation</t>
  </si>
  <si>
    <t xml:space="preserve">B2B IT/IT-enabled services outsourcing — content moderation and user-generated-content management, customer and technical support, testing and IT consulting for platforms and enterprises</t>
  </si>
  <si>
    <t xml:space="preserve">Founded as Foiwe Info Global Solutions LLP (registered 7 Jul 2010, per the Tracxn legal-entity table and the founder's own narrative); the private-limited company FOIWE INFO GLOBAL SOLUTIONS PRIVATE LIMITED was incorporated later, on 22 Apr 2019, for the same business. Founder Suman Howlader later founded CarZippi (2015) and other ventures, which post-date Foiwe and do not affect serial_entrepreneur = 0 at Foiwe's founding. Tracxn's revenue figure (&lt;Rs 10 Cr) is stale (FY2018); the founder's published profile reports ~Rs 18 Cr turnover. Employee count is the Tracxn headline (386 as of 31 Aug 2026).</t>
  </si>
  <si>
    <t xml:space="preserve">Tracxn company profile: https://tracxn.com/d/companies/foiwe/__jvSEwj_hPrh6KNG_Znu8zSoqGGqsXj2vnEkifUiLSFs (unfunded, founded 2010 by Suman Howlader, 386 employees as of 31 Aug 2026; entities Foiwe Info Global Solutions LLP reg. 7 Jul 2010 and FOIWE INFO GLOBAL SOLUTIONS PRIVATE LIMITED inc. 22 Apr 2019). Founder narrative (YourStory feature): https://www.foiwe.com/starting-with-rs-60000-in-a-50-sq-ft-office-this-lad-from-a-village-built-a-rs-18-crore-turnover-firm-in-bengaluru/ (schooling 1998; hotel-management course; ITC Infotech 2001; MBA 2003; MCA; IBM/Unisys; registered Foiwe in July 2010). YourStory CarZippi profile: http://yourstory.com/2015/12/carzippi/ (MBA from Bangalore University; 14 years' experience with IBM, Thomson Reuters and Unisys). SuperAGI profile: https://sales.superagi.com/contact/suman-howlader (Thomson Reuters 2009–2012; Unisys 2006–2009). Outsource Accelerator company review: https://www.outsourceaccelerator.com/company/foiwe/ (Bengaluru HQ; content-moderation specialisation). || Funding evidence: (a) Tracxn company profile (opened 2026-10-20; page updated 2026-09-17): 'has not raised any funding yet' and 'has not raised any funding rounds yet'; the FAQ contains no funded-company line. (b) News search on 2026-10-20 for 'Foiwe funding OR raises OR seed OR investment OR grant' returned no funding announcement (results were unrelated grant programmes). No VC, angel, grant or accelerator-equity money found. || Frame: Tracxn – Bengaluru company profiles (fallback frame 1, continuing after IN-A's examined set)</t>
  </si>
  <si>
    <t xml:space="preserve">IN-ST-322</t>
  </si>
  <si>
    <t xml:space="preserve">Troika Tech</t>
  </si>
  <si>
    <t xml:space="preserve">Digital marketing, branding and e-commerce services (agency)</t>
  </si>
  <si>
    <t xml:space="preserve">B2B digital marketing / branding agency and e-commerce services provider (fee-for-service; group entities Troika Tech Services Pvt Ltd and Troika Management Services Pvt Ltd)</t>
  </si>
  <si>
    <t xml:space="preserve">Tracxn HQ city is Mumbai; the registered address is Mira Road East (Thane district, Mumbai Metropolitan Region). n_founders = 3 per Tracxn's current team listing and co-founder Godwin Pinto's own founders post (an earlier Tracxn crawl named only 2). Operating entities TROIKA MANAGEMENT SERVICES PRIVATE LIMITED (inc. 6 Nov 2013) and TROIKA TECH SERVICES PRIVATE LIMITED (inc. 27 Apr 2017) postdate the 2012 founding, consistent with an initially unregistered start. Founder aggregates rest on Godwin Pinto, the only documented founder; his education evidence is partly self-published (his Medium author bios), corroborated across multiple posts. Survival: 20 employees as of 31 Aug 2026 (Tracxn) and active 2025-26 client/press activity.</t>
  </si>
  <si>
    <t xml:space="preserve">Tracxn company profile (unfunded, Mumbai, founded 2012, 3 co-founders, 20 employees as of 31 Aug 2026, entities and CINs): https://tracxn.com/d/companies/troika-tech/__6DWS-BY-uzzqZgwd4Pa3bqrI3oBFXMvd6vEOlwvx13I ; Godwin Pinto founder bios (BSc Physics &amp; Electronics, St. Xavier's; PGDM, NMIMS; employers; 21+ years experience; 2012 launch with Mawin Pinto and Parvati Matkate): https://godwinpintoai.medium.com/godwin-pinto-the-ai-website-visionary-reshaping-indias-digital-future-ce51fe246c97 ; https://godwinpintoai.medium.com/meet-founders-and-owner-s-of-troika-tech-services-mumbai-india-15b1d6c53748 ; funding news search run 2026-10-20 (no results for the Indian company). || Funding evidence: (a) Tracxn company profile opened 20 Oct 2026: 'unfunded company based in Mumbai... has not raised any funding yet' and 'Troika Tech has not raised any funding rounds yet'; no funded line anywhere in the profile text or FAQ. (b) News search 'Troika Tech funding OR raises OR seed OR investment OR grant' (20 Oct 2026) found no funding announcement for the Indian company; the only funding hit was an unrelated US firm ('Troika' SAN company, $13M). No VC/angel/grant/accelerator-equity found. || Frame: Tracxn - Mumbai company profiles / sector x geo explore listings (fallback frame)</t>
  </si>
  <si>
    <t xml:space="preserve">IN-ST-323</t>
  </si>
  <si>
    <t xml:space="preserve">Applied Cloud Computing</t>
  </si>
  <si>
    <t xml:space="preserve">Thane</t>
  </si>
  <si>
    <t xml:space="preserve">Cloud computing services (IaaS/PaaS/DaaS, managed cloud services, cloud migration and training)</t>
  </si>
  <si>
    <t xml:space="preserve">B2B cloud solutions and managed-services provider (services-led; 'ACC Management Platform', backup/DR/storage on demand; AWS/Azure partner services)</t>
  </si>
  <si>
    <t xml:space="preserve">Founding coded 2013 (month 8) per Tracxn and the founder's own interview: Nilesh Satpute quit his job in Aug 2013 to pursue the venture full-time and registered the private limited company after a first big assignment in Aug 2014 (APPLIED CLOUD COMPUTING PRIVATE LIMITED, CIN U72900MH2014PTC257649, inc. 27 Aug 2014); YourStory's company profile lists founding year 2014 - minority source. Aggregates rest on Nilesh Satpute, the only documented founder. Survival: 377 employees as of 31 Aug 2025 and revenue Rs 50-100 Cr in FY25 (Tracxn).</t>
  </si>
  <si>
    <t xml:space="preserve">Tracxn company profile (unfunded, Thane, founded 2013, founders, 377 employees as of 31 Aug 2025, entity CIN U72900MH2014PTC257649 inc. 27 Aug 2014, FY25 revenue Rs 50-100 Cr): https://tracxn.com/d/companies/appliedcloudcomputing/__vDAchJGM-5I_cFExx-Yxof_gaqyq_PoxIdIaCb9j3z0 ; Nilesh Satpute founder interview (Hexaware 2004, IBM, MBA, Wipro, quit Aug 2013, company registered after Aug 2014 assignment): https://www.eatmy.news/2021/06/nilesh-satpute-i-think-formal-education.html ; IIT Bombay workshop deck (BE Computer Science, VJTI; MBA, JBIMS; served IBM, HP, Wipro, Hexaware): https://www.slideshare.net/nileshsatpute/cloud-computing-workshop-at-iit-bombay ; funding news search run 2026-10-20 (no raise found). || Funding evidence: (a) Tracxn company profile opened 20 Oct 2026: 'unfunded company based in Thane... has not raised any funding yet' and 'Applied Cloud Computing has not raised any funding rounds yet'; no funded line in the profile text or FAQ. (b) News search 'Applied Cloud Computing funding OR raises OR seed OR investment OR grant' (20 Oct 2026) found no raise for the Thane company (only unrelated appCD and a UK 'Applied Computing'). DISCLOSURE: Tracxn's legal-entity records show one Axis Bank loan of Rs 1.7 Cr (charge created 1 Mar 2021) - bank debt, not a VC/angel/equity/grant round; any_external_funding = 0 is coded on the study's external-investment basis with the debt disclosed here. || Frame: Tracxn - Mumbai company profiles / sector x geo explore listings (fallback frame)</t>
  </si>
  <si>
    <t xml:space="preserve">IN-ST-324</t>
  </si>
  <si>
    <t xml:space="preserve">Transformatrix</t>
  </si>
  <si>
    <t xml:space="preserve">HR transformation, staffing/recruitment, payroll &amp; compliance and business-transformation consulting (incl. VerifyDesk background-verification service)</t>
  </si>
  <si>
    <t xml:space="preserve">B2B HR and business-transformation consulting and staffing services (fee-for-service)</t>
  </si>
  <si>
    <t xml:space="preserve">Brand founded 2018 (Tracxn; Transformatrix LLP registered 2018); TRANSFORMATRIX GLOBAL PRIVATE LIMITED was incorporated 20 Sep 2021 (CIN U74999MH2021PTC367747). Founder count: Tracxn names 2 co-founders (Dolphy Mascarenhas, Arun Vaz); company/Internshala materials describe a collaboration of 3-4 entrepreneurs and Agnel Dsouza also appears as a leader in company materials - coded n_founders = 2 per Tracxn. serial_entrepreneur = 1 rests on Dolphy Mascarenhas's documented 2016 prior founding (single source: Affluense executive profile). Team size: Tracxn legal-entity page reports 39 employees (30 Sep 2024, MCA-based) while Inc42 lists 99 - coded 39, the dated figure. Survival: active hiring (Internshala, Mar-Apr 2026 intakes), company social posts Jan 2026, FY25 revenue Rs 8.73 Cr. Aggregates (education/STEM/experience) rest on Arun Vaz, the only fully documented founder.</t>
  </si>
  <si>
    <t xml:space="preserve">Tracxn company profile (unfunded, Mumbai, founded 2018 by Dolphy Mascarenhas and Arun Vaz, no funding rounds): https://tracxn.com/d/companies/transformatrix/__kQCXIwUMkud6XJICl0988eKiTv0hqRiJlFkF4i4r9bM ; Tracxn legal-entity page (TRANSFORMATRIX GLOBAL PRIVATE LIMITED, CIN U74999MH2021PTC367747, inc. 20 Sep 2021, 39 employees 30 Sep 2024, FY25 revenue Rs 8.73 Cr): https://tracxn.com/d/legal-entities/india/transformatrix-global-private-limited/__x2B8r4NGKt_X1s_CWPi7tnxGg-wnjn9ND2t3qBe8QcY ; Inc42 profile (Company Type: Bootstrapped, founded 2018, HQ Mumbai): https://inc42.com/company/transformatrix-global/ ; Arun Vaz bio (CA in practice 17 years; co-founder of Transformatrix Global): https://www.saetas.ae/about-us/ ; Dolphy Mascarenhas profile (founder, Global Executive Search Firm, Oct 2016; co-founder, Transformatrix, Jun 2018): https://www.affluense.ai/profile/dolphy-mascarenhas-techsurance-private-limited-254231 ; funding news search run 2026-10-20 (no results for this company). || Funding evidence: (a) Tracxn company profile: 'unfunded company based in Mumbai (India), founded in 2018... has not raised any funding yet' and 'Transformatrix has not raised any funding rounds yet'. Inc42 company profile independently lists Company Type: Bootstrapped, with no funding rounds. (b) News search 'Transformatrix funding OR raises OR seed OR investment OR grant' (20 Oct 2026) returned no funding announcement for this company (results were unrelated firms: Tr1X, Transfr, Transfix). DISCLOSURE: sister company CloudMojo (same co-founders, separate legal entity) raised a $246K seed round - that is not funding of Transformatrix and does not change this row's coding; disclosed for transparency. || Frame: Tracxn - Mumbai company profiles / sector x geo explore listings (fallback frame)</t>
  </si>
  <si>
    <t xml:space="preserve">IN-ST-325</t>
  </si>
  <si>
    <t xml:space="preserve">ChessBase India</t>
  </si>
  <si>
    <t xml:space="preserve">Online chess content and media platform (news, training content, video), Indian e-commerce shop for chess software/books, chess events and commentary</t>
  </si>
  <si>
    <t xml:space="preserve">Online chess media platform; revenue from e-commerce of chess software/books/training products (sole distributor of ChessBase products in India and seven adjoining countries), advertising and sponsorship</t>
  </si>
  <si>
    <t xml:space="preserve">Founding coded Jan 2016: the legal entity CHESSBASE INDIA 64 SQUARES PRIVATE LIMITED (CIN U93000MH2016PTC272155) was incorporated 18 Jan 2016 and ChessBase's own 5-year anniversary post states 'In early 2016 Sagar and Amruta founded ChessBase India'; Tracxn lists 2015 - minority source. The company is the Indian partner/distributor of ChessBase GmbH (Germany) but is an independently owned Indian company; when Freedom Holding Corp acquired ChessBase GmbH, ChessBase India was reported to operate independently and be unaffected. FAME FLAG: ChessBase India is the dominant chess-media platform in India and Sagar Shah is a prominent chess public figure (YouTube channel with over a million subscribers; national sports-press coverage); included because company scale is small (32 employees; revenue Rs 0-10 Cr in FY25) and its prominence is niche-domain - flagged here and in the log for the parent to exclude if a stricter famous-case reading is preferred. Aggregates rest on Sagar Shah; Amruta Mokal's education is not published.</t>
  </si>
  <si>
    <t xml:space="preserve">Tracxn company profile (unfunded, Mumbai, no funding rounds, 32 employees as of 30 Jun 2026, entity CHESSBASE INDIA 64 SQUARES PRIVATE LIMITED inc. 18 Jan 2016): https://tracxn.com/d/companies/chessbase/__mZLfYrdqY3gzD-ZWn1XSFudogbtY56CK4IvKRNDnJSc ; ChessBase 5-year anniversary post (founders, early-2016 founding, Sagar CA + blogging since 2011, Amruta profile): https://en.chessbase.com/post/five-years-of-powering-chess-in-india ; ChessBase GmbH author page (CA training, IM 2014, founded ChessBase India early 2016 with Amruta Mokal): https://shop.chessbase.com/en/authors/sagar_shah ; ChessTech interview (2014 Hamburg visit; CA): https://www.chesstech.org/2020/make-it-available-for-indians/ ; Freedom Holding acquisition coverage noting ChessBase India operates independently: https://sportsermon.net/freedom-holding-acquires-chessbase/ ; funding news search run 2026-10-20 (no investment in the company found). || Funding evidence: (a) Tracxn company profile: 'unfunded company based in Mumbai (India), founded in 2015 by Sagar Shah... has not raised any funding yet' and 'ChessBase has not raised any funding rounds yet' (32 employees as of 30 Jun 2026). (b) News search 'ChessBase India funding OR raises OR seed OR investment OR grant' (20 Oct 2026) found no investment in the company; the only funding-related results were (i) donations raised by the HelpChess Foundation, a separate charitable trust founded by the same founders in 2018 to support chess players - not company funding or a grant to the company, so prior_grant_flag stays 0 - and (ii) Freedom Holding Corp's acquisition of ChessBase GmbH (Germany), with ChessBase India expressly reported as operating independently and unaffected. || Frame: Tracxn - Mumbai company profiles / sector x geo explore listings (fallback frame)</t>
  </si>
  <si>
    <t xml:space="preserve">PK-ST-301</t>
  </si>
  <si>
    <t xml:space="preserve">Wukla</t>
  </si>
  <si>
    <t xml:space="preserve">LegalTech – online legal services &amp; agreement automation</t>
  </si>
  <si>
    <t xml:space="preserve">Online legal services platform: downloadable/automated legal agreements and 'Ask a Wakil' lawyer-connection marketplace; later pivoted to legal-tech consulting (Wukla Law: law department consulting, legaltech strategy, legal operations, Legal AI)</t>
  </si>
  <si>
    <t xml:space="preserve">The Nest I/O (P@SHA tech incubator, Karachi) – non-equity incubation; no funding disclosed</t>
  </si>
  <si>
    <t xml:space="preserve">wukla.com live when opened 20 Oct 2026 (footer '© 2025 All Rights Reserved', team photos uploaded 2025/03, Karachi contact address). Business pivoted from the 2016 consumer agreement/lawyer marketplace to legal-tech consulting under the same Wukla brand.</t>
  </si>
  <si>
    <t xml:space="preserve">PakWired launch profile: https://pakwired.com/wukla-legal-solutions/ ; PakWired 'Special Edition Tech Trends Review 2016' (Wukla launch listed among 2016 startup stories): https://pakwired.com/tech-trends-review-2016-part-i/amp/ ; Company site (active, © 2025, Karachi address, team page): https://wukla.com ; Founder biography/timeline (Altaf Qureshi LLM Columbia 2003, career history): https://werisebyliftingothers.in/2024/12/biography-of-altaf-qureshifounder-ceo.html ; Tracxn Enterprise Applications startups in Pakistan explore listing (Wukla in The Nest I/O portfolio), accessed 20 Oct 2026 || Funding evidence: (a) Tracxn: Wukla appears on Tracxn's Enterprise Applications startups in Pakistan explore listing as a top portfolio company of The Nest I/O (non-equity P@SHA incubator) with no funding rounds/amount shown. (b) Targeted news searches on 20 Oct 2026 ('Wukla funding OR raises OR seed OR investment OR grant', incl. TechJuice/Profit/Dawn coverage) returned no disclosure of any VC, angel, grant or accelerator-equity funding. Non-equity incubation at The Nest I/O recorded; no money attached in any source found. || Frame: Tracxn – Startups in Pakistan</t>
  </si>
  <si>
    <t xml:space="preserve">PK-ST-319</t>
  </si>
  <si>
    <t xml:space="preserve">Zamratech</t>
  </si>
  <si>
    <t xml:space="preserve">Global software development and digital transformation partner (GoodFirms); full-stack software development — mobile and game apps, custom enterprise software, IoT, blockchain, AI/AR, staff augmentation, digital marketing (2026 press releases)</t>
  </si>
  <si>
    <t xml:space="preserve">Project/hourly IT services firm serving B2B and B2C clients: staff augmentation, mobile/game apps, custom enterprise software, IoT, blockchain, AI/AR, NFT marketplaces, outsourced customer service, digital marketing; GoodFirms rate $25-$49/hr; press release reports average contract values $60K-$80K and $35K monthly run rate</t>
  </si>
  <si>
    <t xml:space="preserve">FasterCapital EquityPilot — announced Jan 14, 2026 (openPR / mypressoffice), syndicated Mar 09, 2026 (1888PressRelease), ongoing support confirmed Apr 25, 2026 (FasterCapital). NO funding amount disclosed or guaranteed.</t>
  </si>
  <si>
    <t xml:space="preserve">Active: live website zamratech.com opened 2026-10-20; Feb 2026 milestones (two new enterprise pilots in healthcare and financial services, referral agreement, senior hire) reported via FasterCapital/mid-east.info, with ongoing-support update dated April 25, 2026. Team size (GoodFirms frame): 50-249 employees, $25-$49/hr. Founding year coded 2021 from the firm's own 2026 press releases, overriding the GoodFirms frame year of 2015 (the founder's dated résumé shows full-time employment elsewhere in 2015; Clutch's 2015/Cincinnati/250-999 listing is flagged in source_citation, not used). NOTE: is_hardware_iot=1 solely because IoT development is a named core service line in every source; no evidence of own hardware manufacturing.</t>
  </si>
  <si>
    <t xml:space="preserve">GoodFirms Pakistan software list (frame: Karachi, Pakistan; 50-249; $25-$49/hr; founded shown as 2015 — contradicted, see status_note): https://www.goodfirms.co/directory/country/top-software-development-companies/pakistan | openPR, Jan 14, 2026 EquityPilot release ('Founded in 2021 by CEO Ammad Mirza'; 'no funding is guaranteed by program participation'): https://openPR.com/news/4408647/zamratech-joins-equitypilot-to-scale-us-and-uae-digital-services | 1888PressRelease, Mar 09, 2026 ('Since its founding in 2021'; Pakistan-based; B2B and B2C clients): https://www.1888pressrelease.com/fastercapital-welcomes-zamratech-into-equitypilot-cohort-pr-763875.html | Same Jan 14, 2026 release ('Ammad and his leadership team' — gender evidence): https://mypressoffice.co.za/pressrelease/12577/zamratech-joins-equitypilot-to-scale-us-and-uae-digital-services | FasterCapital, Apr 25, 2026 ongoing-support update ('Operating from Pakistan'): https://fastercapital.com/news/zamratech-advances-pilots-and-partnerships-with-ongoing-fastercapital-support.html | Feb 2026 milestones release: https://mid-east.info/press-release-zamratech-advances-pilots-and-partnerships-with-ongoing-fastercapital-support/ | Founder résumé PDF (education BS Computer Science, Karachi University 2009-2013; all dated employment roles 2006-2019+): https://ainitapp.net/client/786800037.pdf | Live company website (services incl. IoT Development; Pakistan office Suite #601, 6th Floor, Pak Avenue, Karachi, +92 300 921 8347): https://zamratech.com/ | Conflicting directory (Clutch: Founded 2015, 250-999, Cincinnati — flagged, not used): https://clutch.co/profile/zamratech || Funding evidence: (a) Tracxn/Crunchbase: dedicated searches for Zamratech on both platforms returned NO Zamratech profile and NO funding rounds ($0 / no rounds, no profile). (b) News search 'Zamratech funding OR raises OR seed OR investment OR grant' plus exact searches '"Zamratech" funding' and '"Zamratech" investment OR grant OR prize OR seed' found NOTHING for Zamratech — hits were unrelated firms (Zaria, Zama, Zymtrace, Zamanat) or its own EquityPilot releases disclosing no money; openPR states 'no funding is guaranteed by program participation'. The $1.6M / $500K figures in the releases are closed sales / profit, not external funding. No disclosed VC, angel, grant or prize money found. || Frame: GoodFirms — Top Software Development Companies in Pakistan</t>
  </si>
  <si>
    <t xml:space="preserve">PK-ST-320</t>
  </si>
  <si>
    <t xml:space="preserve">Genesis IT Lab</t>
  </si>
  <si>
    <t xml:space="preserve">Blockchain, Artificial Intelligence, Cybersecurity, Custom Software Development, Web3 (Clutch/The Manifest/GoodFirms service lines)</t>
  </si>
  <si>
    <t xml:space="preserve">B2B custom software development / IT services firm — in-house development team, project-, milestone- and resource/team-based payments, minimum project $10,000 (GoodFirms executive interview)</t>
  </si>
  <si>
    <t xml:space="preserve">Team size range 50–249 employees (GoodFirms, Clutch and The Manifest all list 50–249). Live website genesislab.com fetched 2026-10-20, still giving the Islamabad address (3rd floor, Building #29, Street 40, G-10/4 Islamabad, +92-51-8356551); listed in The Manifest Oct 2026 Pakistan rankings and GoodFirms (review summary updated Aug 2026) — active 2024–2026. GROUP/SINGAPORE CAVEAT: Genesis IT Lab is part of the RNS Solutions group. Its own timeline records 'RNS Solutions Acquisition of Genesis IT Lab' in Aug 2022; RNS was founded/registered in Pakistan in Aug 2017 by the same founder, but operates internationally as 'RNS Solutions Pte Ltd' (Singapore legal name used in 2021 press releases) with offices in Singapore, South Korea, Saudi Arabia and Pakistan. HQ per GoodFirms is Pakistan (only headquarters listed); it is not a branch/subsidiary of an unrelated foreign firm, but it is not a standalone independent firm post-Aug 2022, and the 2017 founding year is the RNS/group founding date carried by all three directories. Founding month not stated in any directory (Aug 2017 on the firm's timeline is RNS's founding, not a Genesis-specific month, so founding_month is null). serial_entrepreneur=1 rests on published bio wording only — see founders_detail.</t>
  </si>
  <si>
    <t xml:space="preserve">GoodFirms profile (HQ Pakistan/Islamabad address, executive interview incl. KAIST PhD field, founding RNS 2017, offices SG/Korea/KSA/Pakistan): https://www.goodfirms.co/company/genesis-lab ; GoodFirms Pakistan software list (50–249, 2017, Islamabad): https://www.goodfirms.co/directory/country/top-software-development-companies/pakistan ; Clutch profile (50–249, Islamabad, Founded 2017): https://clutch.co/profile/genesis-it-lab?project_cost=1000000 ; The Manifest Pakistan blockchain list (Islamabad; Singapore; Riyadh, Founded 2017, 50–249): http://themanifest.com/pk/blockchain/companies ; Firm's own site, Who We Are timeline (RNS founded/registered in Pakistan Aug 2017; RNS acquisition of Genesis IT Lab Aug 2022): https://www.GenesisLab.com/who-we-are ; Firm homepage (live, Islamabad address): http://www.genesislab.com/ ; Founder bio (KAIST MS &amp; PhD, serial entrepreneur, co-founded multiple start-ups, Deputy Project Director Cyber Incident Response Team Govt of Pakistan 10 years, CEO of Genesis Lab): https://sessionize.com/shakil ; RNS Solutions Pte Ltd / IsDB FinLit press release (Pakistan dateline, Shakil Muhammad Chairman, 'from Pakistan, Korea, and Singapore'): https://coincheckup.com/blog/rns-solutions-trustedchain-are-developing-blockchain-based-finlit-platform-for-islamic-development-bank/ and CB Insights company page (search result; direct open returned 403): https://www.cbinsights.com/company/rns-solutions-pte-ltd ; RNS website-content document (Singapore office Hong Lim Complex, Pakistan office Rawalpindi, 'Mr. Shakil Muhammad'): https://cdn3.f-cdn.com//files/download/179874740/Rns%20new%20website%20content.pdf || Funding evidence: (a) Tracxn/Crunchbase: site:tracxn.com and site:crunchbase.com searches for 'Genesis IT Lab' and 'RNS Solutions' returned NO profile and no funding rounds (no $0-rounds profile found either); CB Insights has an RNS Solutions Pte Ltd company page but its only item surfaced is the Jun 2021 FinLit press release, with no funding round. (b) News searches 'Genesis IT Lab funding OR raises OR seed OR investment OR grant' and 'RNS Solutions Pakistan funding raised investment seed' found NOTHING for this firm — all hits were name collisions (US Genesis AI robotics $105M seed 2025, Genesis Therapeutics/biotech $200M, Genesis Investments fund, Genesis Space Flight, etc.). The Jun 2021 ICD-Islamic Development Bank FinLit announcement is a client development partnership/consortium with Trustedchain, with no investment, grant or prize amount disclosed to RNS/Genesis. No disclosed VC/angel/grant/prize money found = unfunded check passed. || Frame: GoodFirms — Top Software Development Companies in Pakistan</t>
  </si>
  <si>
    <t xml:space="preserve">PK-ST-321</t>
  </si>
  <si>
    <t xml:space="preserve">Axiom World Pvt Ltd</t>
  </si>
  <si>
    <t xml:space="preserve">fintech and consultancy company that provides a complete spectrum of ERP, financial accounting, software, and IFRS services to enterprises across Europe, Asia, Africa, Australia and America; Oracle ERP implementations / Oracle Accounting ERP and Consulting Services</t>
  </si>
  <si>
    <t xml:space="preserve">B2B consultancy/services: high-value technological, ERP, Accounting and financial and management consultancy to customers across the world; ERP implementation, financial accounting, software and IFRS services</t>
  </si>
  <si>
    <t xml:space="preserve">Active: live website axiomworld.net with page updated 2026-06-12, FindGlocal posts for Axiom World, 743 G4 Johar Town, Lahore in Jul-Sep 2026, current GoodFirms listing. Team-size range text: 50 - 249 (GoodFirms frame; ensun 51-100, Torre 'over 200 people', 'over 1000 clients', operations in 4 continents - supporting product_stage 3). Address on own site: 743, Block G4 Phase 2 Johar Town, Lahore. founding_month left null: the only June-2014 evidence is the founder's Director role start (Muraena), not an incorporation month. GoodFirms calls it a 'fintech and consultancy company', but its delivered work is ERP/financial-accounting/software/IFRS consultancy with no fintech product evidenced, so sector_group is coded IT/SaaS/AI/IoT with the fintech wording preserved in industry_raw.</t>
  </si>
  <si>
    <t xml:space="preserve">GoodFirms Pakistan software list (opened): https://www.goodfirms.co/directory/country/top-software-development-companies/pakistan?page=2 - Axiom World Pvt. Ltd., fintech/ERP/financial accounting/software/IFRS, 50-249, Lahore, Pakistan, Ali Khalid named in review; ensun Oracle Consulting Pakistan (searched; direct open returned 429): https://ensun.io/search/oracle-consulting/pakistan - Axiom World (Pvt) Ltd, Lahore, Pakistan, 51-100 Employees, 2014, Oracle ERP; Muraena founder profile (opened): https://muraena.ai/profile/ali_khalid_cpa_fe506f25 - founder of Axiom World Pvt. Ltd., Director Axiom World June 2014-Present, Assistant Manager GRMS PwC Nov 2008-Jul 2014, CPA Australia CPA + ICAP ACA; Torre (opened): https://torre.ai/teams/AxiomWorldPvtLtd - Founded in 2014 with a team of just 2, over 1000 clients, operations in 4 continents, team over 200; Own website (opened): https://axiomworld.net/mern-stack-development-services/ - updated 2026-06-12, Lahore address; FindGlocal (opened): https://www.findglocal.com/PK/Lahore/113737780542774/Axiom-World - Axiom World, 743 G4 Johar Town, Lahore, https://axiomworld.net/, posts Jul-Sep 2026 || Funding evidence: (a) Tracxn/Crunchbase: searches for 'Axiom World Pvt Ltd Tracxn Crunchbase' and '"Axiom World Pvt" Crunchbase' found NO profile for the Lahore ERP firm - the Tracxn hit was a different Axiom (1995, Ambala, India, juice/personal-care brand, $11M); no funding rounds / $0 disclosed for this firm. (b) News search '"Axiom World" funding raises seed investment grant' and variants found NOTHING for this firm - all hits were name collisions with other Axiom entities (Axiom Space, Axiom AI mathematician / Menlo, Axiom IAM $7M seed, Axiom smart-contract $20M, Axiom Exchange YC $500k pre-seed, Flex Axiom Solutions $2B). No VC/angel/grant/prize money for Axiom World Pvt Ltd, Lahore found. || Frame: GoodFirms — Top Software Development Companies in Pakistan</t>
  </si>
  <si>
    <t xml:space="preserve">PK-ST-322</t>
  </si>
  <si>
    <t xml:space="preserve">Ninja Softs</t>
  </si>
  <si>
    <t xml:space="preserve">Kharian</t>
  </si>
  <si>
    <t xml:space="preserve">Website &amp; Software Development Company — ERP Software Development, web design &amp; development, Business Web Hosting, Managed Websites, Search Engine Optimization, Digital Marketing services for corporates &amp; Dedicated Webmasters (GoodFirms verbatim)</t>
  </si>
  <si>
    <t xml:space="preserve">B2B IT services / software house for small businesses (GoodFirms Client Focus: Small Business 100%; Project Cost $0 to $10000): project-based web/software/ERP development, managed websites/hosting and SEO/digital marketing, plus own CloudBiz POS/ERP business-management software product. No marketplace, commission, or verified subscription-SaaS pricing for the core product was found in sources opened, so subscription-SaaS is coded 0.</t>
  </si>
  <si>
    <t xml:space="preserve">Active: live website © 2017-2026, posts/activity in 2024, 2025 (award post published 2025-05-12, updated 2025-08-13) and 2026. Team-size range: 2-9 employees (GoodFirms listing), midpoint 5.5. founding_month=2 is taken from the founder's Bayt CV start date for his Ninja Softs role (February 2017); the firm itself states only '2017'. FLAG: About page contains an UNDATED claim 'He has also been working in SEO since 2008' for the founder — seen verbatim, NOT counted in exp_years. FLAG: Business Excellence Award 2025 (Acquisition International) is recognition only on the source page, no money disclosed, so it is not counted as funding/grant money.</t>
  </si>
  <si>
    <t xml:space="preserve">GoodFirms company page (opened): https://www.goodfirms.co/company/ninja-softs ; GoodFirms Pakistan software directory listing showing 2-9 / 2017 / Kharian (search result opened): https://www.goodfirms.co/directory/country/top-software-development-companies/pakistan?page=3 ; Official site (opened, SECP: 0176509 in footer, © 2017-2026, Kharian address): https://www.ninjasofts.com/ ; About page (opened, founded 2017, SECP/PSEB registered, 'Our Founder: Muhammad Ahmed Raza', 'working in SEO since 2008'): https://www.ninjasofts.com/about-us/ ; Founder Bayt CV (opened, MCS NCBA&amp;E July 2016, Falak News May 2014, Ninja Softs Feb 2017): https://people.bayt.com/hafizahmedraza/ ; 2025 activity / award, no money disclosed (opened): https://www.ninjasofts.com/ninjasofts-official/ninja-softs-wins-business-excellence-award-2025/ ; Own product CloudBiz POS/ERP, operating with clients, supporting product_stage 2 (opened): https://www.ninjasofts.com/software/cloud-biz-business-management-software-features-list/ || Funding evidence: (a) Tracxn/Crunchbase: searches for 'Ninja Softs Tracxn/Crunchbase', 'Ninja Softs Crunchbase Kharian' and 'Ninja Softs Tracxn Pakistan' on 2026-10-20 returned NO profile for Ninja Softs, Kharian — results were only unrelated firms (NinjaStack New York, NinjaOne, Saudi Ninja, CodeNinja Lahore); i.e. no profile / no rounds / $0 disclosed. (b) News/web search 'Ninja Softs funding OR raises OR seed OR investment OR grant' and the Kharian variant found NOTHING for this firm — hits were the Saudi quick-commerce firm 'Ninja' ($250M, founded 2022, different firm) and Lahore-based 'CodeNinja' ($1.6M, different firm), plus Ninja Softs' own non-monetary 2025 award post. No disclosed VC/angel/grant/prize money for Ninja Softs. || Frame: GoodFirms — Top Software Development Companies in Pakistan</t>
  </si>
  <si>
    <t xml:space="preserve">PK-ST-323</t>
  </si>
  <si>
    <t xml:space="preserve">Grayhat</t>
  </si>
  <si>
    <t xml:space="preserve">AI development, custom software development, web development, mobile app development, product design / UX/UI design, game development (Clutch focus: Gaming 40%, Education 20%, eCommerce 10%)</t>
  </si>
  <si>
    <t xml:space="preserve">B2B software engineering and product studio ('hyperbuilders'): end-to-end product strategy, design and engineering services for startups/businesses on a project-fee basis (Clutch: min. project $5,000+, &lt; $25/hr); not an own-product SaaS</t>
  </si>
  <si>
    <t xml:space="preserve">RESERVE-GRADE ROW (weakest of the six — see flags). Team size: Clutch and GoodFirms both list employee range 10-49 (midpoint 29.5). Legal name Grayhat Developers (Pvt.) Ltd. / Grayhat Developers Private Limited (P@SHA voter list 2026, authorized representative Saad Ahmed Bazaz; that list's City column says Rawalpindi vs. Islamabad HQ/address in all other sources - flagged). Co-founder disclosure: Saad Bazaz is titled co-founder &amp; CEO and says 'we founded Grayhat', implying at least one further founder, but the co-founder is UNNAMED in every source opened and no source states an exact founder count; n_founders=2 is therefore a minimum inference. stem_share=1.0 is over the 1 founder with known attributes; the unnamed co-founder's STEM status is unknown (floor 0.5 if denominator = 2). serial_entrepreneur=0 and industry_exp_max_years=5 both rest on a single self-reported podcast transcript hosted on the firm's own blog (AI-translated from Urdu) — see founders_detail. Active evidence: Clutch reviews Sep 13/14/15 and Oct 7, 2026; live website (page published 2026-09-27).</t>
  </si>
  <si>
    <t xml:space="preserve">Clutch profile (opened in full: 10-49 employees, Islamabad, founded 2022, reviews Sep-Oct 2026): https://clutch.co/profile/grayhat ; Company website (opened, live, (c) 2026 Pakistan): https://grayhat.studio/ ; Podcast transcript with Fakhar Abbas (opened in full: CS 18th batch FAST Islamabad, co-founder &amp; CEO, media since 15 / 9-10 years / Norway / 'we founded Grayhat', 'my BS'): https://grayhat.studio/blog/ai-and-the-future-of-work ; P@SHA Final Voter List 2026 (Grayhat Developers (Pvt.) Ltd., Saad Ahmed Bazaz): https://www.pasha.org.pk/wp-content/uploads/2026/08/PASHA-Final-Voter-List-2026_Website.pdf ; IEEE/ICAI 2022 paper listing via dblp (Bazaz et al., pp.127-131): https://dblp.org/db/conf/icai5/icai2022 ; GoodFirms directory (founded 2022, 10-49, Islamabad): https://www.goodfirms.co/directory/country/top-software-development-companies/pakistan?page=3 ; The Manifest (founded 2022, Islamabad): https://themanifest.com/pk/app-development/education/companies?page=5 ; Job posting profile (Established 2022, headquartered Islamabad): https://energieintelligent.com/design-intern-web-interaction-and-graphics/ || Funding evidence: (a) Tracxn/Crunchbase: dedicated searches for 'Grayhat Developers' on both platforms returned NO profile for this Islamabad firm (only unrelated entities), hence no disclosed rounds/funding total. (b) News search: 'Grayhat funding OR raises OR seed OR investment OR grant', 'Grayhat Developers funding/raises/seed/investment/grant/accelerator' and 'grayhat.studio funding OR investor' on 2026-10-20 found NO funding, grant, prize or investment disclosure for this firm; all hits were distinct entities (Graylark, Grey HAT ICO, Grey Hat Labs). Unfunded check passed on both arms. || Frame: Clutch.co — Top IT Services / Software Development Companies in Pakistan</t>
  </si>
  <si>
    <t xml:space="preserve">PK-ST-324</t>
  </si>
  <si>
    <t xml:space="preserve">PakTaleem</t>
  </si>
  <si>
    <t xml:space="preserve">Chiniot</t>
  </si>
  <si>
    <t xml:space="preserve">Moodle LMS development, hosting &amp; support services; GoodFirms project industry: Education 63%, Healthcare 13%</t>
  </si>
  <si>
    <t xml:space="preserve">B2B services firm: Moodle LMS development/custom plugins, managed Moodle hosting, administration &amp; support packages, instructional design for universities, corporates, NGOs</t>
  </si>
  <si>
    <t xml:space="preserve">JUDGMENT-CALL ROW (see flags). Live website + active Upwork agency (4.9 stars, 135 reviews, $300K+ total earned, 14,499 hours) in 2026. Team size: GoodFirms lists 10-49 employees (midpoint 29.5). FOUNDING-YEAR CONFLICT DISCLOSED: firm's own website and GoodFirms both say 2010 (coded); the firm's own Upwork agency field says 'Year founded: 2006', which coincides exactly with founder Sayed Mahtab's personal Moodle start year in his own bio ('Since 2006, I've been deeply involved in LMS/Moodle'). If 2006 were taken as the firm founding, the firm would fall outside the 2010–2023 window — the study team may drop this row on that basis. FOUNDER IDENTIFICATION: no source literally uses the word 'founder' for Mahtab; he is the principal of the Upwork agency 'PakTaleem International', a client review refers to 'Sayed Mahtab and his PakTaleem team', and the firm's own site quotes a client: 'Mahtab and his team exceeded my expectations'. Name spelled 'Sayed Mahtab' on Upwork; one third-party CV renders the fuller form 'Syed Mahtab Hussain'. is_subscription_saas=0: hosting/support are sold as services; no own SaaS product documented as sold.</t>
  </si>
  <si>
    <t xml:space="preserve">https://www.goodfirms.co/directory/country/top-software-development-companies/pakistan?page=4 ; https://www.goodfirms.co/company/paktaleem ; https://staging.paktaleem.com/ ; https://www.upwork.com/agencies/paktaleem/ ; https://www.upwork.com/services/product/development-it-a-fully-managed-moodle-hosting-1870098169256252340 ; https://www.fr.freelancer.com/u/syedmahtab/portfolio/omnicollege-moodle-language-assessment-system-11587709 || Funding evidence: (a) Tracxn/Crunchbase: exact-name searches for PakTaleem returned NO profile for this firm (only unrelated Taleemabad, Taleem Finance Co., TeleTaleem) — no rounds / $0 disclosed. (b) News/web search 'PakTaleem funding OR raises OR seed OR investment OR grant' found no funding for PakTaleem; all hits were different companies (Taleem Finance Co. $2.6m, Taleemabad $2.3m seed, Valeem pre-seed). No disclosed VC/angel/grant/prize money for PakTaleem found. || Frame: GoodFirms — Top Software Development Companies in Pakistan</t>
  </si>
  <si>
    <t xml:space="preserve">PK-ST-325</t>
  </si>
  <si>
    <t xml:space="preserve">AXCEL</t>
  </si>
  <si>
    <t xml:space="preserve">AI-native software development agency: AI solutions and automation, SaaS platforms, web and mobile app development, cloud and DevOps (own About page; GoodFirms listing)</t>
  </si>
  <si>
    <t xml:space="preserve">B2B project-based IT services / AI development agency serving global clients on fixed-quote milestone delivery; post-launch support and maintenance plans</t>
  </si>
  <si>
    <t xml:space="preserve">JUDGMENT-CALL ROW (weakest of the five — see flags). Active: own site axcelworld.com live and updated 2025 (privacy policy crawl 2026; portfolio page updated 2025-08-29); Freelancer agency active. Team size: GoodFirms frame band 10-49 employees -&gt; midpoint 29.5. Founding-year conflict DISCLOSED: coded 2015 (GoodFirms frame + Clutch); a March 2017 PR.com release says 'serving since 2014' and the firm's own About timeline says '2016 Founded' — all three years are inside the 2010-2023 window, so eligibility is unaffected. Founder-degree evidence caveat: the M.Sc/B.Sc details rest on the Education section of his Freelancer profile (@EngrAamirKamal) as read during collection; the profile does not render its Education section in plain text extraction, and the Freelancer username's surname ('Kamal') differs from the founder name used on the firm's own site ('Naeem') — the profile is the firm's own linked freelancer account and its About text matches the firm. is_hardware_iot=0: IoT appears in directory service tags but no own-hardware or IoT-device evidence was found on primary sources.</t>
  </si>
  <si>
    <t xml:space="preserve">GoodFirms Pakistan directory p.5 (frame: 2015, Lahore, 10-49); own About page https://axcelworld.com/about-company/ ('Engr. M. Aamir Naeem, Founder &amp; CEO, AXCEL'; own timeline '2016 Founded'); Freelancer profile https://www.freelancer.pt/u/EngrAamirKamal (Education section; agency 'Preferred Freelancer since 2015'); PR.com March 2017 release ('serving since 2014') as recorded in collection notes; privacy policy https://axcelworld.com/privacy-policy/ (registered address: 5th Floor, Shan Arcade, Barkat Market, Lahore, Pakistan). || Funding evidence: (a) Tracxn/Crunchbase: no AXCEL (Lahore) company profile and no funding rounds found on either platform. (b) News search 'AXCEL Lahore funding OR raises OR seed OR investment OR grant', re-run by the coordinator on 2026-10-20, returned ONLY the US/India venture firm 'Accel' and Japan's 'Axelspace' — name collisions, verified not this firm. No disclosed VC, angel, grant, cash prize, programme stipend or convertible loan found. any_external_funding=0 means 'no disclosed funding found after both checks', per dataset convention. || Frame: GoodFirms — Top Software Development Companies in Pakistan</t>
  </si>
  <si>
    <t xml:space="preserve">PK-ST-326</t>
  </si>
  <si>
    <t xml:space="preserve">Zaavia</t>
  </si>
  <si>
    <t xml:space="preserve">Healthcare software house: blood banking management information system (PANACEA), patient blood management system (VITALIA), ISBT 128 labelling, electronic document management system (EDMS), workforce management software (WFM)</t>
  </si>
  <si>
    <t xml:space="preserve">B2B enterprise healthcare software: own products (PANACEA, VITALIA, EDMS, WFM) deployed to hospitals and blood banks, plus custom healthcare software development services</t>
  </si>
  <si>
    <t xml:space="preserve">Active: own site zaavia.net live (crawled 2026-10-20) listing current products and Karachi HQ (Office 7, 3rd Floor, Cantonment Mall, Gulshan-e-Jamal, Karachi); company history/deployments on its About page run through Feb 2024 and the MedicalExpo case study reports 75+ blood banks onboarded. Team size: GoodFirms frame band 10-49 employees -&gt; midpoint 29.5 (some secondary directories list wider bands, e.g. 50-99; the frame band is used per convention). Education coding note: edu coded 2 on the strength of the founder's US triple board certifications, which are professional qualifications above her medical degree; if the codebook scores the MBBS alone, the degree alone would code 1 (bachelor-level) — flagged for the analyst. Funding disclosure: MedicalExpo states the founder 'personally financed the creation of Zaavia' (self-financed, not external funding). PANACEA deployments under the KfW-funded Safe Blood Transfusion Program were a client contract/deployment channel for a government programme, not investment, grant or prize money to Zaavia, and are therefore not coded as funding.</t>
  </si>
  <si>
    <t xml:space="preserve">GoodFirms Pakistan directory p.8 (frame: 2012, Karachi, 10-49); own site https://zaavia.net/ and https://zaavia.net/about-us/ (products PANACEA/VITALIA/EDMS/WFM; 'Dr. Saba Jamal, CEO &amp; Founder'; Karachi address; 2012 history); MedicalExpo founder profile https://trends.medicalexpo.com/zaavia/project-4610413-457142.html (Sindh Medical College graduate, US triple board certifications, returned to Pakistan 1999, personally financed Zaavia); MedicalExpo case study https://trends.medicalexpo.com/zaavia/project-4610413-457112.html (75+ blood banks). || Funding evidence: (a) Tracxn/Crunchbase: no Zaavia company profile and no funding rounds found on either platform. (b) News search 'Zaavia funding OR raises OR seed OR investment OR grant', re-run by the coordinator on 2026-10-20, returned ONLY name collisions (Zaria, Zava, Zaapi) — nothing for this firm. Positive self-financing evidence: MedicalExpo founder profile states Dr. Saba Jamal 'personally financed the creation of a specialized software house, Zaavia'. The KfW-funded Safe Blood Transfusion Program item is a deployment/client contract (see status_note), not funding to the firm. No disclosed VC, angel, grant, cash prize or stipend to Zaavia found. any_external_funding=0 means 'no disclosed funding found after both checks'. || Frame: GoodFirms — Top Software Development Companies in Pakistan</t>
  </si>
  <si>
    <t xml:space="preserve">PK-ST-327</t>
  </si>
  <si>
    <t xml:space="preserve">Stack360</t>
  </si>
  <si>
    <t xml:space="preserve">Software development company: custom software development, web development, artificial intelligence, IT staff augmentation (Clutch/The Manifest service listing); Ruby on Rails / React / Node.js focus</t>
  </si>
  <si>
    <t xml:space="preserve">B2B services with two engagement models: dedicated full-time developers placed into client teams (staff augmentation) and fixed-scope product development, for US and UK clients</t>
  </si>
  <si>
    <t xml:space="preserve">Active: own site stack360.co live with current service offering; directory profiles (Techreviewer, crawled 2026-10-20) repeat the firm's own text 'Since 2019 we have built software and placed dedicated developers for companies in the US and UK'. Team size: GoodFirms frame band 10-49 employees -&gt; midpoint 29.5. Founding-year note: coded 2019 (own site and Clutch/The Manifest); the firm's Upwork agency page lists 'Year founded: 2020' — disclosed conflict, both years inside the eligibility window. Independence note: the firm's Houston (Stack360 AI Solutions LLC) and UK addresses were verified during collection to be presented by the firm as mailing addresses only; the working office is 82-G, First Floor, DHA Phase 1, Lahore, and the team is in Lahore (Techreviewer company record). Founder aggregates rest on Azmat Rana, the documented founder; no co-founder is named in any source opened.</t>
  </si>
  <si>
    <t xml:space="preserve">GoodFirms Pakistan directory p.9 (frame: 2019, Lahore, 10-49); founder resume https://resume.azmat.me/azmat-resume.pdf (BS (Hons) CS, University of Punjab, 2014; Fliclicks roles dated 08/2014-09/2017 and 09/2017- ); own site stack360.co (founded 2019; Lahore working office) as verified during collection; Techreviewer company record https://techreviewer.co/companies/stack360 (Lahore team, since 2019, 82-G DHA Phase 1 address); Upwork agency record (year founded listed 2020 — conflict disclosed in status_note). || Funding evidence: (a) Tracxn/Crunchbase: no Stack360 (Lahore) company profile and no funding rounds found on either platform. (b) News search '"Stack360" Lahore funding OR raises OR seed OR investment OR grant', re-run by the coordinator on 2026-10-20, returned ONLY unrelated items (the 'Stacks' blockchain project and an Indian investing app 'Stack') — nothing attributable to this firm. No disclosed VC, angel, grant, cash prize, programme stipend or convertible loan found. any_external_funding=0 means 'no disclosed funding found after both checks'. || Frame: GoodFirms — Top Software Development Companies in Pakistan</t>
  </si>
  <si>
    <t xml:space="preserve">PK-ST-328</t>
  </si>
  <si>
    <t xml:space="preserve">Bitwise Cloud</t>
  </si>
  <si>
    <t xml:space="preserve">Software house (also styled Bitwise Software Company): full-stack web and mobile application development, custom WordPress architecture, AI and machine-learning integration (founder's own site)</t>
  </si>
  <si>
    <t xml:space="preserve">B2B project-based software development services for domestic clients (including Government of Pakistan and Sindh Government projects) and international clients</t>
  </si>
  <si>
    <t xml:space="preserve">Active: founder's site shahabuddinsheikh.com live (re-verified 2026-10-20) presenting Bitwise Cloud as a currently operating software house, with Feb 2026 public activity by the founder in the same professional capacity. Team size: GoodFirms frame band 10-49 employees -&gt; midpoint 29.5. Founding-year conflict DISCLOSED: coded 2020 per the GoodFirms frame; the founder's own site says 'In 2022, Shahabuddin Sheikh co-founded Bitwise Cloud'. Both years are inside the 2010-2023 window; the frame year is retained because the row is sampled from the frame, and industry experience is coded at the lower bound valid under BOTH readings (see exp_evidence). Co-founder disclosure (Grayhat precedent): the firm was 'co-founded', so n_founders=2, but the second co-founder is unnamed and undocumented in every source opened; founder aggregates therefore rest on Shahabuddin Sheikh alone, and stem_share is computed over the one documented founder.</t>
  </si>
  <si>
    <t xml:space="preserve">GoodFirms Pakistan directory p.10 (frame: 2020, Karachi, 10-49); founder's own site https://shahabuddinsheikh.com/ (Education: BS Computer Science, University of Karachi, 2014-2018; dated Experience section; 'In 2022, Shahabuddin Sheikh co-founded Bitwise Cloud, a premier software house'; Karachi-based; agency named Bitwise Cloud, bitwisecloud.com). || Funding evidence: (a) Tracxn/Crunchbase: no profile or funding rounds found for the Karachi firm Bitwise Cloud / Bitwise Software Company (profiles under the name 'Bitwise' belong to unrelated firms, including India's Bitwise). (b) News search for Bitwise Cloud (Karachi) funding/raises/seed/investment/grant found nothing attributable to this firm — no disclosed VC, angel, grant, cash prize, programme stipend or convertible loan. any_external_funding=0 means 'no disclosed funding found after both checks', per dataset convention. || Frame: GoodFirms — Top Software Development Companies in Pakistan</t>
  </si>
  <si>
    <t xml:space="preserve">PK-ST-329</t>
  </si>
  <si>
    <t xml:space="preserve">Centangle Interactive</t>
  </si>
  <si>
    <t xml:space="preserve">Digital agency and custom software development: web and mobile development, digital media, ERP training; own products Sajil ERP and Shopober POS (point of sale) for the South Asian market</t>
  </si>
  <si>
    <t xml:space="preserve">B2B services (project work plus resource augmentation) alongside own B2B software products (Sajil ERP, Shopober POS)</t>
  </si>
  <si>
    <t xml:space="preserve">Active 2024-2026: verified Clutch reviews dated 9 Jun 2026 and 4 May 2026; company blog Feb 2026; co-founder Mushahid Hussain presented at an NCRD workshop, 26-28 Jan 2026 (government newsletter). Legal form: Centangle Interactive Pvt. Ltd., registered with SECP in 2015; HQ 3rd Floor, CIS Technology Park, Shahrah-e-Jamhuriat, G-5/2, Islamabad (own site, verified by coordinator 2026-10-20). Independence: its US entity (Centangle Global LLC, Brambleton VA) and Dubai entity (Centangle Solutions FZCO) are the firm's OWN later offices listed on its own site, not a foreign parent. Founding month: formal operations began July 2013 per the company profile reproduced on Clutch; founding year 2013 is stated on the founder's own page ('In 2013, we founded Centangle Interactive in Pakistan'). Team size: GoodFirms frame band 10-49 employees -&gt; midpoint 29.5; DISCLOSED discrepancy — the newest Clutch header lists 50-249 (location box 50-75) while the 2017 company profile says ~20-25 professionals, RocketReach 19 and Prospeo 21-50; the frame band is used per convention. Founder disclosure: the firm was founded by six university classmates (2017 company profile officer team: Fareed Ud Din, Arslan Khalid, Mushahid Hussain, Imran Ahmed Hunzai, Muhammad Irfan, Safi Mustafa), so n_founders=6 and all six are listed in founder_names; however only Mushahid Hussain has fully documented founder attributes, so the aggregates rest on him alone (dataset convention) and the other five founders' attributes are undocumented. Later co-founder titles in his profile (Sep 2017, Jun 2022, organisations unnamed) post-date Centangle and are not prior ventures; his undated summary also lists later roles at FarmDost, Diran Productions and UNDP with no founding title.</t>
  </si>
  <si>
    <t xml:space="preserve">GoodFirms Pakistan directory p.11 (frame: 2013, Islamabad, 10-49); founder page https://centangle.com/about/founder/mushahid-hussain ('In 2013, we founded Centangle Interactive in Pakistan'; Islamabad HQ address for Centangle Interactive Pvt. Ltd.; US/Dubai entities listed as the firm's own offices) — opened by coordinator 2026-10-20; RocketReach profile https://rocketreach.co/mushahid-hussain-email_25988948 (Master's CS COMSATS 2014-2016; BS CS COMSATS 2009-2013; prior role 3D-GIT COMSATS); Clutch profile https://clutch.co/profile/centangle-interactive (company profile: founded by six university classmates, formal operations July 2013; reviews Jun/May 2026); 2017 company profile http://centangle.com/profile/2017.pdf (six-officer founding team); Owler https://www.owler.com/company/centangle (no funding data, no acquisitions). || Funding evidence: (a) Tracxn/Crunchbase: no Centangle Interactive company profile found on either platform; Owler states verbatim 'Funding data cannot be found related to Centangle' and 'There have been no acquisitions found related to Centangle'. (b) News search 'Centangle Interactive funding raises seed investment grant' returned only name collisions (Cent/NFT, Tencent, Entangled) — no round, grant, cash prize, programme stipend or convertible loan attributable to this firm. No accelerator participation found. any_external_funding=0 means 'no disclosed funding found after both checks', per dataset convention. || Frame: GoodFirms — Top Software Development Companies in Pakistan</t>
  </si>
  <si>
    <t xml:space="preserve">log_team_size</t>
  </si>
  <si>
    <t xml:space="preserve">age_years_missing</t>
  </si>
  <si>
    <t xml:space="preserve">product_stage_missing</t>
  </si>
  <si>
    <t xml:space="preserve">edu_max_level_missing</t>
  </si>
  <si>
    <t xml:space="preserve">n_founders_missing</t>
  </si>
  <si>
    <t xml:space="preserve">female_founder_share_missing</t>
  </si>
  <si>
    <t xml:space="preserve">industry_exp_max_years_missing</t>
  </si>
  <si>
    <t xml:space="preserve">gdp_growth_at_founding_missing</t>
  </si>
  <si>
    <t xml:space="preserve">inflation_at_founding_missing</t>
  </si>
  <si>
    <t xml:space="preserve">traction_composite_missing</t>
  </si>
  <si>
    <t xml:space="preserve">log_team_size_missing</t>
  </si>
  <si>
    <t xml:space="preserve">accelerator_participated_missing</t>
  </si>
  <si>
    <t xml:space="preserve">prior_grant_flag_missing</t>
  </si>
  <si>
    <t xml:space="preserve">any_stem_founder_missing</t>
  </si>
  <si>
    <t xml:space="preserve">serial_entrepreneur_missing</t>
  </si>
  <si>
    <t xml:space="preserve">has_female_founder_missing</t>
  </si>
  <si>
    <t xml:space="preserve">log_prior_grants_usd</t>
  </si>
  <si>
    <t xml:space="preserve">is_independent_startup</t>
  </si>
  <si>
    <t xml:space="preserve">sector_AgriTech</t>
  </si>
  <si>
    <t xml:space="preserve">sector_E-commerce</t>
  </si>
  <si>
    <t xml:space="preserve">sector_EdTech</t>
  </si>
  <si>
    <t xml:space="preserve">sector_Fintech</t>
  </si>
  <si>
    <t xml:space="preserve">sector_HealthTech</t>
  </si>
  <si>
    <t xml:space="preserve">sector_IT/SaaS/AI/IoT</t>
  </si>
  <si>
    <t xml:space="preserve">sector_Logistics/Travel</t>
  </si>
  <si>
    <t xml:space="preserve">sector_Media</t>
  </si>
  <si>
    <t xml:space="preserve">sector_Other</t>
  </si>
  <si>
    <t xml:space="preserve">include_survival_model</t>
  </si>
  <si>
    <t xml:space="preserve">include_screening_model</t>
  </si>
  <si>
    <t xml:space="preserve">BD-ST-095</t>
  </si>
  <si>
    <t xml:space="preserve">founder_name</t>
  </si>
  <si>
    <t xml:space="preserve">founders_in_row</t>
  </si>
  <si>
    <t xml:space="preserve">n_male</t>
  </si>
  <si>
    <t xml:space="preserve">n_female</t>
  </si>
  <si>
    <t xml:space="preserve">gender_clean</t>
  </si>
  <si>
    <t xml:space="preserve">edu_raw</t>
  </si>
  <si>
    <t xml:space="preserve">edu_level</t>
  </si>
  <si>
    <t xml:space="preserve">edu_label</t>
  </si>
  <si>
    <t xml:space="preserve">stem_flag</t>
  </si>
  <si>
    <t xml:space="preserve">serial_flag</t>
  </si>
  <si>
    <t xml:space="preserve">exp_years</t>
  </si>
  <si>
    <t xml:space="preserve">exp_lower_bound</t>
  </si>
  <si>
    <t xml:space="preserve">team_size_raw</t>
  </si>
  <si>
    <t xml:space="preserve">prev_startup_raw</t>
  </si>
  <si>
    <t xml:space="preserve">stem_raw</t>
  </si>
  <si>
    <t xml:space="preserve">gender_raw</t>
  </si>
  <si>
    <t xml:space="preserve">Kamal Quadir</t>
  </si>
  <si>
    <t xml:space="preserve">Male</t>
  </si>
  <si>
    <t xml:space="preserve">MBA (MIT Sloan); BA (Oberlin College)</t>
  </si>
  <si>
    <t xml:space="preserve">Yes (founded CellBazaar, exited to Telenor)</t>
  </si>
  <si>
    <t xml:space="preserve">No (Art/Economics)</t>
  </si>
  <si>
    <t xml:space="preserve">Iqbal Quadir</t>
  </si>
  <si>
    <t xml:space="preserve">MBA/MA (Wharton School); BS (Swarthmore College)</t>
  </si>
  <si>
    <t xml:space="preserve">Yes (founded Grameenphone, Gonofone)</t>
  </si>
  <si>
    <t xml:space="preserve">Yes (Computer Engineering)</t>
  </si>
  <si>
    <t xml:space="preserve">Tanvir A Mishuk</t>
  </si>
  <si>
    <t xml:space="preserve">MBA / business curriculum (Institute of Business Administration, Univ. of Dhaka)</t>
  </si>
  <si>
    <t xml:space="preserve">Yes (RegTech Bangladesh and other ICT/telecom ventures - serial entrepreneur)</t>
  </si>
  <si>
    <t xml:space="preserve">No (Finance/Marketing)</t>
  </si>
  <si>
    <t xml:space="preserve">M Sahabuddin Ahmed</t>
  </si>
  <si>
    <t xml:space="preserve">8,965 (projected 2026)</t>
  </si>
  <si>
    <t xml:space="preserve">Dr. Shahadat Khan</t>
  </si>
  <si>
    <t xml:space="preserve">PhD, Computer Engineering (University of Victoria)</t>
  </si>
  <si>
    <t xml:space="preserve">260</t>
  </si>
  <si>
    <t xml:space="preserve">Yes (Eyeball Networks)</t>
  </si>
  <si>
    <t xml:space="preserve">Yes</t>
  </si>
  <si>
    <t xml:space="preserve">Sydul Haque Khandker</t>
  </si>
  <si>
    <t xml:space="preserve">Executive/post-graduate business credentials (unspecified institution)</t>
  </si>
  <si>
    <t xml:space="preserve">No (intrapreneurial corporate executive appointed by UCB, not an independent founder)</t>
  </si>
  <si>
    <t xml:space="preserve">No (Banking/corporate finance)</t>
  </si>
  <si>
    <t xml:space="preserve">Sonia Bashir Kabir</t>
  </si>
  <si>
    <t xml:space="preserve">Female</t>
  </si>
  <si>
    <t xml:space="preserve">BS (California State University, East Bay); MBA (Santa Clara University)</t>
  </si>
  <si>
    <t xml:space="preserve">Aref Bashir</t>
  </si>
  <si>
    <t xml:space="preserve">BS, Electrical Engineering (University of Maryland); MBA, Strategy &amp; Management</t>
  </si>
  <si>
    <t xml:space="preserve">Yes (co-founded Syntec; advised the Bill &amp; Melinda Gates Foundation on digital-payment strategy)</t>
  </si>
  <si>
    <t xml:space="preserve">Anisul Islam</t>
  </si>
  <si>
    <t xml:space="preserve">~150-250 (parent-company scale, historical)</t>
  </si>
  <si>
    <t xml:space="preserve">Mohammad Kudratullah</t>
  </si>
  <si>
    <t xml:space="preserve">Certificate, Digital Transformation Strategy (Boston University)</t>
  </si>
  <si>
    <t xml:space="preserve">Yes (co-founded PayWell/CloudWell Digital Services Ltd., later acquired by ShopUp; senior roles at British American Tobacco and Airtel; currently leads semiconductor programs at ACI Semiconductor)</t>
  </si>
  <si>
    <t xml:space="preserve">No</t>
  </si>
  <si>
    <t xml:space="preserve">Ishtiaque Sarwar</t>
  </si>
  <si>
    <t xml:space="preserve">BS, Computer Science/IT (Southern University)</t>
  </si>
  <si>
    <t xml:space="preserve">Yes (Software Innovation Ltd)</t>
  </si>
  <si>
    <t xml:space="preserve">Sayeeful Islam</t>
  </si>
  <si>
    <t xml:space="preserve">BSc, Chemical Engineering (Texas A&amp;M Univ., 1977); MBA Finance (IBA, Univ. of Dhaka, 1982)</t>
  </si>
  <si>
    <t xml:space="preserve">Yes (Chemical Engineering)</t>
  </si>
  <si>
    <t xml:space="preserve">Michael Brooks</t>
  </si>
  <si>
    <t xml:space="preserve">Yes (GoLance, Response CRM)</t>
  </si>
  <si>
    <t xml:space="preserve">Dr. M. Masrur Reaz</t>
  </si>
  <si>
    <t xml:space="preserve">PhD, Development Economics (University of Manchester, UK); MBA, Finance &amp; Economics (University of New Orleans, USA)</t>
  </si>
  <si>
    <t xml:space="preserve">11-50 (est.)</t>
  </si>
  <si>
    <t xml:space="preserve">Yes (co-founded Tredx and Oggrow (HRTech); Senior Economist, World Bank Group, 2010-2020; Adviser, DFID)</t>
  </si>
  <si>
    <t xml:space="preserve">Waseem Alim</t>
  </si>
  <si>
    <t xml:space="preserve">BS, Finance (Wharton School)</t>
  </si>
  <si>
    <t xml:space="preserve">799-2,300+</t>
  </si>
  <si>
    <t xml:space="preserve">Yes (SigFig)</t>
  </si>
  <si>
    <t xml:space="preserve">Zia Ashraf</t>
  </si>
  <si>
    <t xml:space="preserve">MBA, Marketing (North South University)</t>
  </si>
  <si>
    <t xml:space="preserve">Tejas Viswanath</t>
  </si>
  <si>
    <t xml:space="preserve">BS, Computer Science (National University of Singapore)</t>
  </si>
  <si>
    <t xml:space="preserve">A.K.M Fahim Mashroor</t>
  </si>
  <si>
    <t xml:space="preserve">Notre Dame College; Master's degree, University of Dhaka</t>
  </si>
  <si>
    <t xml:space="preserve">Yes (founded Bdjobs.com in 2000; also founded AjkerDeal.com, Delivery Tiger, and Beshto; former President, BASIS)</t>
  </si>
  <si>
    <t xml:space="preserve">Mahmudul Hasan Sohag</t>
  </si>
  <si>
    <t xml:space="preserve">BS, Electrical &amp; Electronic Engineering (BUET)</t>
  </si>
  <si>
    <t xml:space="preserve">150+</t>
  </si>
  <si>
    <t xml:space="preserve">Yes (Pi Labs; Bangladesh's first Electronic Voting Machines)</t>
  </si>
  <si>
    <t xml:space="preserve">Abul Hasan Liton</t>
  </si>
  <si>
    <t xml:space="preserve">MBA, Finance (University of Dhaka); CSE (BUET)</t>
  </si>
  <si>
    <t xml:space="preserve">Ehteshamul Shams Rakib</t>
  </si>
  <si>
    <t xml:space="preserve">Jubayer Bin Amin</t>
  </si>
  <si>
    <t xml:space="preserve">Md. Khairul Anam</t>
  </si>
  <si>
    <t xml:space="preserve">Eshita Sharmin (CEO)</t>
  </si>
  <si>
    <t xml:space="preserve">BBA, dual major Marketing &amp; HR Management, North South University (2002-2006)</t>
  </si>
  <si>
    <t xml:space="preserve">418-436</t>
  </si>
  <si>
    <t xml:space="preserve">No (internal hire since 2012, rose to CEO; no independent startup founded)</t>
  </si>
  <si>
    <t xml:space="preserve">Morin Hossain Talukder</t>
  </si>
  <si>
    <t xml:space="preserve">Asikul Alam Khan</t>
  </si>
  <si>
    <t xml:space="preserve">Business/information-systems track (unspecified institution)</t>
  </si>
  <si>
    <t xml:space="preserve">Yes (Splendor IT, and an early-stage ed-tech venture, since 2006)</t>
  </si>
  <si>
    <t xml:space="preserve">Dipty Mandal</t>
  </si>
  <si>
    <t xml:space="preserve">MBA, Marketing (University of Dhaka, 2011-2012)</t>
  </si>
  <si>
    <t xml:space="preserve">Not stated in public sources</t>
  </si>
  <si>
    <t xml:space="preserve">Zeeshan Kingshuk Huq</t>
  </si>
  <si>
    <t xml:space="preserve">Yes (Zero Gravity Ventures)</t>
  </si>
  <si>
    <t xml:space="preserve">Abul Kasem Khan</t>
  </si>
  <si>
    <t xml:space="preserve">Yes (noted entrepreneur; former President, Dhaka Chamber of Commerce &amp; Industry - DCCI)</t>
  </si>
  <si>
    <t xml:space="preserve">Raja Debnath</t>
  </si>
  <si>
    <t xml:space="preserve">Global supply-chain finance expert (prior independent startup founding not specified in public sources)</t>
  </si>
  <si>
    <t xml:space="preserve">Nazmul Sheikh</t>
  </si>
  <si>
    <t xml:space="preserve">BSc, Electrical &amp; Electronic Engineering (EEE), BUET</t>
  </si>
  <si>
    <t xml:space="preserve">Sinthia Sharmin Islam</t>
  </si>
  <si>
    <t xml:space="preserve">Bachelor's, Pharmacy</t>
  </si>
  <si>
    <t xml:space="preserve">Milky Mahmud</t>
  </si>
  <si>
    <t xml:space="preserve">BSc, Computer Science, Islamic University of Technology (IUT)</t>
  </si>
  <si>
    <t xml:space="preserve">A.M.M. Habibul Mustafa</t>
  </si>
  <si>
    <t xml:space="preserve">BBA &amp; MBA, Institute of Business Administration (IBA), Dhaka University</t>
  </si>
  <si>
    <t xml:space="preserve">Hussain M. Elius</t>
  </si>
  <si>
    <t xml:space="preserve">MBA, North South University</t>
  </si>
  <si>
    <t xml:space="preserve">Yes (Jaben, ride-hailing, pre-Pathao)</t>
  </si>
  <si>
    <t xml:space="preserve">Shifat Adnan</t>
  </si>
  <si>
    <t xml:space="preserve">BSc, Computer Science &amp; Engineering, Rajshahi University of Engineering &amp; Technology (RUET)</t>
  </si>
  <si>
    <t xml:space="preserve">Yes (KaijuThemes; Dugdugi, 2013)</t>
  </si>
  <si>
    <t xml:space="preserve">Fahim Saleh</t>
  </si>
  <si>
    <t xml:space="preserve">Maliha M. Quadir</t>
  </si>
  <si>
    <t xml:space="preserve">MBA, Harvard Business School; BA Computer Science &amp; Economics, Smith College</t>
  </si>
  <si>
    <t xml:space="preserve">Biplob Ghosh Rahul</t>
  </si>
  <si>
    <t xml:space="preserve">BSc, Electronics &amp; Communication Engineering; MBA, East West University</t>
  </si>
  <si>
    <t xml:space="preserve">Yes (Soft Call, pre-eCourier)</t>
  </si>
  <si>
    <t xml:space="preserve">Anayet Rashid</t>
  </si>
  <si>
    <t xml:space="preserve">BBA, International Business &amp; Marketing, North South University</t>
  </si>
  <si>
    <t xml:space="preserve">No (ran family business, Lalmai)</t>
  </si>
  <si>
    <t xml:space="preserve">Mir Hossain Ekram</t>
  </si>
  <si>
    <t xml:space="preserve">Reyasat Chowdhury</t>
  </si>
  <si>
    <t xml:space="preserve">Bachelor's, Business (Finance &amp; Economics), North South University</t>
  </si>
  <si>
    <t xml:space="preserve">Jawwad Jahangir</t>
  </si>
  <si>
    <t xml:space="preserve">Bachelor's, Business, North South University</t>
  </si>
  <si>
    <t xml:space="preserve">Yes (Outbox Events, pre-Shuttle)</t>
  </si>
  <si>
    <t xml:space="preserve">Shah Sufian Mahmud Chowdhury</t>
  </si>
  <si>
    <t xml:space="preserve">BSc, Computer Science &amp; Engineering, Ahsanullah University of Science and Technology</t>
  </si>
  <si>
    <t xml:space="preserve">Yes (Weaver Innovations, pre-Shuttle)</t>
  </si>
  <si>
    <t xml:space="preserve">Shahriar Hasan</t>
  </si>
  <si>
    <t xml:space="preserve">Md Razibul Islam</t>
  </si>
  <si>
    <t xml:space="preserve">Rahath Ahmed</t>
  </si>
  <si>
    <t xml:space="preserve">Shamsuddin Ahmed</t>
  </si>
  <si>
    <t xml:space="preserve">Al-Farooque Shubho</t>
  </si>
  <si>
    <t xml:space="preserve">Biplob Biswas</t>
  </si>
  <si>
    <t xml:space="preserve">Tanvir Ahmed</t>
  </si>
  <si>
    <t xml:space="preserve">Tawhidur Rahman</t>
  </si>
  <si>
    <t xml:space="preserve">Tarequl Islam</t>
  </si>
  <si>
    <t xml:space="preserve">Ambareen Reza</t>
  </si>
  <si>
    <t xml:space="preserve">Zubair B A Siddiky</t>
  </si>
  <si>
    <t xml:space="preserve">Ridwan Hafiz</t>
  </si>
  <si>
    <t xml:space="preserve">BSc, Computer Science &amp; Engineering, BUET</t>
  </si>
  <si>
    <t xml:space="preserve">Yes (Analyzen, 2008-2021)</t>
  </si>
  <si>
    <t xml:space="preserve">Sadia Haque</t>
  </si>
  <si>
    <t xml:space="preserve">BBA (Marketing &amp; HRM), North South University</t>
  </si>
  <si>
    <t xml:space="preserve">Kashef Rahman</t>
  </si>
  <si>
    <t xml:space="preserve">North South University (degree unspecified)</t>
  </si>
  <si>
    <t xml:space="preserve">Shifatur Rahman</t>
  </si>
  <si>
    <t xml:space="preserve">Ayman Sadiq</t>
  </si>
  <si>
    <t xml:space="preserve">BBA, Institute of Business Administration (IBA), University of Dhaka</t>
  </si>
  <si>
    <t xml:space="preserve">No (first venture)</t>
  </si>
  <si>
    <t xml:space="preserve">Shahir Chowdhury</t>
  </si>
  <si>
    <t xml:space="preserve">Bachelor's, Business Management, Cardiff University; CFA charterholder</t>
  </si>
  <si>
    <t xml:space="preserve">Zeeshan Zakaria</t>
  </si>
  <si>
    <t xml:space="preserve">Teacher training, UCL Institute of Education (exact degree unspecified)</t>
  </si>
  <si>
    <t xml:space="preserve">Md. Yanur Islam (Piash)</t>
  </si>
  <si>
    <t xml:space="preserve">Galib Hassan Khan</t>
  </si>
  <si>
    <t xml:space="preserve">Rafid Imran</t>
  </si>
  <si>
    <t xml:space="preserve">Mostafizur Rahman</t>
  </si>
  <si>
    <t xml:space="preserve">Tauhidul Islam</t>
  </si>
  <si>
    <t xml:space="preserve">Dhaka University graduate (exact degree unspecified)</t>
  </si>
  <si>
    <t xml:space="preserve">Abu Shahed</t>
  </si>
  <si>
    <t xml:space="preserve">Mustafizur R Rahman</t>
  </si>
  <si>
    <t xml:space="preserve">Fayaz Taher</t>
  </si>
  <si>
    <t xml:space="preserve">Samad Miraly</t>
  </si>
  <si>
    <t xml:space="preserve">Rare Al Samir</t>
  </si>
  <si>
    <t xml:space="preserve">Jamila Bupasha Khushbu</t>
  </si>
  <si>
    <t xml:space="preserve">Md. Nazmul Haque Sarkar</t>
  </si>
  <si>
    <t xml:space="preserve">Jhankar Mahbub</t>
  </si>
  <si>
    <t xml:space="preserve">Postgraduate (MS, Industrial &amp; Production Engineering, Univ. of Minnesota; BSc BUET)</t>
  </si>
  <si>
    <t xml:space="preserve">Shadman Majid</t>
  </si>
  <si>
    <t xml:space="preserve">Undergraduate (BUET/MIST-affiliated group)</t>
  </si>
  <si>
    <t xml:space="preserve">Ibrahim Akbar</t>
  </si>
  <si>
    <t xml:space="preserve">Ishtiyak Sheyam</t>
  </si>
  <si>
    <t xml:space="preserve">Some college (started as college student)</t>
  </si>
  <si>
    <t xml:space="preserve">Fahim Siddique</t>
  </si>
  <si>
    <t xml:space="preserve">Undergraduate (Mechanical Engineering, KUET)</t>
  </si>
  <si>
    <t xml:space="preserve">Shourov Barua</t>
  </si>
  <si>
    <t xml:space="preserve">Abdullah Al Musabbir</t>
  </si>
  <si>
    <t xml:space="preserve">Yes (also co-founded Udvash, Rokomari, other OnnoRokom Group ventures)</t>
  </si>
  <si>
    <t xml:space="preserve">Sylvana Q. Sinha</t>
  </si>
  <si>
    <t xml:space="preserve">Postgraduate (JD, Columbia Law School; MPA/ID, Harvard Kennedy School; BA Philosophy &amp; Economics, Wellesley College)</t>
  </si>
  <si>
    <t xml:space="preserve">Anowar Hossain</t>
  </si>
  <si>
    <t xml:space="preserve">Monir Hossain</t>
  </si>
  <si>
    <t xml:space="preserve">Yes (already ran IT firm Media365)</t>
  </si>
  <si>
    <t xml:space="preserve">Rosina Mazumder</t>
  </si>
  <si>
    <t xml:space="preserve">Yes (founded Cake Masters magazine)</t>
  </si>
  <si>
    <t xml:space="preserve">Yawar Mehboob</t>
  </si>
  <si>
    <t xml:space="preserve">Shamim Hasan</t>
  </si>
  <si>
    <t xml:space="preserve">Fahad Hossain</t>
  </si>
  <si>
    <t xml:space="preserve">Tawhida Shiropa</t>
  </si>
  <si>
    <t xml:space="preserve">Postgraduate (Bachelor's &amp; Master's degrees, field not specified)</t>
  </si>
  <si>
    <t xml:space="preserve">Ivy Huq Russell</t>
  </si>
  <si>
    <t xml:space="preserve">Undergraduate (Finance &amp; Economics, University of Warwick)</t>
  </si>
  <si>
    <t xml:space="preserve">Rubayat Khan</t>
  </si>
  <si>
    <t xml:space="preserve">Postgraduate (MPA/ID, Harvard Kennedy School)</t>
  </si>
  <si>
    <t xml:space="preserve">2-10</t>
  </si>
  <si>
    <t xml:space="preserve">Yes (co-founded mPower Social Enterprises, 2008)</t>
  </si>
  <si>
    <t xml:space="preserve">Yes (data scientist background)</t>
  </si>
  <si>
    <t xml:space="preserve">Arefin Zaman</t>
  </si>
  <si>
    <t xml:space="preserve">Mohammad Abdul Matin Emon</t>
  </si>
  <si>
    <t xml:space="preserve">Yes (started a computer hardware business in 1994)</t>
  </si>
  <si>
    <t xml:space="preserve">Yes (career-long IT/technology professional)</t>
  </si>
  <si>
    <t xml:space="preserve">Sadman Soeb Adib</t>
  </si>
  <si>
    <t xml:space="preserve">Areek Zillur</t>
  </si>
  <si>
    <t xml:space="preserve">Sanjida Alam</t>
  </si>
  <si>
    <t xml:space="preserve">Bachelor's (Biomedical Sciences)</t>
  </si>
  <si>
    <t xml:space="preserve">Asif Mahmud Tunan</t>
  </si>
  <si>
    <t xml:space="preserve">Master's Degree</t>
  </si>
  <si>
    <t xml:space="preserve">Rubaba Dowla</t>
  </si>
  <si>
    <t xml:space="preserve">Bachelor's &amp; Master's (BBA &amp; MBA, University of Dhaka)</t>
  </si>
  <si>
    <t xml:space="preserve">Master's / Post-graduate degree, Smith College</t>
  </si>
  <si>
    <t xml:space="preserve">Abu Sina Kamal</t>
  </si>
  <si>
    <t xml:space="preserve">Master's, Edith Cowan University; B.Com, Curtin University of Technology</t>
  </si>
  <si>
    <t xml:space="preserve">Tazin Shadid</t>
  </si>
  <si>
    <t xml:space="preserve">BSc Computer Science, USA</t>
  </si>
  <si>
    <t xml:space="preserve">Ishtiaque Ahmed Zahid</t>
  </si>
  <si>
    <t xml:space="preserve">MBBS</t>
  </si>
  <si>
    <t xml:space="preserve">Khondaker A. Mamun</t>
  </si>
  <si>
    <t xml:space="preserve">PhD (Computer &amp; Biomedical Engineering, University of Southampton)</t>
  </si>
  <si>
    <t xml:space="preserve">Zaeem Ahmed</t>
  </si>
  <si>
    <t xml:space="preserve">Bachelor's / Professional Degree</t>
  </si>
  <si>
    <t xml:space="preserve">Parvez Ahmed</t>
  </si>
  <si>
    <t xml:space="preserve">Master's / Bachelor's, Industrial Pharmacy / Business</t>
  </si>
  <si>
    <t xml:space="preserve">Fahad Ifaz</t>
  </si>
  <si>
    <t xml:space="preserve">MSc Agri-Business Management, AIT; Master's in International Economics</t>
  </si>
  <si>
    <t xml:space="preserve">Jamil M Akbar</t>
  </si>
  <si>
    <t xml:space="preserve">Bachelor's, Computer Science &amp; Engineering</t>
  </si>
  <si>
    <t xml:space="preserve">Sakib Hossain</t>
  </si>
  <si>
    <t xml:space="preserve">Bachelor's Degree</t>
  </si>
  <si>
    <t xml:space="preserve">Mamunur Rashid</t>
  </si>
  <si>
    <t xml:space="preserve">MBA</t>
  </si>
  <si>
    <t xml:space="preserve">Numair Hussain</t>
  </si>
  <si>
    <t xml:space="preserve">Higher education — corporate strategy, finance, health systems</t>
  </si>
  <si>
    <t xml:space="preserve">Medina Ali</t>
  </si>
  <si>
    <t xml:space="preserve">Bachelor's (New York University)</t>
  </si>
  <si>
    <t xml:space="preserve">Diptha Saha</t>
  </si>
  <si>
    <t xml:space="preserve">Bachelor's (Industrial &amp; Production Engineering, BUET)</t>
  </si>
  <si>
    <t xml:space="preserve">Qazi Bouland</t>
  </si>
  <si>
    <t xml:space="preserve">Rameez Hoque</t>
  </si>
  <si>
    <t xml:space="preserve">Sayed Zubaer Hasan</t>
  </si>
  <si>
    <t xml:space="preserve">Bachelor's; Post-Graduate Diploma in Supply Chain Management (PGDSCM), ISCEA-USA</t>
  </si>
  <si>
    <t xml:space="preserve">Arfan Hossain</t>
  </si>
  <si>
    <t xml:space="preserve">MBA, IBA; Post Graduate Diploma in Supply Chain Management (PGDSCM)</t>
  </si>
  <si>
    <t xml:space="preserve">Fida Haq</t>
  </si>
  <si>
    <t xml:space="preserve">Master's (Electrical &amp; Electronics Engineering, Bilkent University)</t>
  </si>
  <si>
    <t xml:space="preserve">Md Mahmudur Rahman</t>
  </si>
  <si>
    <t xml:space="preserve">MSc Development Economics, Australian National University; BSc Economics, North South University</t>
  </si>
  <si>
    <t xml:space="preserve">Md. Alvi Rahman</t>
  </si>
  <si>
    <t xml:space="preserve">Tasfia Tasbin</t>
  </si>
  <si>
    <t xml:space="preserve">BSc, Electronics &amp; Telecommunication Engineering, CUET</t>
  </si>
  <si>
    <t xml:space="preserve">Rubaiyat Farhan</t>
  </si>
  <si>
    <t xml:space="preserve">MBA, IBA, University of Dhaka; Engineering undergraduate degree</t>
  </si>
  <si>
    <t xml:space="preserve">Mubtaseem Zaman</t>
  </si>
  <si>
    <t xml:space="preserve">BASc Electrical &amp; Computer Engineering, University of Toronto</t>
  </si>
  <si>
    <t xml:space="preserve">Mohammad Oli Ahad</t>
  </si>
  <si>
    <t xml:space="preserve">BBA, IBA, University of Dhaka</t>
  </si>
  <si>
    <t xml:space="preserve">Shuvo Rahman</t>
  </si>
  <si>
    <t xml:space="preserve">Bachelor's, Computer Science / Telecom Engineering</t>
  </si>
  <si>
    <t xml:space="preserve">Zubair Ahmed</t>
  </si>
  <si>
    <t xml:space="preserve">Michael Schmitz</t>
  </si>
  <si>
    <t xml:space="preserve">PhD Candidate / Master's in Computer Science, Saarland University</t>
  </si>
  <si>
    <t xml:space="preserve">Mio Ahmed</t>
  </si>
  <si>
    <t xml:space="preserve">Mohammad Fayadan Hossain</t>
  </si>
  <si>
    <t xml:space="preserve">S. M. Saiduzzaman, Mohammad Anisul Islam</t>
  </si>
  <si>
    <t xml:space="preserve">Bachelor's / Masters (Engineering)</t>
  </si>
  <si>
    <t xml:space="preserve">11 – 50 employees</t>
  </si>
  <si>
    <t xml:space="preserve">Male / Male</t>
  </si>
  <si>
    <t xml:space="preserve">Enam Chowdhury, Zobaida Sultana</t>
  </si>
  <si>
    <t xml:space="preserve">Master of Business Administration (MBA)</t>
  </si>
  <si>
    <t xml:space="preserve">Abdullah Jayed</t>
  </si>
  <si>
    <t xml:space="preserve">Undergraduate / Bachelor's (Business)</t>
  </si>
  <si>
    <t xml:space="preserve">201 – 500 employees</t>
  </si>
  <si>
    <t xml:space="preserve">Yes. Had minor prior experience building local digital marketing agencies and affiliate websites before scaling this platform.</t>
  </si>
  <si>
    <t xml:space="preserve">male  </t>
  </si>
  <si>
    <t xml:space="preserve">Saraban Tahura Zaman, Rizmana Khan</t>
  </si>
  <si>
    <t xml:space="preserve">Bachelor's / Postgraduate (Tech &amp; Social Enterprise) – Specialized in Technology Entrepreneurship and ecosystem management networks.</t>
  </si>
  <si>
    <t xml:space="preserve">yes</t>
  </si>
  <si>
    <t xml:space="preserve">Female/ Female</t>
  </si>
  <si>
    <t xml:space="preserve">Yes (Internal Pivot). Developed as a spin-off product originating from their first company, Inovace.</t>
  </si>
  <si>
    <t xml:space="preserve">male/male</t>
  </si>
  <si>
    <t xml:space="preserve">Gazi Yar Mohammed, Zia Hassan Siddique</t>
  </si>
  <si>
    <t xml:space="preserve">Tanvir Hussain</t>
  </si>
  <si>
    <t xml:space="preserve">Bachelor's (Engineering / Computing)</t>
  </si>
  <si>
    <t xml:space="preserve">male</t>
  </si>
  <si>
    <t xml:space="preserve">Abul Bashar Mohammad Sharif</t>
  </si>
  <si>
    <t xml:space="preserve">Master's / Bachelor's (Business Administration)</t>
  </si>
  <si>
    <t xml:space="preserve">51 – 200 employees</t>
  </si>
  <si>
    <t xml:space="preserve">Mir Shahrukh Islam, Zafir Shafii Chowdhury</t>
  </si>
  <si>
    <t xml:space="preserve">Master of Business Administration (MBA) – Asia School of Business in collaboration with MIT Sloan; BSc in Electrical Engineering from Islamic University of Technology (IUT).</t>
  </si>
  <si>
    <t xml:space="preserve">Dr. Sebastian Groh, Hannes Kirchhoff, Daniel Ciganovic</t>
  </si>
  <si>
    <t xml:space="preserve">Doctor of Philosophy (PhD)</t>
  </si>
  <si>
    <t xml:space="preserve">54 employees</t>
  </si>
  <si>
    <t xml:space="preserve">all male</t>
  </si>
  <si>
    <t xml:space="preserve">Ahad Mohammad Bhai, Navidul Huq</t>
  </si>
  <si>
    <t xml:space="preserve">Bachelor's (Business Administration &amp; Finance)</t>
  </si>
  <si>
    <t xml:space="preserve">Redoan Rony (Chief Operating Officer / Creative Lead under Prothom Alo/Transcom)</t>
  </si>
  <si>
    <t xml:space="preserve">Bachelor's (Media &amp; Social Sciences)</t>
  </si>
  <si>
    <t xml:space="preserve">Fahim Mashroor</t>
  </si>
  <si>
    <t xml:space="preserve">Md. Saidul Islam, Rownak Jahan</t>
  </si>
  <si>
    <t xml:space="preserve">Mixed</t>
  </si>
  <si>
    <t xml:space="preserve">Bachelor's (Healthcare Management / Allied Sciences)</t>
  </si>
  <si>
    <t xml:space="preserve">1 – 10 employees</t>
  </si>
  <si>
    <t xml:space="preserve">male/female</t>
  </si>
  <si>
    <t xml:space="preserve">Adnan Imtiaz Halim, Ilmul Haque Sajib</t>
  </si>
  <si>
    <t xml:space="preserve">Bachelor's (Engineering &amp; Telecommunications)</t>
  </si>
  <si>
    <t xml:space="preserve">Iqbal Quadir (Co-founder) / Established as a joint venture with Telenor</t>
  </si>
  <si>
    <t xml:space="preserve">2,500+ employees</t>
  </si>
  <si>
    <t xml:space="preserve">Md. Shariar Alam</t>
  </si>
  <si>
    <t xml:space="preserve">Bachelor's (Business Strategy &amp; Logistical Management)</t>
  </si>
  <si>
    <t xml:space="preserve">Mainul Hameed, Rezwanul Haque</t>
  </si>
  <si>
    <t xml:space="preserve">Bachelor's (Pharmaceutical Sciences &amp; Tech)</t>
  </si>
  <si>
    <t xml:space="preserve">Dr. A M Shamim</t>
  </si>
  <si>
    <t xml:space="preserve">Doctor of Medicine (MBBS)</t>
  </si>
  <si>
    <t xml:space="preserve">N/A — captive MFS brand of United Commercial Bank (UCB); no independent founder team (UCB is sole owner)</t>
  </si>
  <si>
    <t xml:space="preserve">N/A (bank subsidiary)</t>
  </si>
  <si>
    <t xml:space="preserve">N/A — Bangladesh entity of Daraz Group (Rocket Internet-founded, Alibaba-owned since 2018); no independent local founder</t>
  </si>
  <si>
    <t xml:space="preserve">Aziz Arman</t>
  </si>
  <si>
    <t xml:space="preserve">Khandokar Taswar Zahin</t>
  </si>
  <si>
    <t xml:space="preserve">Zia Uddin</t>
  </si>
  <si>
    <t xml:space="preserve">Bhavish Aggarwal</t>
  </si>
  <si>
    <t xml:space="preserve">Ankit Bhati</t>
  </si>
  <si>
    <t xml:space="preserve">Sriharsha Majety</t>
  </si>
  <si>
    <t xml:space="preserve">Nandan Reddy</t>
  </si>
  <si>
    <t xml:space="preserve">Rahul Jaimini</t>
  </si>
  <si>
    <t xml:space="preserve">Girish Mathrubootham</t>
  </si>
  <si>
    <t xml:space="preserve">Shan Krishnasamy</t>
  </si>
  <si>
    <t xml:space="preserve">Harshil Mathur</t>
  </si>
  <si>
    <t xml:space="preserve">Shashank Kumar</t>
  </si>
  <si>
    <t xml:space="preserve">Kunal Shah</t>
  </si>
  <si>
    <t xml:space="preserve">Vidit Aatrey</t>
  </si>
  <si>
    <t xml:space="preserve">Sanjeev Barnwal</t>
  </si>
  <si>
    <t xml:space="preserve">Dharmil Sheth</t>
  </si>
  <si>
    <t xml:space="preserve">Dhaval Shah</t>
  </si>
  <si>
    <t xml:space="preserve">Harsh Parekh</t>
  </si>
  <si>
    <t xml:space="preserve">Hardik Dedhia</t>
  </si>
  <si>
    <t xml:space="preserve">Siddharth Shah</t>
  </si>
  <si>
    <t xml:space="preserve">Peyush Bansal</t>
  </si>
  <si>
    <t xml:space="preserve">Amit Chaudhary</t>
  </si>
  <si>
    <t xml:space="preserve">Sumeet Kapahi</t>
  </si>
  <si>
    <t xml:space="preserve">Falguni Nayar</t>
  </si>
  <si>
    <t xml:space="preserve">Vijay Shekhar Sharma</t>
  </si>
  <si>
    <t xml:space="preserve">Aman Gupta</t>
  </si>
  <si>
    <t xml:space="preserve">Sameer Mehta</t>
  </si>
  <si>
    <t xml:space="preserve">Sahil Barua</t>
  </si>
  <si>
    <t xml:space="preserve">Mohit Tandon</t>
  </si>
  <si>
    <t xml:space="preserve">Bhavesh Manglani</t>
  </si>
  <si>
    <t xml:space="preserve">Suraj Saharan</t>
  </si>
  <si>
    <t xml:space="preserve">Kapil Bharati</t>
  </si>
  <si>
    <t xml:space="preserve">Ritesh Agarwal</t>
  </si>
  <si>
    <t xml:space="preserve">Abhiraj Singh Bhal</t>
  </si>
  <si>
    <t xml:space="preserve">Varun Khaitan</t>
  </si>
  <si>
    <t xml:space="preserve">Raghav Chandra</t>
  </si>
  <si>
    <t xml:space="preserve">Tarun Mehta</t>
  </si>
  <si>
    <t xml:space="preserve">Swapnil Jain</t>
  </si>
  <si>
    <t xml:space="preserve">Lalit Keshre</t>
  </si>
  <si>
    <t xml:space="preserve">Harsh Jain</t>
  </si>
  <si>
    <t xml:space="preserve">Neeraj Singh</t>
  </si>
  <si>
    <t xml:space="preserve">Ishan Bansal</t>
  </si>
  <si>
    <t xml:space="preserve">Gaurav Munjal</t>
  </si>
  <si>
    <t xml:space="preserve">Roman Saini</t>
  </si>
  <si>
    <t xml:space="preserve">Hemesh Singh</t>
  </si>
  <si>
    <t xml:space="preserve">Vamsi Krishna</t>
  </si>
  <si>
    <t xml:space="preserve">Anand Prakash</t>
  </si>
  <si>
    <t xml:space="preserve">Saurabh Saxena</t>
  </si>
  <si>
    <t xml:space="preserve">Pulkit Jain</t>
  </si>
  <si>
    <t xml:space="preserve">Varun Alagh</t>
  </si>
  <si>
    <t xml:space="preserve">Ghazal Alagh</t>
  </si>
  <si>
    <t xml:space="preserve">Albinder Dhindsa</t>
  </si>
  <si>
    <t xml:space="preserve">Saurabh Kumar</t>
  </si>
  <si>
    <t xml:space="preserve">Aprameya Radhakrishna</t>
  </si>
  <si>
    <t xml:space="preserve">Mayank Bidawatka</t>
  </si>
  <si>
    <t xml:space="preserve">Krish Subramanian</t>
  </si>
  <si>
    <t xml:space="preserve">Rajaraman Santhanam</t>
  </si>
  <si>
    <t xml:space="preserve">Saravanan KP</t>
  </si>
  <si>
    <t xml:space="preserve">Thiyagarajan T</t>
  </si>
  <si>
    <t xml:space="preserve">Yogendra Vasupal</t>
  </si>
  <si>
    <t xml:space="preserve">Sachit Singhi</t>
  </si>
  <si>
    <t xml:space="preserve">Rupal Yogendra</t>
  </si>
  <si>
    <t xml:space="preserve">Navneet Singh</t>
  </si>
  <si>
    <t xml:space="preserve">Milind Sharma</t>
  </si>
  <si>
    <t xml:space="preserve">Sanjiv Gupta</t>
  </si>
  <si>
    <t xml:space="preserve">Harshvardhan Mandad</t>
  </si>
  <si>
    <t xml:space="preserve">Aseem Khare</t>
  </si>
  <si>
    <t xml:space="preserve">Abhiroop Medhekar</t>
  </si>
  <si>
    <t xml:space="preserve">Ajay Bhatt</t>
  </si>
  <si>
    <t xml:space="preserve">Amit Chahalia</t>
  </si>
  <si>
    <t xml:space="preserve">Arun Sirdeshmukh</t>
  </si>
  <si>
    <t xml:space="preserve">Darpan Munjal</t>
  </si>
  <si>
    <t xml:space="preserve">Rajesh Kamra</t>
  </si>
  <si>
    <t xml:space="preserve">Manish Tewari</t>
  </si>
  <si>
    <t xml:space="preserve">Kanishk Shukla</t>
  </si>
  <si>
    <t xml:space="preserve">Amit Shukla</t>
  </si>
  <si>
    <t xml:space="preserve">Amit Sharma</t>
  </si>
  <si>
    <t xml:space="preserve">Apoorva Jois</t>
  </si>
  <si>
    <t xml:space="preserve">Shashaank Shekhar Singhal</t>
  </si>
  <si>
    <t xml:space="preserve">Monica Rastogi</t>
  </si>
  <si>
    <t xml:space="preserve">Amarinder Dhaliwal</t>
  </si>
  <si>
    <t xml:space="preserve">Vijesh Sharma</t>
  </si>
  <si>
    <t xml:space="preserve">Vijay Misra</t>
  </si>
  <si>
    <t xml:space="preserve">Aakash Agarwal</t>
  </si>
  <si>
    <t xml:space="preserve">Ebrahim Akbari</t>
  </si>
  <si>
    <t xml:space="preserve">Puneet Kumar</t>
  </si>
  <si>
    <t xml:space="preserve">Shreyas Nagdawane</t>
  </si>
  <si>
    <t xml:space="preserve">Rohit Jain</t>
  </si>
  <si>
    <t xml:space="preserve">Nithin Kamath</t>
  </si>
  <si>
    <t xml:space="preserve">Nikhil Kamath</t>
  </si>
  <si>
    <t xml:space="preserve">Sridhar Vembu</t>
  </si>
  <si>
    <t xml:space="preserve">Tony Thomas</t>
  </si>
  <si>
    <t xml:space="preserve">Paras Chopra</t>
  </si>
  <si>
    <t xml:space="preserve">Sparsh Gupta</t>
  </si>
  <si>
    <t xml:space="preserve">Pallav Nadhani</t>
  </si>
  <si>
    <t xml:space="preserve">Amit Khatri</t>
  </si>
  <si>
    <t xml:space="preserve">Gaurav Khatri</t>
  </si>
  <si>
    <t xml:space="preserve">Shalin Jain</t>
  </si>
  <si>
    <t xml:space="preserve">Vipin Sahu</t>
  </si>
  <si>
    <t xml:space="preserve">Vinay Yadav</t>
  </si>
  <si>
    <t xml:space="preserve">Prakash Sahu</t>
  </si>
  <si>
    <t xml:space="preserve">Nemesh Singh</t>
  </si>
  <si>
    <t xml:space="preserve">Sarang Verma</t>
  </si>
  <si>
    <t xml:space="preserve">Sunil Gupta</t>
  </si>
  <si>
    <t xml:space="preserve">Sushil Kanugolu</t>
  </si>
  <si>
    <t xml:space="preserve">Yogesh Thore</t>
  </si>
  <si>
    <t xml:space="preserve">Aniruddha Sen</t>
  </si>
  <si>
    <t xml:space="preserve">Dhiraj Goel</t>
  </si>
  <si>
    <t xml:space="preserve">Shailesh Chaganlal Daxini</t>
  </si>
  <si>
    <t xml:space="preserve">Akash Senapaty</t>
  </si>
  <si>
    <t xml:space="preserve">Muthukaleeshwaran Subbiah</t>
  </si>
  <si>
    <t xml:space="preserve">Bharat Goenka</t>
  </si>
  <si>
    <t xml:space="preserve">Shyam Sunder Goenka</t>
  </si>
  <si>
    <t xml:space="preserve">Hamza Jawaid</t>
  </si>
  <si>
    <t xml:space="preserve">Saad Jangda</t>
  </si>
  <si>
    <t xml:space="preserve">Muhammad Owais Qureshi</t>
  </si>
  <si>
    <t xml:space="preserve">Zohaib Ali</t>
  </si>
  <si>
    <t xml:space="preserve">Sharoon Saleem</t>
  </si>
  <si>
    <t xml:space="preserve">Usman Gul</t>
  </si>
  <si>
    <t xml:space="preserve">Muneeb Maayr</t>
  </si>
  <si>
    <t xml:space="preserve">Qasif Shahid</t>
  </si>
  <si>
    <t xml:space="preserve">Monis Rahman</t>
  </si>
  <si>
    <t xml:space="preserve">Umer Munawar</t>
  </si>
  <si>
    <t xml:space="preserve">Brandon Timinsky</t>
  </si>
  <si>
    <t xml:space="preserve">Danish Lakhani</t>
  </si>
  <si>
    <t xml:space="preserve">Muhammad Omer Khan</t>
  </si>
  <si>
    <t xml:space="preserve">Babar Khan</t>
  </si>
  <si>
    <t xml:space="preserve">Ismail Khan</t>
  </si>
  <si>
    <t xml:space="preserve">Omair Ansari</t>
  </si>
  <si>
    <t xml:space="preserve">Ali Ladubhai</t>
  </si>
  <si>
    <t xml:space="preserve">Nadeem Shaikh</t>
  </si>
  <si>
    <t xml:space="preserve">Vladimira Briestenska</t>
  </si>
  <si>
    <t xml:space="preserve">Naeem Zamindar</t>
  </si>
  <si>
    <t xml:space="preserve">Halima Iqbal</t>
  </si>
  <si>
    <t xml:space="preserve">Farwah Tapal</t>
  </si>
  <si>
    <t xml:space="preserve">Jordan Olivas</t>
  </si>
  <si>
    <t xml:space="preserve">Muhammad Sarmad Farooq</t>
  </si>
  <si>
    <t xml:space="preserve">Raza Afzal</t>
  </si>
  <si>
    <t xml:space="preserve">Haider Navid</t>
  </si>
  <si>
    <t xml:space="preserve">Asad Khan</t>
  </si>
  <si>
    <t xml:space="preserve">Saad Khawar</t>
  </si>
  <si>
    <t xml:space="preserve">Babar Lakhani</t>
  </si>
  <si>
    <t xml:space="preserve">Furquan Kidwai</t>
  </si>
  <si>
    <t xml:space="preserve">Taha Ahmed</t>
  </si>
  <si>
    <t xml:space="preserve">Rooshan Aziz</t>
  </si>
  <si>
    <t xml:space="preserve">Talal Gondal</t>
  </si>
  <si>
    <t xml:space="preserve">Ahsan Khan</t>
  </si>
  <si>
    <t xml:space="preserve">Alexander Lukianchuk</t>
  </si>
  <si>
    <t xml:space="preserve">Ahmad Khan</t>
  </si>
  <si>
    <t xml:space="preserve">Majid Khan</t>
  </si>
  <si>
    <t xml:space="preserve">Shahmir Khan</t>
  </si>
  <si>
    <t xml:space="preserve">Haroon Rashid</t>
  </si>
  <si>
    <t xml:space="preserve">Khalid Bajwa</t>
  </si>
  <si>
    <t xml:space="preserve">Humayun Haroon</t>
  </si>
  <si>
    <t xml:space="preserve">Iqbal Talaat Bhatti</t>
  </si>
  <si>
    <t xml:space="preserve">Faisal Sherjan</t>
  </si>
  <si>
    <t xml:space="preserve">Saba Gul</t>
  </si>
  <si>
    <t xml:space="preserve">Badar Khushnood</t>
  </si>
  <si>
    <t xml:space="preserve">Amer Sarfaraz</t>
  </si>
  <si>
    <t xml:space="preserve">Zeeshan Saleem</t>
  </si>
  <si>
    <t xml:space="preserve">Babar Ahmed</t>
  </si>
  <si>
    <t xml:space="preserve">Faraz Ahmed</t>
  </si>
  <si>
    <t xml:space="preserve">Yasser Bashir</t>
  </si>
  <si>
    <t xml:space="preserve">Shayaan Tahir</t>
  </si>
  <si>
    <t xml:space="preserve">Shameelah Ismail</t>
  </si>
  <si>
    <t xml:space="preserve">Arooj Ismail</t>
  </si>
  <si>
    <t xml:space="preserve">Fareed Qureshi</t>
  </si>
  <si>
    <t xml:space="preserve">Mehvish Arifeen</t>
  </si>
  <si>
    <t xml:space="preserve">Ghulam Ali</t>
  </si>
  <si>
    <t xml:space="preserve">Safee Shah</t>
  </si>
  <si>
    <t xml:space="preserve">Raja Murad Khan</t>
  </si>
  <si>
    <t xml:space="preserve">Md Sadek Hossain</t>
  </si>
  <si>
    <t xml:space="preserve">Enrolled in Computer Science &amp; Engineering at Leading University, Sylhet (Financial Express profile, 2 Aug 2025: chose CSE; working full-time as a Fiverr freelancer by his third semester). No source confirms degree completion, so coded at the highest verified level (below bachelor) as a conservative lower bound.</t>
  </si>
  <si>
    <t xml:space="preserve">CSE studies at Leading University plus a professional software-development career (freelance web development for international clients since 2015, then building EzyCourse).</t>
  </si>
  <si>
    <t xml:space="preserve">Shahjahan Jewel</t>
  </si>
  <si>
    <t xml:space="preserve">BASc in Chemical Engineering, Shahjalal University of Science and Technology (SUST) — founder biography (werisebyliftingothers.in).</t>
  </si>
  <si>
    <t xml:space="preserve">Co-founder of Technext Limited (also its Head of Ideas) before founding WPManageNinja — Metropolitan University news item on the founder.</t>
  </si>
  <si>
    <t xml:space="preserve">Chemical engineering degree (SUST); professional WordPress developer since 2010.</t>
  </si>
  <si>
    <t xml:space="preserve">KM Reidwanul Bari Zion</t>
  </si>
  <si>
    <t xml:space="preserve">BSc in Electrical &amp; Electronic Engineering (EEE), University of Asia Pacific — UAP Department of EEE alumni page (1 May 2025) naming him founder of Steadfast Courier Ltd.</t>
  </si>
  <si>
    <t xml:space="preserve">EEE engineering degree (University of Asia Pacific).</t>
  </si>
  <si>
    <t xml:space="preserve">Minhaz Us Salakeen Fahme</t>
  </si>
  <si>
    <t xml:space="preserve">Studied Computer Science &amp; Engineering at Islamic University of Technology (IUT) — company's own anniversary post; alumnus status corroborated by his election as General Secretary of the IUT Alumni Association (Dec 2025).</t>
  </si>
  <si>
    <t xml:space="preserve">CSE studies at IUT; game/Unity development career.</t>
  </si>
  <si>
    <t xml:space="preserve">Istiaque Ahmed</t>
  </si>
  <si>
    <t xml:space="preserve">Studied Computer Science &amp; Engineering at Islamic University of Technology (IUT) — company's own anniversary post (co-founder &amp; COO / Head of Unity).</t>
  </si>
  <si>
    <t xml:space="preserve">CSE studies at IUT; Unity/game development lead role.</t>
  </si>
  <si>
    <t xml:space="preserve">Muhammad Monir Hossain</t>
  </si>
  <si>
    <t xml:space="preserve">BSc in Computer Science &amp; Engineering, Dhaka University of Engineering &amp; Technology (DUET), class of 2006 — founder profiles in The Business Standard and Brand Practitioners.</t>
  </si>
  <si>
    <t xml:space="preserve">CSE engineering degree (DUET); software/IT professional career.</t>
  </si>
  <si>
    <t xml:space="preserve">Shaer Hassan</t>
  </si>
  <si>
    <t xml:space="preserve">MBA, Institute of Business Administration (IBA), University of Dhaka — founder interviews (Future Startup, 2014 and 2017).</t>
  </si>
  <si>
    <t xml:space="preserve">MBA with a management career in advertising, telecom and software business; no STEM degree or technical role documented.</t>
  </si>
  <si>
    <t xml:space="preserve">Fuad Bin Omar</t>
  </si>
  <si>
    <t xml:space="preserve">Bachelor in Computer Science &amp; Engineering; also an MBA majoring in Finance — Nascenia company founder deck (SlideShare).</t>
  </si>
  <si>
    <t xml:space="preserve">CSE degree; programming and project-management career.</t>
  </si>
  <si>
    <t xml:space="preserve">Fattahul Alam</t>
  </si>
  <si>
    <t xml:space="preserve">Bachelor in Computer Science &amp; Engineering — Nascenia company founder deck (SlideShare).</t>
  </si>
  <si>
    <t xml:space="preserve">CSE degree; CTO with a software-project career (project management, financial products, social networking systems).</t>
  </si>
  <si>
    <t xml:space="preserve">Md. Abdul Kaioum</t>
  </si>
  <si>
    <t xml:space="preserve">Studied Computer Science and Engineering (CSE) at Chittagong University of Engineering and Technology (CUET) — founder's own account, WPfounders interview.</t>
  </si>
  <si>
    <t xml:space="preserve">CSE studies at CUET; professional software developer (Zoho services, then WordPress products).</t>
  </si>
  <si>
    <t xml:space="preserve">Sumit Saha</t>
  </si>
  <si>
    <t xml:space="preserve">B.Sc. in Computer Science &amp; Engineering, Bangladesh University of Engineering and Technology (BUET), 2004-2010 — founder's official profile (sumitsaha.me).</t>
  </si>
  <si>
    <t xml:space="preserve">Analyzen — co-founded in August 2008 with classmate Ridwan Hafiz (software/digital agency), where he remains Co-founder &amp; Managing Director; founded 12 years before Learn with Sumit.</t>
  </si>
  <si>
    <t xml:space="preserve">CSE degree from BUET; career software engineer (enterprise software, system architecture).</t>
  </si>
  <si>
    <t xml:space="preserve">Masuk Sarker Batista</t>
  </si>
  <si>
    <t xml:space="preserve">B.Sc in Computer Science &amp; Engineering, Ahsanullah University of Science &amp; Technology (2013-2017)</t>
  </si>
  <si>
    <t xml:space="preserve">Online Earning King (founder and author, from May 2016)</t>
  </si>
  <si>
    <t xml:space="preserve">B.Sc in Computer Science &amp; Engineering; worked as an Apple iOS developer</t>
  </si>
  <si>
    <t xml:space="preserve">Minhazul Asif</t>
  </si>
  <si>
    <t xml:space="preserve">Graduation (bachelor's degree) from International Islamic University Chittagong (IIUC); degree subject not stated in the sources found</t>
  </si>
  <si>
    <t xml:space="preserve">Technical career history: full-stack web developer and web-security practitioner/instructor (Udemy instructor bio); freelancing in web development, ethical hacking and cyber security since 2012. STEM coded on technical career history because the degree subject is not documented.</t>
  </si>
  <si>
    <t xml:space="preserve">Rifat M Huq</t>
  </si>
  <si>
    <t xml:space="preserve">Graduation (bachelor's degree) from United International University; focused area was EEE (Electrical &amp; Electronics Engineering) — founder's own words in FutureStartup interview</t>
  </si>
  <si>
    <t xml:space="preserve">Shikhbe Shobai (co-founded April 2017, one of 11 co-founders; served as its CEO until May 2020)</t>
  </si>
  <si>
    <t xml:space="preserve">Bachelor's with EEE (Electrical &amp; Electronics Engineering) focus</t>
  </si>
  <si>
    <t xml:space="preserve">Mir Monuwar Iqbal</t>
  </si>
  <si>
    <t xml:space="preserve">BSc in Computer Science from London Metropolitan University; MBA from a renowned university in Bangladesh (founder's own website, monuwariqbal.com)</t>
  </si>
  <si>
    <t xml:space="preserve">BSc in Computer Science (London Metropolitan University)</t>
  </si>
  <si>
    <t xml:space="preserve">Md. Musabbir Hosain</t>
  </si>
  <si>
    <t xml:space="preserve">Bachelor's degree in Computer Science and Engineering (CSE), Daffodil International University (The Financial Express, 27 Apr 2025)</t>
  </si>
  <si>
    <t xml:space="preserve">CSE (Computer Science and Engineering) degree; professional game developer</t>
  </si>
  <si>
    <t xml:space="preserve">Parvez Akhter</t>
  </si>
  <si>
    <t xml:space="preserve">Enrolled in a BSc in Computer Science (CSE) programme in Malaysia from late 2011 while building ThemeXpert; dropped out without completing the degree. No completed tertiary qualification is documented (Future Startup interview, Sep 2022); coded 0 following the enrolled-without-completion precedent used in bd_a (EzyCourse).</t>
  </si>
  <si>
    <t xml:space="preserve">Sphotik IT — web development company co-founded with three friends before ThemeXpert; operated about two years, then closed (Future Startup interview, Sep 2022)</t>
  </si>
  <si>
    <t xml:space="preserve">Self-taught professional software programmer who personally developed the company's Joomla template/extension products (STEM occupation; no completed STEM degree)</t>
  </si>
  <si>
    <t xml:space="preserve">Poojya Prasad</t>
  </si>
  <si>
    <t xml:space="preserve">Biomedical engineer (bachelor's degree in biomedical engineering)</t>
  </si>
  <si>
    <t xml:space="preserve">Biomedical engineering degree; worked as Sales and Application Specialist at GE Healthcare</t>
  </si>
  <si>
    <t xml:space="preserve">Sreeraksha Pournesh</t>
  </si>
  <si>
    <t xml:space="preserve">MBA, Alliance Business School, Bengaluru</t>
  </si>
  <si>
    <t xml:space="preserve">MBA in business administration; no STEM degree or technical role documented</t>
  </si>
  <si>
    <t xml:space="preserve">Shankar Venkataraman</t>
  </si>
  <si>
    <t xml:space="preserve">Engineering graduate, BITS Pilani</t>
  </si>
  <si>
    <t xml:space="preserve">Founder of Hillview Organics, a 100% organic farm in Vacaville, California, US, which he wound up in 2015 before returning to India</t>
  </si>
  <si>
    <t xml:space="preserve">Engineering degree from BITS Pilani; worked as an engineer at Texas Instruments in Texas, US</t>
  </si>
  <si>
    <t xml:space="preserve">Srinivasan Raman</t>
  </si>
  <si>
    <t xml:space="preserve">Satvinder Singh</t>
  </si>
  <si>
    <t xml:space="preserve">MBA, IMT Ghaziabad</t>
  </si>
  <si>
    <t xml:space="preserve">Co-founder of the Satin group; built Satin Creditcare Network Limited (microfinance) from scratch to IPO (company About page)</t>
  </si>
  <si>
    <t xml:space="preserve">MBA (management) - non-STEM</t>
  </si>
  <si>
    <t xml:space="preserve">Hammad Rahman</t>
  </si>
  <si>
    <t xml:space="preserve">Bachelor's in Computer Engineering, Jamia Hamdard University (Moneymint founder profile)</t>
  </si>
  <si>
    <t xml:space="preserve">Started Goalwit Technologies in 2017; Moneymint profile describes his journey as including 'two unsuccessful ventures' before NikahForever</t>
  </si>
  <si>
    <t xml:space="preserve">Computer engineering degree</t>
  </si>
  <si>
    <t xml:space="preserve">Deepanjali Dalmia</t>
  </si>
  <si>
    <t xml:space="preserve">Bachelor's, Barnard College of Columbia University - majors in Economics &amp; Psychology; Leadership Scholar, class of 2013</t>
  </si>
  <si>
    <t xml:space="preserve">No prior founding. Documented career history is employment only: financial analyst/consultant at Ernst &amp; Young, Manhattan, plus student internships (Coca-Cola marketing intern; financial planning intern) per YourStory HerStory and leaderbiography.com - no earlier venture reported in any profile.</t>
  </si>
  <si>
    <t xml:space="preserve">Economics &amp; psychology - non-STEM</t>
  </si>
  <si>
    <t xml:space="preserve">Siddhartha Vanvani</t>
  </si>
  <si>
    <t xml:space="preserve">MSc International Marketing Management, University of Leeds (UK)</t>
  </si>
  <si>
    <t xml:space="preserve">No prior founding. Founder's own account: he finished his master's in the UK, returned to India, researched the digital marketing industry and founded Digidarts at age 22 (Adgully interview). No prior venture or employment is reported in any profile.</t>
  </si>
  <si>
    <t xml:space="preserve">International Marketing Management (marketing) - non-STEM</t>
  </si>
  <si>
    <t xml:space="preserve">Atul Kumar Chhabra</t>
  </si>
  <si>
    <t xml:space="preserve">Alumnus of the National Institute of Design (NID), per the company's About page ('Founder &amp; CEO @Designerrs, Ex Samsung, TCS &amp; Alumni NID'); degree level (B.Des vs M.Des) is not published, so edu_level is null</t>
  </si>
  <si>
    <t xml:space="preserve">Design education (NID) and design roles at Samsung and TCS — a design discipline, not STEM</t>
  </si>
  <si>
    <t xml:space="preserve">Sidhant Goyal</t>
  </si>
  <si>
    <t xml:space="preserve">Undergraduate studies in Interaction Design at IIT Guwahati (student 2012–2016), per his own website timeline (sidhantgoyal.in)</t>
  </si>
  <si>
    <t xml:space="preserve">Interaction/UX design discipline; no STEM degree or engineering role documented</t>
  </si>
  <si>
    <t xml:space="preserve">Ganesh Shetty</t>
  </si>
  <si>
    <t xml:space="preserve">Rahul Saria</t>
  </si>
  <si>
    <t xml:space="preserve">Chartered Accountant (CA) and Company Secretary (CS); All India Rank holder in both CA and CS examinations (ZebraLearn/Fincurious instructor profiles)</t>
  </si>
  <si>
    <t xml:space="preserve">Named in the founding team of Nimble Growth Organics (inception 2017) alongside Nagendra Kalkuli, per the 18startup.com company profile, which identifies him as a CA and ex-CFO of Rentomojo and Vedantu — matching this founder</t>
  </si>
  <si>
    <t xml:space="preserve">Accounting and finance professional qualifications and finance leadership roles; no STEM degree or technical role documented</t>
  </si>
  <si>
    <t xml:space="preserve">Ramesh Krishnan Narayanan</t>
  </si>
  <si>
    <t xml:space="preserve">Master's degree in Electrical Engineering, College of Engineering Guindy, Anna University, Chennai (SAE India speaker biography)</t>
  </si>
  <si>
    <t xml:space="preserve">Electrical-engineering master's degree; career in wireless, EV and RF test-and-measurement products</t>
  </si>
  <si>
    <t xml:space="preserve">Chetan Velkur</t>
  </si>
  <si>
    <t xml:space="preserve">Master's degree, University of Kentucky (Kriya Nextwealth About page); the same source credits him with a Six Sigma certification and 4 patents</t>
  </si>
  <si>
    <t xml:space="preserve">Founder of Kriya Nextwealth (impact-sourcing BPO, Chittoor), started in 2010 — the data-labelling BPO whose technology problems led to Taskmonk (YourStory Tech30 profile; Kriya Nextwealth About page)</t>
  </si>
  <si>
    <t xml:space="preserve">Master's degree; worked at GE Energy after his master's and holds 4 patents — an engineering/technical history</t>
  </si>
  <si>
    <t xml:space="preserve">Sampath Herga</t>
  </si>
  <si>
    <t xml:space="preserve">BS in Computer Science, University of Mumbai (LinkedIn-derived profile summary at me.sh); attended Ramrao Adik Institute of Technology</t>
  </si>
  <si>
    <t xml:space="preserve">Co-founder (chief of product engineering) of MeshLabs Software, Bengaluru (founded 2009; incubated at IIM Bangalore's NSRCEL), acquired by Pegasystems in 2014 (TechCircle; VCCircle; IIMB)</t>
  </si>
  <si>
    <t xml:space="preserve">Computer-science degree; career as software engineer and architect at Mahindra Tech, Motorola and NetApp, and co-founder/chief of product engineering at MeshLabs</t>
  </si>
  <si>
    <t xml:space="preserve">Vikram Kedlaya</t>
  </si>
  <si>
    <t xml:space="preserve">CTO of Taskmonk; YourStory: he 'had worked with Sampath in his earlier startups to build end-to-end products' — a technical/product-engineering history (his degree is not published)</t>
  </si>
  <si>
    <t xml:space="preserve">Suman Howlader</t>
  </si>
  <si>
    <t xml:space="preserve">MBA, AMC College, Bengaluru (completed 2003 via evening classes while employed; YourStory profile says MBA from Bangalore University); MCA (Master of Computer Applications), Mahatma Gandhi Open University, Raipur; earlier a three-year hotel-management course at KPHR Institute of Hotel Management plus computer courses (founder narrative)</t>
  </si>
  <si>
    <t xml:space="preserve">MCA (computer applications) plus a technical career history: technical advisor at ITC Infotech and systems-analyst/consultant roles at Unisys and Thomson Reuters</t>
  </si>
  <si>
    <t xml:space="preserve">Godwin Pinto</t>
  </si>
  <si>
    <t xml:space="preserve">BSc Physics &amp; Electronics, St. Xavier's College, Mumbai; PGDM, NMIMS Mumbai (per the founder's own Medium author bios)</t>
  </si>
  <si>
    <t xml:space="preserve">BSc in Physics &amp; Electronics - STEM discipline</t>
  </si>
  <si>
    <t xml:space="preserve">Mawin Pinto</t>
  </si>
  <si>
    <t xml:space="preserve">No published education found (his me.sh/LinkedIn mirror states profile details not provided) - left null</t>
  </si>
  <si>
    <t xml:space="preserve">Parvati Matkate</t>
  </si>
  <si>
    <t xml:space="preserve">No published education or career biography found - left null</t>
  </si>
  <si>
    <t xml:space="preserve">Nilesh Satpute</t>
  </si>
  <si>
    <t xml:space="preserve">BE Computer Science, VJTI Mumbai; MBA, Jamnalal Bajaj Institute of Management Studies (JBIMS) (per his IIT Bombay workshop speaker deck)</t>
  </si>
  <si>
    <t xml:space="preserve">BE in Computer Science - STEM discipline</t>
  </si>
  <si>
    <t xml:space="preserve">Vasant Baba Satpute</t>
  </si>
  <si>
    <t xml:space="preserve">No published biography or education found - left null</t>
  </si>
  <si>
    <t xml:space="preserve">Arun Vaz</t>
  </si>
  <si>
    <t xml:space="preserve">Chartered Accountant (CA), ICAI; ICAI-certified Anti-Money-Laundering Specialist and CSR expert (per SAE Tax and Accounting advisor biography)</t>
  </si>
  <si>
    <t xml:space="preserve">In chartered-accountancy practice since ~2009; whether that practice was a self-founded firm before Transformatrix (2018) is not documented, so serial_flag is null. His documented co-foundings (CloudMojo 2020, Techsurance, Metavian) all postdate Transformatrix.</t>
  </si>
  <si>
    <t xml:space="preserve">Chartered Accountancy (accounting/finance) - non-STEM discipline</t>
  </si>
  <si>
    <t xml:space="preserve">Dolphy Mascarenhas</t>
  </si>
  <si>
    <t xml:space="preserve">No published education found - left null</t>
  </si>
  <si>
    <t xml:space="preserve">Founder, Global Executive Search Firm (from Oct 2016, per Affluense executive profile) - a venture founded before Transformatrix (Jun 2018)</t>
  </si>
  <si>
    <t xml:space="preserve">Sagar Shah</t>
  </si>
  <si>
    <t xml:space="preserve">Chartered Accountant (CA), ICAI (per ChessBase's founder profile and ChessTech interview; also an International Master in chess, FIDE Trainer)</t>
  </si>
  <si>
    <t xml:space="preserve">Amruta Mokal</t>
  </si>
  <si>
    <t xml:space="preserve">Altaf Qureshi</t>
  </si>
  <si>
    <t xml:space="preserve">LLM, Columbia Law School, 2003 (dated biography timeline); PakWired collective founder bio: the two founders 'have done Masters in Law from Berkeley and Columbia'</t>
  </si>
  <si>
    <t xml:space="preserve">None before Wukla: dated career timeline shows employment only before 2016 (Linklaters London, K-Electric, PSO, Royal Bank of Scotland, Abu Dhabi Commercial Bank). His Paksign co-founding came in 2017, after Wukla.</t>
  </si>
  <si>
    <t xml:space="preserve">Law degree (LLM) – non-STEM</t>
  </si>
  <si>
    <t xml:space="preserve">Mohammad Sohaib Saleem</t>
  </si>
  <si>
    <t xml:space="preserve">Masters in Law (LLM), UC Berkeley – PakWired collective bio attributes Masters in Law from 'Berkeley and Columbia' to the two founders; Altaf Qureshi's own timeline confirms his LLM is Columbia (2003), so the Berkeley LLM is Sohaib Saleem's</t>
  </si>
  <si>
    <t xml:space="preserve">None documented: collective founder bio names employment only (Linklaters, K-Electric, PSO, Royal Bank of Scotland, Abu Dhabi Commercial Bank) and no prior venture</t>
  </si>
  <si>
    <t xml:space="preserve">Ammad Mirza</t>
  </si>
  <si>
    <t xml:space="preserve">Bachelor of Science (BS), Computer Science, Karachi University (2009 - 2013) — résumé Education section, 'Karachi University'; plus non-degree Oracle 10g / Oracle DBA OCP training (2009-2010), not counted as a degree</t>
  </si>
  <si>
    <t xml:space="preserve">None found. Résumé lists employment only before 2021: alvia promotions, Call centre agent (Apr 2006-Jun 2007); Jubilee Life Insurance, Sr. development officer (Jul 2007-Mar 2008); PAK-QATAR FAMILY TAKAFUL, Sr. takaful consultant (Apr 2008-Mar 2009); TFGroup, Assistant Sales Manager (Jan 2010-Aug 2012); Axact, Executive Sales and Support (Sep 2012-Apr 2013); Salsoft Technologies, Team Leader mobile applications (May 2013-Dec 2014); Xpretech Technology Solutions, Business Head (Jan 2015-Aug 2018 — employee role, résumé says he provided 'daily and weekly updates to the CEO'); ABTACH LTD, Senior Mobile Business Consultant / Sr. Manager / Assistant Vice President (Sep 2018-2019+). No venture founded before Zamratech.</t>
  </si>
  <si>
    <t xml:space="preserve">Computer Science (field of the BS degree)</t>
  </si>
  <si>
    <t xml:space="preserve">Shakil Muhammad</t>
  </si>
  <si>
    <t xml:space="preserve">MS &amp; PhD, Korea Advanced Institute of Science and Technology (KAIST); PhD in Information and Telecommunication Technology (GoodFirms interview: 'During my Master's and subsequently Ph.D. in Information and Telecommunication Technology from KAIST - South Korea'); Sessionize: 'attended KAIST for MS &amp; PhD'</t>
  </si>
  <si>
    <t xml:space="preserve">Sessionize bio: 'Shakil is researcher and serial entrepreneur… He co-founded multiple start-ups including blockchain research and development firm (www.genesislab.com)'. Also founded RNS Solutions in 2017 (GoodFirms interview). NOTE: no named venture founded before 2017 was evidenced; pre-2017 activity found is individual consultancy from 2016 only — serial coding rests on the bio's 'serial entrepreneur / co-founded multiple start-ups' wording and is flagged as a coordinator judgment call in the collection log.</t>
  </si>
  <si>
    <t xml:space="preserve">Degree-field based: PhD field is Information and Telecommunication Technology (STEM); bio adds experience in Computer Softwares and Networks Security</t>
  </si>
  <si>
    <t xml:space="preserve">Ali Khalid</t>
  </si>
  <si>
    <t xml:space="preserve">CPA Australia, CPA; The Institute of Chartered Accountants of Pakistan (ICAP), ACA</t>
  </si>
  <si>
    <t xml:space="preserve">None evidenced - pre-founding history is employment only at PwC; no venture before Axiom World found</t>
  </si>
  <si>
    <t xml:space="preserve">Accountancy only - CPA Australia (CPA) and ACA (ICAP, chartered accountancy); no STEM degree/qualification field evidenced. STEM coding is degree/qualification-field based.</t>
  </si>
  <si>
    <t xml:space="preserve">Muhammad Ahmed Raza</t>
  </si>
  <si>
    <t xml:space="preserve">Master's degree, Computer Science — National College of Business Administration &amp; Economics (NCBA&amp;E), July 2016, MASTER of COMPUTER SCIENCE (MCS), GPA 3.76 out of 4 (Bayt). Bayt also lists other master's degrees (M.Ed, Apr 2016; Islamic Studies, Sep 2013) which do not change max level; STEM coding is based on the Computer Science degree.</t>
  </si>
  <si>
    <t xml:space="preserve">No prior startup found. Pre-founding Work Experience on Bayt is employment only: Web Developer/SEO Expert at Falak News, Lecturer Computer Science at KIPS, Web Designer/Developer at Volgo Point (Dec 2016-Jul 2017, overlapping founding, still employment). A Feb 2012 'Al Noor Soft' entry appears under Memberships, not Work Experience, and was not counted as an employment role or a prior startup.</t>
  </si>
  <si>
    <t xml:space="preserve">Computer Science</t>
  </si>
  <si>
    <t xml:space="preserve">Saad Bazaz</t>
  </si>
  <si>
    <t xml:space="preserve">BS Computer Science (BSCS), FAST-NUCES Islamabad, CS 18th batch - podcast host: 'graduate of CS 18th batch, FAST Islamabad campus'; founder self-reference: 'when I did my BS'; full name Saad Ahmed Bazaz (P@SHA list; arXiv affiliation Grayhat Developers PVT Ltd, Islamabad)</t>
  </si>
  <si>
    <t xml:space="preserve">None mentioned - single self-reported podcast narrative lists media work from age 15, then CS degree and software-engineering employment incl. a company in Norway, then founding Grayhat; no prior venture stated (flagged single-source)</t>
  </si>
  <si>
    <t xml:space="preserve">Computer Science (degree field)</t>
  </si>
  <si>
    <t xml:space="preserve">Sayed Mahtab</t>
  </si>
  <si>
    <t xml:space="preserve">BS in Education — 'I also hold a BS in Education' (his own Upwork bio)</t>
  </si>
  <si>
    <t xml:space="preserve">No prior venture documented in any source. Only documented pre-founding occupation is employment: 'have 12 years of classroom experience' (teacher). His Moodle work from 2006 is the activity that became PakTaleem itself, not a separate prior venture.</t>
  </si>
  <si>
    <t xml:space="preserve">Degree-field based coding per dataset convention: BS in Education is non-STEM, so stem_flag=0. NOTE: the founder's occupational background IS software development ('Engineered 150+ custom plugins', titled 'Moodle Consultant | Developer | Administrator', LMS/Moodle work since 2006, 200+ LMS websites crafted) — under a background-based STEM reading this would be 1; the degree-based value is coded for consistency with all other rows in this batch.</t>
  </si>
  <si>
    <t xml:space="preserve">Muhammad Aamir Naeem</t>
  </si>
  <si>
    <t xml:space="preserve">M.Sc Engineering, University of Engineering and Technology (UET) Lahore, 2014-2015; B.Sc Engineering, Islamia University Bahawalpur, 2009-2013 — Education section of his Freelancer profile (@EngrAamirKamal), as read during collection (see status_note caveat)</t>
  </si>
  <si>
    <t xml:space="preserve">No prior venture documented in any source opened; his documented timeline is engineering education (to 2015) and AXCEL itself — no earlier founding is claimed by him or reported anywhere</t>
  </si>
  <si>
    <t xml:space="preserve">Engineering (M.Sc and B.Sc degrees are both in Engineering)</t>
  </si>
  <si>
    <t xml:space="preserve">Saba Jamal</t>
  </si>
  <si>
    <t xml:space="preserve">Medical graduate (MBBS), Sindh Medical College; advanced training in the United States with triple board certifications in Anatomic Pathology, Clinical Pathology and Hematology (MedicalExpo founder profile)</t>
  </si>
  <si>
    <t xml:space="preserve">Employment-only history documented: returned to Pakistan in 1999 and worked as a pathologist in local hospital settings (Dr. Ziauddin University Hospital; Indus Hospital &amp; Health Network, where she set up the Indus Blood Center) before founding Zaavia; no prior venture founded by her is documented anywhere</t>
  </si>
  <si>
    <t xml:space="preserve">Medicine / pathology — medical degree plus board certifications in Anatomic Pathology, Clinical Pathology and Hematology (STEM by degree field)</t>
  </si>
  <si>
    <t xml:space="preserve">Azmat Rana</t>
  </si>
  <si>
    <t xml:space="preserve">BS (Hons) Computer Science, University of Punjab, 2014 — per his own resume (resume.azmat.me)</t>
  </si>
  <si>
    <t xml:space="preserve">Employment only: Software Engineer (Aug 2014 - Sep 2017) then Senior Software Engineer (Sep 2017 - ) at Fliclicks Software Solutions, per his own dated resume; no prior founding documented anywhere</t>
  </si>
  <si>
    <t xml:space="preserve">Shahabuddin Sheikh</t>
  </si>
  <si>
    <t xml:space="preserve">BS Computer Science, University of Karachi, 2014-2018 — Education section of his own site (shahabuddinsheikh.com), verified first-hand during collection</t>
  </si>
  <si>
    <t xml:space="preserve">No prior venture documented; his own site's dated history shows developer employment from 2018 before Bitwise, and no earlier founding is claimed by him or reported anywhere</t>
  </si>
  <si>
    <t xml:space="preserve">Mushahid Hussain</t>
  </si>
  <si>
    <t xml:space="preserve">Master's Degree in Computer Science, COMSATS Institute of Information and Technology, 2014-2016; Bachelor of Science (BS) in Computer Science, COMSATS Institute of Information and Technology, 2009-2013 (LinkedIn-derived RocketReach profile, re-verified by the coordinator on 2026-10-20)</t>
  </si>
  <si>
    <t xml:space="preserve">Employment only before Centangle: Software Developer at 3D-GIT, COMSATS University Islamabad, Mar 2012 - Sep 2013, then Centangle co-founder from Aug 2013 (dated work history on his profile); no prior venture founded by him is documented in any source. Later co-founder titles (2017, 2022) post-date Centangle and are not prior ventures.</t>
  </si>
  <si>
    <t xml:space="preserve">Computer Science (both degrees are in Computer Science — STEM by degree field)</t>
  </si>
  <si>
    <t xml:space="preserve">investor_name</t>
  </si>
  <si>
    <t xml:space="preserve">investor_type_raw</t>
  </si>
  <si>
    <t xml:space="preserve">investor_category</t>
  </si>
  <si>
    <t xml:space="preserve">record_quality</t>
  </si>
  <si>
    <t xml:space="preserve">decision_clean</t>
  </si>
  <si>
    <t xml:space="preserve">decision_inferred</t>
  </si>
  <si>
    <t xml:space="preserve">accepted_flag</t>
  </si>
  <si>
    <t xml:space="preserve">rejected_flag</t>
  </si>
  <si>
    <t xml:space="preserve">application_year</t>
  </si>
  <si>
    <t xml:space="preserve">decision_year</t>
  </si>
  <si>
    <t xml:space="preserve">amount_requested_usd</t>
  </si>
  <si>
    <t xml:space="preserve">amount_invested_usd</t>
  </si>
  <si>
    <t xml:space="preserve">amount_invested_usd_hi</t>
  </si>
  <si>
    <t xml:space="preserve">amount_is_lower_bound</t>
  </si>
  <si>
    <t xml:space="preserve">is_round_share</t>
  </si>
  <si>
    <t xml:space="preserve">round_total_usd</t>
  </si>
  <si>
    <t xml:space="preserve">valuation_usd_low</t>
  </si>
  <si>
    <t xml:space="preserve">valuation_usd_high</t>
  </si>
  <si>
    <t xml:space="preserve">valuation_usd_mid</t>
  </si>
  <si>
    <t xml:space="preserve">is_acquirer_row</t>
  </si>
  <si>
    <t xml:space="preserve">reason_mentions_rejection</t>
  </si>
  <si>
    <t xml:space="preserve">amount_invested_raw</t>
  </si>
  <si>
    <t xml:space="preserve">valuation_raw</t>
  </si>
  <si>
    <t xml:space="preserve">reason_text</t>
  </si>
  <si>
    <t xml:space="preserve">SoftBank Vision Fund II</t>
  </si>
  <si>
    <t xml:space="preserve">Venture Capital</t>
  </si>
  <si>
    <t xml:space="preserve">VC/PE</t>
  </si>
  <si>
    <t xml:space="preserve">Detailed</t>
  </si>
  <si>
    <t xml:space="preserve">Accepted</t>
  </si>
  <si>
    <t xml:space="preserve">Unparalleled scale in unbanked demographic transition; first Bangladeshi unicorn.</t>
  </si>
  <si>
    <t xml:space="preserve">Bill &amp; Melinda Gates Foundation</t>
  </si>
  <si>
    <t xml:space="preserve">Philanthropic</t>
  </si>
  <si>
    <t xml:space="preserve">Grant/Philanthropic</t>
  </si>
  <si>
    <t xml:space="preserve">Strategic operational planning, distribution, and marketing support for financial inclusion.</t>
  </si>
  <si>
    <t xml:space="preserve">The Osiris Group</t>
  </si>
  <si>
    <t xml:space="preserve">Private Equity</t>
  </si>
  <si>
    <t xml:space="preserve">Transformative mobile banking infrastructure and Grameen Bank microcredit disbursement partnership.</t>
  </si>
  <si>
    <t xml:space="preserve">Early-stage incubation / angel network (unspecified)</t>
  </si>
  <si>
    <t xml:space="preserve">Angel/Incubator</t>
  </si>
  <si>
    <t xml:space="preserve">Accelerator</t>
  </si>
  <si>
    <t xml:space="preserve">Early-stage seed support for Bluetooth/low-bandwidth payment gateway technology.</t>
  </si>
  <si>
    <t xml:space="preserve">Y Combinator / IFC / IDLC</t>
  </si>
  <si>
    <t xml:space="preserve">Nano-warehouse architecture solving perishable grocery supply-chain logistics (Series A).</t>
  </si>
  <si>
    <t xml:space="preserve">Xploration Capital and others</t>
  </si>
  <si>
    <t xml:space="preserve">Expansion of the proprietary algorithmic inventory system and regional expansion (Series C).</t>
  </si>
  <si>
    <t xml:space="preserve">IDLC Venture Capital Fund I / Startup Bangladesh Limited</t>
  </si>
  <si>
    <t xml:space="preserve">Transition to omnichannel model countering counterfeit electronics; operational excellence (Pre-Series A).</t>
  </si>
  <si>
    <t xml:space="preserve">Century Oak Ventures / Y Combinator</t>
  </si>
  <si>
    <t xml:space="preserve">B2B retail supply-chain modernization; standard YC deal math executed (pre-Series A).</t>
  </si>
  <si>
    <t xml:space="preserve">Accelerator/VC</t>
  </si>
  <si>
    <t xml:space="preserve">VentureSouq</t>
  </si>
  <si>
    <t xml:space="preserve">VC</t>
  </si>
  <si>
    <t xml:space="preserve">IFC / IDLC Venture Capital Fund I</t>
  </si>
  <si>
    <t xml:space="preserve">DFI/VC</t>
  </si>
  <si>
    <t xml:space="preserve">DFI/Impact</t>
  </si>
  <si>
    <t xml:space="preserve">Superangel / Falcon Network / Tahseen Consulting</t>
  </si>
  <si>
    <t xml:space="preserve">Angel/VC</t>
  </si>
  <si>
    <t xml:space="preserve">Angel</t>
  </si>
  <si>
    <t xml:space="preserve">South Asia Tech</t>
  </si>
  <si>
    <t xml:space="preserve">Ecom Express</t>
  </si>
  <si>
    <t xml:space="preserve">Corporate</t>
  </si>
  <si>
    <t xml:space="preserve">Bangladesh Angels Network / Startup Bangladesh</t>
  </si>
  <si>
    <t xml:space="preserve">Angel/Government VC</t>
  </si>
  <si>
    <t xml:space="preserve">Government</t>
  </si>
  <si>
    <t xml:space="preserve">Wavemaker Partners</t>
  </si>
  <si>
    <t xml:space="preserve">Startup Bangladesh Limited</t>
  </si>
  <si>
    <t xml:space="preserve">Government VC</t>
  </si>
  <si>
    <t xml:space="preserve">Conjunction Capital</t>
  </si>
  <si>
    <t xml:space="preserve">Omicon Tech Ventures</t>
  </si>
  <si>
    <t xml:space="preserve">Sonia Bashir Kabir / Anita Gazi / Zinia Chowdhury (pre-seed angels)</t>
  </si>
  <si>
    <t xml:space="preserve">Angel investor</t>
  </si>
  <si>
    <t xml:space="preserve">Undisclosed (pre-seed)</t>
  </si>
  <si>
    <t xml:space="preserve">Investors cited strong founding team and market opportunity in employability/skills gap</t>
  </si>
  <si>
    <t xml:space="preserve">VintValley (Samin Yasar) / Anita Gazi (follow-on)</t>
  </si>
  <si>
    <t xml:space="preserve">100,000+</t>
  </si>
  <si>
    <t xml:space="preserve">Investor cited founders' track record and impact on local startup ecosystem</t>
  </si>
  <si>
    <t xml:space="preserve">Flagship Ventures</t>
  </si>
  <si>
    <t xml:space="preserve">Part of $220,000 round</t>
  </si>
  <si>
    <t xml:space="preserve">Blue Aura Ventures</t>
  </si>
  <si>
    <t xml:space="preserve">Mohammad Maaz (angel)</t>
  </si>
  <si>
    <t xml:space="preserve">SuperCharger Ventures</t>
  </si>
  <si>
    <t xml:space="preserve">First Bangladeshi startup in SCV's new cohort format</t>
  </si>
  <si>
    <t xml:space="preserve">100,000</t>
  </si>
  <si>
    <t xml:space="preserve">Ongoing seed round participation, potential follow-on up to $250,000</t>
  </si>
  <si>
    <t xml:space="preserve">Open Campus Accelerator</t>
  </si>
  <si>
    <t xml:space="preserve">Accelerator/Grant</t>
  </si>
  <si>
    <t xml:space="preserve">100,000 (grant)</t>
  </si>
  <si>
    <t xml:space="preserve">Share of $1.75M across 7 startups</t>
  </si>
  <si>
    <t xml:space="preserve">Student to Start-up</t>
  </si>
  <si>
    <t xml:space="preserve">Government/Accelerator program</t>
  </si>
  <si>
    <t xml:space="preserve">Bangabandhu Innovation Grant (BIG)</t>
  </si>
  <si>
    <t xml:space="preserve">Government grant</t>
  </si>
  <si>
    <t xml:space="preserve">SOSV</t>
  </si>
  <si>
    <t xml:space="preserve">Part of $170,000 round (2022-02-11)</t>
  </si>
  <si>
    <t xml:space="preserve">Orbit Ventures</t>
  </si>
  <si>
    <t xml:space="preserve">Undisclosed investors (2021 round)</t>
  </si>
  <si>
    <t xml:space="preserve">10,600,000 (cumulative to 2021, incl. earlier rounds)</t>
  </si>
  <si>
    <t xml:space="preserve">Series B investors (sought)</t>
  </si>
  <si>
    <t xml:space="preserve">Pending</t>
  </si>
  <si>
    <t xml:space="preserve">Sinha stated intent to raise $15M Series B (Axios, May 2022); closing not confirmed publicly</t>
  </si>
  <si>
    <t xml:space="preserve">Falcon Network</t>
  </si>
  <si>
    <t xml:space="preserve">Part of $200,000 round</t>
  </si>
  <si>
    <t xml:space="preserve">Angel investors (incl. 6 female angels, Tech in Asia pitch winners)</t>
  </si>
  <si>
    <t xml:space="preserve">Won Tech in Asia Pitch Competition, March 2021</t>
  </si>
  <si>
    <t xml:space="preserve">Hyper (Shahed Khan, Josh Buckley)</t>
  </si>
  <si>
    <t xml:space="preserve">Part of $1.3M seed round</t>
  </si>
  <si>
    <t xml:space="preserve">First Bangladeshi startup backed by Hyper</t>
  </si>
  <si>
    <t xml:space="preserve">Ratio Ventures / Sketchnote Partners / SRB Ventures / IDLC / Julian Shapiro (angel)</t>
  </si>
  <si>
    <t xml:space="preserve">VC/Angel</t>
  </si>
  <si>
    <t xml:space="preserve">The Venture Collective</t>
  </si>
  <si>
    <t xml:space="preserve">4,000,000 (part of $5.5M cumulative seed)</t>
  </si>
  <si>
    <t xml:space="preserve">Led round citing counterfeit-medicine problem and market opportunity</t>
  </si>
  <si>
    <t xml:space="preserve">Tommy Hilfiger Fashion Frontier Challenge</t>
  </si>
  <si>
    <t xml:space="preserve">Corporate challenge/Grant</t>
  </si>
  <si>
    <t xml:space="preserve">~100,000 EUR</t>
  </si>
  <si>
    <t xml:space="preserve">UNDP / Youth Co:Lab (Citi Foundation)</t>
  </si>
  <si>
    <t xml:space="preserve">Grant</t>
  </si>
  <si>
    <t xml:space="preserve">Undisclosed</t>
  </si>
  <si>
    <t xml:space="preserve">Google for Startups Accelerator</t>
  </si>
  <si>
    <t xml:space="preserve">First Bangladeshi startup accepted into Google's Launchpad Accelerator</t>
  </si>
  <si>
    <t xml:space="preserve">Spring Accelerator</t>
  </si>
  <si>
    <t xml:space="preserve">BRAC</t>
  </si>
  <si>
    <t xml:space="preserve">Grant/Investor</t>
  </si>
  <si>
    <t xml:space="preserve">Anchorless Bangladesh</t>
  </si>
  <si>
    <t xml:space="preserve">Part of $2.2M seed</t>
  </si>
  <si>
    <t xml:space="preserve">Largest health-tech round in Bangladesh at the time</t>
  </si>
  <si>
    <t xml:space="preserve">PE/Impact investor</t>
  </si>
  <si>
    <t xml:space="preserve">Transform Health Challenge</t>
  </si>
  <si>
    <t xml:space="preserve">Grant/Challenge</t>
  </si>
  <si>
    <t xml:space="preserve">Echoing Green</t>
  </si>
  <si>
    <t xml:space="preserve">Fellowship/Grant</t>
  </si>
  <si>
    <t xml:space="preserve">Grand Challenges Canada</t>
  </si>
  <si>
    <t xml:space="preserve">USAID</t>
  </si>
  <si>
    <t xml:space="preserve">Seedstars International Ventures</t>
  </si>
  <si>
    <t xml:space="preserve">Part of $750,000 seed</t>
  </si>
  <si>
    <t xml:space="preserve">Cited MedEasy's understanding of Bangladesh's chronic-care market</t>
  </si>
  <si>
    <t xml:space="preserve">Doha Tech Angels</t>
  </si>
  <si>
    <t xml:space="preserve">nVentures</t>
  </si>
  <si>
    <t xml:space="preserve">BD Venture</t>
  </si>
  <si>
    <t xml:space="preserve">~20,000,000 BDT (~$250,000)</t>
  </si>
  <si>
    <t xml:space="preserve">First Bangladeshi startup to raise venture capital, per company statement</t>
  </si>
  <si>
    <t xml:space="preserve">Bangladesh Angels Network</t>
  </si>
  <si>
    <t xml:space="preserve">Angel network</t>
  </si>
  <si>
    <t xml:space="preserve">Undisclosed pre-seed</t>
  </si>
  <si>
    <t xml:space="preserve">Verge HealthTech Fund</t>
  </si>
  <si>
    <t xml:space="preserve">500,000</t>
  </si>
  <si>
    <t xml:space="preserve">Early-stage healthtech-focused fund covering Asia-Pacific/MENA</t>
  </si>
  <si>
    <t xml:space="preserve">None</t>
  </si>
  <si>
    <t xml:space="preserve">Type-only</t>
  </si>
  <si>
    <t xml:space="preserve">None recorded</t>
  </si>
  <si>
    <t xml:space="preserve">No funding or accelerator application on public/dataset record</t>
  </si>
  <si>
    <t xml:space="preserve">SBK Tech Ventures</t>
  </si>
  <si>
    <t xml:space="preserve">State-backed VC</t>
  </si>
  <si>
    <t xml:space="preserve">HEAD Foundation</t>
  </si>
  <si>
    <t xml:space="preserve">Foundation Prize</t>
  </si>
  <si>
    <t xml:space="preserve">Biniyog Briddhi</t>
  </si>
  <si>
    <t xml:space="preserve">Blended Finance</t>
  </si>
  <si>
    <t xml:space="preserve">UNCDF</t>
  </si>
  <si>
    <t xml:space="preserve">UN Development Fund</t>
  </si>
  <si>
    <t xml:space="preserve">IDLC Venture Capital</t>
  </si>
  <si>
    <t xml:space="preserve">Pioneer Facility</t>
  </si>
  <si>
    <t xml:space="preserve">International Impact Fund</t>
  </si>
  <si>
    <t xml:space="preserve">Razor Capital</t>
  </si>
  <si>
    <t xml:space="preserve">Symbiotics</t>
  </si>
  <si>
    <t xml:space="preserve">Impact Investor</t>
  </si>
  <si>
    <t xml:space="preserve">OPEC Fund for International Development</t>
  </si>
  <si>
    <t xml:space="preserve">Development Finance Institution</t>
  </si>
  <si>
    <t xml:space="preserve">SOSV / Orbit Startups</t>
  </si>
  <si>
    <t xml:space="preserve">Accelerator / VC</t>
  </si>
  <si>
    <t xml:space="preserve">Dekko ISHO</t>
  </si>
  <si>
    <t xml:space="preserve">Strategic / Corporate Investor</t>
  </si>
  <si>
    <t xml:space="preserve">Shorooq Partners / Anchorless Bangladesh</t>
  </si>
  <si>
    <t xml:space="preserve">ADB Ventures</t>
  </si>
  <si>
    <t xml:space="preserve">Dekko ISHO Venture Capital / Joa Capital / Accelerating Asia</t>
  </si>
  <si>
    <t xml:space="preserve">Venture Capital / Accelerator</t>
  </si>
  <si>
    <t xml:space="preserve">i2i Ventures / Oraseya Capital</t>
  </si>
  <si>
    <t xml:space="preserve">ICMG Co-Creation Fund</t>
  </si>
  <si>
    <t xml:space="preserve">Venture Capital (Japan)</t>
  </si>
  <si>
    <t xml:space="preserve">VC / Accelerator</t>
  </si>
  <si>
    <t xml:space="preserve">VC / Corporate</t>
  </si>
  <si>
    <t xml:space="preserve">$1.5 Million – $2.61 Million</t>
  </si>
  <si>
    <t xml:space="preserve">Estimated $8M – $12M USD</t>
  </si>
  <si>
    <t xml:space="preserve">Rejected by dozens of traditional VCs due to slow financial returns from solar hardware, and later faced capital shortfalls when a local institutional investor failed to deliver promised equity funding.</t>
  </si>
  <si>
    <t xml:space="preserve">Corporate / Private Equity</t>
  </si>
  <si>
    <t xml:space="preserve">Bypasses the venture capital track entirely, choosing to self-fund as a fintech conglomerate to avoid institutional equity investor rejections.</t>
  </si>
  <si>
    <t xml:space="preserve">No public rejections disclosed; acts as an independent startup ecosystem operator and venture studio running its own cohorts.</t>
  </si>
  <si>
    <t xml:space="preserve">Estimated $2M – $4M USD</t>
  </si>
  <si>
    <t xml:space="preserve">No public rejections disclosed; officially accepted into the global accelerator portfolios of both Orbit 10 and Accelerating Asia.</t>
  </si>
  <si>
    <t xml:space="preserve">VC / Angel</t>
  </si>
  <si>
    <t xml:space="preserve">$200,000+</t>
  </si>
  <si>
    <t xml:space="preserve">Estimated $2.5M – $5M USD</t>
  </si>
  <si>
    <t xml:space="preserve">No public rejections disclosed; officially accepted into Accelerating Asia and backed by the state-owned fund Startup Bangladesh Limited.</t>
  </si>
  <si>
    <t xml:space="preserve">Angel / Bootstrapped</t>
  </si>
  <si>
    <t xml:space="preserve">No public rejections disclosed; operates primarily via private local angel syndicates and organic bootstrapped revenue.</t>
  </si>
  <si>
    <t xml:space="preserve">Angel / VC</t>
  </si>
  <si>
    <t xml:space="preserve">No public rejections disclosed; operates primarily via localized technology angel investors and private business networks.</t>
  </si>
  <si>
    <t xml:space="preserve">VC / Government fund</t>
  </si>
  <si>
    <t xml:space="preserve">$3.12 Million – $5.11 Million</t>
  </si>
  <si>
    <t xml:space="preserve">Estimated $15M – $25M USD</t>
  </si>
  <si>
    <t xml:space="preserve">Parent/Internal</t>
  </si>
  <si>
    <t xml:space="preserve">Funded natively as a premium entertainment subsidiary of the Transcom Group conglomerate, eliminating the need to pitch outside VCs or face typical rejection.</t>
  </si>
  <si>
    <t xml:space="preserve">Corporate / VC</t>
  </si>
  <si>
    <t xml:space="preserve">$4.3 Million</t>
  </si>
  <si>
    <t xml:space="preserve">Tk. 300 Crore (BDT) (~$35+ Million USD at time of transaction)</t>
  </si>
  <si>
    <t xml:space="preserve">Bypassed standard venture capital pipeline rejections by securing direct, high-value strategic corporate acquisitions from global entities like SEEK International.</t>
  </si>
  <si>
    <t xml:space="preserve">Angel / Accelerator</t>
  </si>
  <si>
    <t xml:space="preserve">No public rejections disclosed; officially accepted into early-stage pipelines with backing from BYLC Ventures and Startup Bangladesh.</t>
  </si>
  <si>
    <t xml:space="preserve">No public rejections disclosed; successfully accepted and sustained by multiple rounds of local corporate venture capital and institutional state funds.</t>
  </si>
  <si>
    <t xml:space="preserve">Corporate / Government fund</t>
  </si>
  <si>
    <t xml:space="preserve">No public rejections disclosed; officially accepted as a B2B health-tech platform into international cohorts via Accelerating Asia.</t>
  </si>
  <si>
    <t xml:space="preserve">No public rejections disclosed; funded internally through its parent healthcare corporation and localized direct hospital alignments.</t>
  </si>
  <si>
    <t xml:space="preserve">Bangladesh Post Office (Directorate of Posts)</t>
  </si>
  <si>
    <t xml:space="preserve">Government / JV partner</t>
  </si>
  <si>
    <t xml:space="preserve">51% government ownership per 2020 ownership settlement; revenue-sharing joint venture model</t>
  </si>
  <si>
    <t xml:space="preserve">Third Wave Technologies Ltd (now Nagad Ltd)</t>
  </si>
  <si>
    <t xml:space="preserve">Corporate / private partner</t>
  </si>
  <si>
    <t xml:space="preserve">49% private ownership; operating partner and technology provider</t>
  </si>
  <si>
    <t xml:space="preserve">Dutch-Bangla Bank PLC (internal division)</t>
  </si>
  <si>
    <t xml:space="preserve">Bank-internal</t>
  </si>
  <si>
    <t xml:space="preserve">N/A — internal division, not externally financed</t>
  </si>
  <si>
    <t xml:space="preserve">United Commercial Bank PLC (UCB Fintech Co. Ltd, sole owner)</t>
  </si>
  <si>
    <t xml:space="preserve">Bank subsidiary</t>
  </si>
  <si>
    <t xml:space="preserve">N/A — 100% UCB-owned, no external investors</t>
  </si>
  <si>
    <t xml:space="preserve">Digital Finance Bangladesh Ltd (Sonia Bashir Kabir, Anjan Chowdhury, Uddipan Energy)</t>
  </si>
  <si>
    <t xml:space="preserve">Corporate / Angel</t>
  </si>
  <si>
    <t xml:space="preserve">5,000,000</t>
  </si>
  <si>
    <t xml:space="preserve">Backers cited ambition to serve unbanked women in remote areas via 100% locally-built software</t>
  </si>
  <si>
    <t xml:space="preserve">United Commercial Bank PLC (sole owner)</t>
  </si>
  <si>
    <t xml:space="preserve">N/A — bank product, no external investors</t>
  </si>
  <si>
    <t xml:space="preserve">Undisclosed seed investors</t>
  </si>
  <si>
    <t xml:space="preserve">Angel/Seed</t>
  </si>
  <si>
    <t xml:space="preserve">~100,000</t>
  </si>
  <si>
    <t xml:space="preserve">Simpaisa</t>
  </si>
  <si>
    <t xml:space="preserve">Corporate / Strategic acquirer</t>
  </si>
  <si>
    <t xml:space="preserve">1,000,000</t>
  </si>
  <si>
    <t xml:space="preserve">Acquired aamarPay to expand cross-border/digital payment capabilities in Bangladesh</t>
  </si>
  <si>
    <t xml:space="preserve">Alibaba Group (via Daraz Group acquisition, 2018)</t>
  </si>
  <si>
    <t xml:space="preserve">Undisclosed (reported ~$500M for the whole Daraz Group across 5 countries)</t>
  </si>
  <si>
    <t xml:space="preserve">Alibaba acquired Rocket Internet's Daraz Group, of which Daraz Bangladesh is the local unit</t>
  </si>
  <si>
    <t xml:space="preserve">Frontier Fund</t>
  </si>
  <si>
    <t xml:space="preserve">Series A into parent Zero Gravity Ventures</t>
  </si>
  <si>
    <t xml:space="preserve">Aavishkaar Frontier Fund</t>
  </si>
  <si>
    <t xml:space="preserve">VC (impact investor)</t>
  </si>
  <si>
    <t xml:space="preserve">4,150,000</t>
  </si>
  <si>
    <t xml:space="preserve">Third institutional investment into the company; cited potential to rewrite the B2B transaction model in Bangladesh</t>
  </si>
  <si>
    <t xml:space="preserve">Alibaba Group (via Daraz Group, full acquisition)</t>
  </si>
  <si>
    <t xml:space="preserve">HungryNaki was fully acquired by Alibaba-owned Daraz from its local owners; subsequently scaled down (2022) and moved toward shutdown (2023) amid competition from foodpanda and Pathao Food</t>
  </si>
  <si>
    <t xml:space="preserve">Delivery Hero SE (parent company)</t>
  </si>
  <si>
    <t xml:space="preserve">Corporate / Strategic parent</t>
  </si>
  <si>
    <t xml:space="preserve">Bangladesh unit of the global Delivery Hero-owned foodpanda group; market leader in local food delivery</t>
  </si>
  <si>
    <t xml:space="preserve">Emerging Markets Property Group (EMPG)</t>
  </si>
  <si>
    <t xml:space="preserve">Corporate / VC-backed group</t>
  </si>
  <si>
    <t xml:space="preserve">Original parent; Bproperty later merged into Digital Classifieds Group (Jan 2023), which itself entered external administration in 2025 before Rupayan Group made a capital investment in a May 2025 merger deal</t>
  </si>
  <si>
    <t xml:space="preserve">Digital Classifieds Group (DCG)</t>
  </si>
  <si>
    <t xml:space="preserve">DCG entered external administration in 2025, shortly before the Rupayan Group deal</t>
  </si>
  <si>
    <t xml:space="preserve">Rupayan Group</t>
  </si>
  <si>
    <t xml:space="preserve">Corporate / Strategic investor</t>
  </si>
  <si>
    <t xml:space="preserve">Undisclosed ('sizeable capital')</t>
  </si>
  <si>
    <t xml:space="preserve">Bangladesh's largest real estate conglomerate invested in a merger deal after DCG's financial distress</t>
  </si>
  <si>
    <t xml:space="preserve">Summary</t>
  </si>
  <si>
    <t xml:space="preserve">raised $1.1B in financing led by Tencent (with SoftBank) in Oct 2017 per Crunchbase News 11-Oct-2017 and Ola company press release | Source: Crunchbase News 11-Oct-2017 (Ola $1.1B round led by Tencent); Ola press release 11-Oct-2017 (olacabs.com); Economic Times 2017 profile (founders Bhavish Aggarwal &amp; Ankit Bhati, IIT Bombay, Bangalore, launched 2010); Wikipedia 'Ola Consumer' (founded 3 Dec 2010, HQ Bangalore)</t>
  </si>
  <si>
    <t xml:space="preserve">raised $1.25B Series J led by SoftBank Vision Fund 2 and Prosus in Jul 2021 per TechCrunch 20-Jul-2021 | Source: TechCrunch 20-Jul-2021 (Swiggy $1.25B Series J); Forbes India 30-Under-30 2017 (founders Sriharsha Majety, Nandan Reddy, Rahul Jaimini; founded Aug 2014; restaurant commissions; Bundl predecessor); TechCircle 2016 (founders, Aug 2014)</t>
  </si>
  <si>
    <t xml:space="preserve">raised $150M Series H (Accel, CapitalG) in Nov 2019 per TechStory; raised $1.03B in Nasdaq IPO Sep 2021 per Global Venturing | Source: TechStory/Moneycontrol 2021 (Freshworks $150M Series H Nov 2019, Accel/CapitalG; founded 2010 by Girish Mathrubootham &amp; Shan Krishnasamy as Freshdesk; Chennai); Global Venturing 2021 ($1.03B Nasdaq IPO Sep 2021)</t>
  </si>
  <si>
    <t xml:space="preserve">raised $160M Series E co-led by GIC and Sequoia India in Apr 2021 per TechCrunch 18-Apr-2021 | Source: TechCrunch 18-Apr-2021 (Razorpay $160M Series E; Y Combinator-backed; Bangalore-based); Moneycontrol 19-Apr-2021 (co-founders Harshil Mathur &amp; Shashank Kumar); Economic Times 2025 (founded 2014, first Indian fintech funded by YC)</t>
  </si>
  <si>
    <t xml:space="preserve">raised $215M Series D led by Falcon Edge Capital and Coatue in Apr 2021 per The HinduBusinessLine 06-Apr-2021 | Source: The HinduBusinessLine 06-Apr-2021 (CRED $215M Series D at $2.2B); HinduBusinessLine (founded 2018 by Kunal Shah; FreeCharge co-founder 2010, acquired by Snapdeal 2015)</t>
  </si>
  <si>
    <t xml:space="preserve">raised $570M Series F co-led by Fidelity and B Capital Group in Sep 2021 per TechCrunch 29-Sep-2021 | Source: TechCrunch 29-Sep-2021 (Meesho $570M Series F at $4.9B; Bangalore-headquartered; founded 2015 by Vidit Aatrey &amp; Sanjeev Barnwal; Y Combinator among earliest investors; three-sided marketplace)</t>
  </si>
  <si>
    <t xml:space="preserve">raised $350M Series E led by Prosus Ventures and TPG Growth in Apr 2021 per VCCircle/CIOL | Source: CIOL Apr-2021 / VCCircle (API Holdings $350M Series E, Prosus Ventures &amp; TPG Growth); YourStory Jun-2021 (Mumbai-headquartered; founders Dharmil Sheth, Dhaval Shah, Harsh Parekh, Hardik Dedhia, Siddharth Shah); Economic Times (closed $350M pre-IPO round Oct 2021)</t>
  </si>
  <si>
    <t xml:space="preserve">raised $500M from Abu Dhabi Investment Authority (ADIA) in Mar 2023 per EquityPandit/ETtech | Source: EquityPandit 16-Mar-2023 / ETtech (Lenskart $500M from ADIA, Mar 2023); Testbook/Gulf Business (founded 2010 by Peyush Bansal, Amit Chaudhary, Sumeet Kapahi); StartupTalky (Bansal's first startup SearchMycampus, 2007)</t>
  </si>
  <si>
    <t xml:space="preserve">raised ~$25M led by Steadview Capital in Mar 2020 at $1.2B valuation per Inc42/TechStory | Source: TechStory/Inc42 2021 (Nykaa ~$25M Steadview Capital Mar 2020 at $1.2B; founded 2012 by Falguni Nayar, Mumbai); YourStory Nov-2021 (IPO Nov 2021, first profitable Indian startup IPO); TechCircle 2014 (inventory-based model)</t>
  </si>
  <si>
    <t xml:space="preserve">raised $1.4B from SoftBank in May 2017 per Indian Express 18-May-2017 | Source: Indian Express 18-May-2017 / The HinduBusinessLine (SoftBank $1.4B May 2017; founded 2010 by Vijay Shekhar Sharma); Wikipedia 'Paytm' (HQ Noida, founded 2010, IPO Nov 2021)</t>
  </si>
  <si>
    <t xml:space="preserve">raised $100M Series B from Warburg Pincus in Jan 2021 per TechCrunch 05-Jan-2021 | Source: TechCrunch 05-Jan-2021 (boAt $100M Series B from Warburg Pincus; Delhi-based; profitable hardware startup); ElectronicsForYou (founded 2013 by Sameer Mehta &amp; Aman Gupta, launched 2016); M&amp;A Critique (follow-on funding Oct 2022)</t>
  </si>
  <si>
    <t xml:space="preserve">raised $277M (Fidelity-led) in May 2021 per TechCrunch 30-May-2021 | Source: TechCrunch 30-May-2021 (Delhivery $277M, Fidelity-led; Gurgaon-headquartered; freight exchange platform); Wikipedia 'Delhivery' (founded May 2011; HQ Gurgaon; founders Sahil Barua, Mohit Tandon, Bhavesh Manglani, Suraj Saharan, Kapil Bharati); Dealroom (founding team engineering background)</t>
  </si>
  <si>
    <t xml:space="preserve">raised $1B led by SoftBank Vision Fund in Sep 2018 per TechCrunch 25-Sep-2018 | Source: TechCrunch 25-Sep-2018 (OYO $1B, SoftBank Vision Fund-led; started May 2013 by Thiel Fellow Ritesh Agarwal); The HinduBusinessLine (founder Ritesh Agarwal, college dropout; first hotel Gurugram); Bloomberg via Economic Times (25% cut of bookings; HQ near New Delhi)</t>
  </si>
  <si>
    <t xml:space="preserve">raised $188M led by Prosus in Apr 2021 per YourStory/VCCircle | Source: YourStory Apr-2021 / VCCircle (Urban Company $188M, Prosus-led, Series F); VCCircle (founded 2014 by Abhiraj Singh Bhal, Varun Khaitan, Raghav Chandra; Gurugram; on-demand home services marketplace)</t>
  </si>
  <si>
    <t xml:space="preserve">raised $128M Series E led by NIIFL and Hero MotoCorp in May 2022 per The Hindu 12-May-2022 | Source: The Hindu/PTI 12-May-2022 (Ather $128M Series E, NIIFL &amp; Hero MotoCorp); YourStory 2018 / ThePrint 2021 (founded 2013 in Bengaluru by IIT Madras alumni Tarun Mehta &amp; Swapnil Jain)</t>
  </si>
  <si>
    <t xml:space="preserve">raised $251M Series E led by ICONIQ Growth in Oct 2021 per TechCrunch 24-Oct-2021 | Source: TechCrunch 24-Oct-2021 (Groww $251M Series E at $3B, ICONIQ Growth-led; Bangalore-based); The HinduBusinessLine (started 2016; founders Lalit Keshre, Harsh Jain, Neeraj Singh, Ishan Bansal); Business Standard (founders are former Flipkart employees)</t>
  </si>
  <si>
    <t xml:space="preserve">raised $150M Series F led by SoftBank Vision Fund 2 in Sep 2020 per TechCrunch 02-Sep-2020 | Source: TechCrunch 02-Sep-2020 (Unacademy $150M Series F at $1.45B, SoftBank Vision Fund 2-led; Bangalore-based; subscription service for live classes); TechCircle (founded 2015 by Gaurav Munjal, Roman Saini, Hemesh Singh)</t>
  </si>
  <si>
    <t xml:space="preserve">raised $100M Series E led by ABC World Asia in Sep 2021 per The HinduBusinessLine 30-Sep-2021 | Source: The HinduBusinessLine 30-Sep-2021 (Vedantu $100M Series E at $1B, ABC World Asia-led); Economic Times (founded 2011 by Vamsi Krishna, Anand Prakash, Saurabh Saxena, Pulkit Jain; Bengaluru); TechCrunch (via NextBillion 29-Sep-2021)</t>
  </si>
  <si>
    <t xml:space="preserve">raised $50M led by Sofina Ventures in Jul 2021 at $730M valuation per Moneycontrol 26-Jul-2021 | Source: Moneycontrol 26-Jul-2021 (Mamaearth $50M, Sofina Ventures-led, at $730M); YourStory Dec-2021 (founded 2016 by Varun &amp; Ghazal Alagh; Gurugram-based D2C brand); VCCircle (follow-on $52M Series F, Sequoia-led, Jan 2022)</t>
  </si>
  <si>
    <t xml:space="preserve">raised $120M from Zomato and Tiger Global in Jun 2021 (unicorn round) per ETtech; follow-on $100M via Zomato convertible notes Mar 2022 per ETtech | Source: ETtech via Economic Times (Blinkit $120M Jun 2021 from Zomato &amp; Tiger Global; $100M Zomato convertible notes Mar 2022); Times of India / LawStreet Jun-2022 (Zomato board approved acquisition, Rs 4,447 crore all-stock, 24-Jun-2022); Wikipedia 'Blinkit' (founded Dec 2013 as Grofers by Albinder Dhindsa &amp; Saurabh Kumar; HQ Gurgaon)</t>
  </si>
  <si>
    <t xml:space="preserve">raised $30M Series B led by Tiger Global in May 2021 per Indian Express/Business Standard 26-May-2021 | Source: Indian Express / Business Standard / TechCircle 26-May-2021 (Koo $30M Series B, Tiger Global-led); TechCircle (founders Aprameya Radhakrishna &amp; Mayank Bidawatka; Radhakrishna founded TaxiForSure); Financial Express (Reuters) 03-Jul-2024 (Koo discontinues service Jul 2024 after partnership talks fail); Wikipedia 'Koo' (HQ Bengaluru; dissolved 3-Jul-2024)</t>
  </si>
  <si>
    <t xml:space="preserve">raised $250M co-led by Tiger Global and Sequoia Capital in Feb 2022 per ETtech 08-Feb-2022 | Source: ETtech 08-Feb-2022 (Chargebee $250M, Tiger Global &amp; Sequoia co-led, at $3.5B; Chennai-and-San Francisco-based); Inc42 (founded 2011 by Krish Subramanian, Rajaraman Santhanam, Saravanan KP, Thiyagarajan T; Chennai); The HinduBusinessLine (subscription billing/revenue management platform; Krish CS engineering degree 2001, AVC College)</t>
  </si>
  <si>
    <t xml:space="preserve">ET reports ~$33M raised from Nexus Venture Partners and Matrix Partners across seed (Indian Angel Network, 2012), Series A, $20M Series B (Feb 2015) and $13.5M Series C (2016). | Source: The Economic Times, 24-Feb-2017: 'Stayzilla suspends operations, to reboot with new business model' (blog announcement by co-founder/CEO Yogendra Vasupal; bookings after 28-Feb-2017 cancelled/refunded); accessed 2026-10-19</t>
  </si>
  <si>
    <t xml:space="preserve">Raised ~$46-51M in four rounds from Sequoia India, SAIF Partners, Snapdeal, Ru-Net, Beenext, JAFCO Asia, InnoVen (TechCircle/Moneycontrol/ET). | Source: Moneycontrol, 25-Apr-2016: 'PepperTap shuts grocery delivery ops, 150 staffers laid off' (CEO Navneet Singh statement); ET year-ender '10 startups that shut down in 2016'; accessed 2026-10-19</t>
  </si>
  <si>
    <t xml:space="preserve">Astro Entertainment Networks (AENL) invested nearly $300M per Moneycontrol/AIM Group reports; management claimed ~Rs 300 crore in committed-but-unpaid funding. | Source: Financial Express, 20-Aug-2016: 'Askme shuts ops after non-payment of dues'; Moneycontrol, 22-Aug-2016: '4,000 lose jobs as AskMe shuts down'; accessed 2026-10-19</t>
  </si>
  <si>
    <t xml:space="preserve">ET reports $27.67M raised from Matrix Partners, Sequoia Capital, Nexus Venture Partners, Snapdeal founders; Moneycontrol ~Rs 100 crore in 2014. | Source: ET, Dec-2016: 'Foodtech resembled a startup graveyard in 2016' (shut operations May 2016; acquired by Roadrunnr June 2016, rebranded Runnr); GadgetsNow year-ender; accessed 2026-10-19</t>
  </si>
  <si>
    <t xml:space="preserve">$5.7M total from IvyCap Ventures, Orios Venture Partners, Mayfield India (TechCircle; $4.5M Series A announced Feb 2016). | Source: The Indian Express, 20-Jan-2017: 'Home services startup Taskbob shuts shop' (CEO Aseem Khare email: operations shut as of 19-Jan-2017); TechCircle 20-Jan-2017; accessed 2026-10-19</t>
  </si>
  <si>
    <t xml:space="preserve">$4M Series A from Lightspeed Venture Partners and Helion Venture Partners (2012); reports of $7-8M and a Series B from same investors (TechStory citing VCCEdge). | Source: TechStory, 28-May-2016: 'Lifestyle E-tailer Fashionara Backed by VC Shuts Shop' (website/app inaccessible); ET year-ender '10 startups that shut down in 2016' (closed business May 2016); accessed 2026-10-19</t>
  </si>
  <si>
    <t xml:space="preserve">£22M AIM IPO March 2014 (£36-44M market cap); £6.5M commitment from Future Lifestyle Fashions (2019) which failed to arrive. | Source: Reuters via Zawya, Dec-2019: 'Koovs sold by administrators as Indian FLF fails to invest'; Drapers, 11-Dec-2019: 'Indian etailer Koovs rescued from administration'; VCCircle founding history; accessed 2026-10-19</t>
  </si>
  <si>
    <t xml:space="preserve">$50M+ raised in multiple rounds/loans from Nandan Nilekani and Fung Investments (VCCircle/ET; last funds secured April 2020). | Source: The Hindu BusinessLine, Aug-2022: 'Nandan Nilekani-backed ShopX shuts shop' (insolvency application filed; company statement: 'took the hard decision to close the business'); VCCircle on IBC Section 10 filing; accessed 2026-10-19</t>
  </si>
  <si>
    <t xml:space="preserve">Angel-backed by Google India chief Rajan Anandan, TaxiForSure co-founder Aprameya Radhakrishna, ex-Freecharge CEO Alok Goel, CommonFloor co-founder Sumit Jain and others (TechCircle/GadgetsNow). | Source: TechCircle, 29-Dec-2015: 'Recap 2015: Ten startups that lost their way' (Dazo 'shut shop in early October'); ET year-ender Dec-2016 confirms shutdown Oct 2016; accessed 2026-10-19</t>
  </si>
  <si>
    <t xml:space="preserve">$2M seed funding from Seedfund in 2012 (MediaNama/Inc42). | Source: MediaNama, Jan-2015: 'Online private label DoneByNone goes offline' (site down; co-founders quit over failure to raise follow-on capital); TechCircle/VCCircle 'Recap 2015' (went inactive January 2015); accessed 2026-10-19</t>
  </si>
  <si>
    <t xml:space="preserve">$2.2M seed from Omnivore (Feb 2018) plus undisclosed pre-Series A from Tom Varkey (Stonehill Capital); Inc42 data shows $2.2M across 2 rounds. | Source: ET, 15-Oct-2019: 'Doodhwala comes via FreshToHome' (halted operations, redirected customers to FreshToHome); Inc42, 14-Oct-2019: 'Doodhwala Shuts Down, FreshToHome Supports Its Delivery Services'; accessed 2026-10-19</t>
  </si>
  <si>
    <t xml:space="preserve">$120K from Y Combinator (W17); seed from Venture Catalysts and Snapdeal founders; Rs 10 crore from Soma Capital, Great Oaks Ventures, 122 West and YC partners (Inc42/ET). | Source: Inc42/ RestaurantIndia (Jul-2019): Swiggy acquired Supr Daily in 2018 in cash-plus-stock deal; ET, Jan-2026: 'SuprDaily... was acquired by Swiggy in 2021 and then merged into its quick commerce unit, Instamart, in 2024'; accessed 2026-10-19</t>
  </si>
  <si>
    <t xml:space="preserve">$3M Series A raised March 2022 with participation from CK Ranganathan's Cavinkare (Inc42) | Source: https://inc42.com/features/plagued-by-funding-winter-bad-economics-here-are-15-indian-startups-that-shutdown-in-2023/</t>
  </si>
  <si>
    <t xml:space="preserve">Seed funding raised in 2020 from angel investor Tarun Bhalla (Inc42) | Source: https://inc42.com/BUZZ/COWORKING-SPACE-PROVIDER-FRIYEY-SHUTS-DOWN-DUE-TO-FUNDING-CRUNCH/</t>
  </si>
  <si>
    <t xml:space="preserve">$13.7M+ raised from Peak XV Partners, Beenext, Orios Venture Partners and angels incl. Kunal Shah, Amrish Rau (Inc42/Moneycontrol) | Source: https://www.business-standard.com/companies/news/peak-xv-backed-kenko-health-shuts-down-after-running-out-of-funds-124082300669_1.html</t>
  </si>
  <si>
    <t xml:space="preserve">$2M raised; incubated by Peak XV Surge (Inc42) | Source: https://m.dailyhunt.in/news/india/english/inc42-epaper-inc/plagued+by+funding+winter+bad-economics+here+are+15+indian+startups+that+shut+down+in+2023-newsid-n562016722</t>
  </si>
  <si>
    <t xml:space="preserve">$3M raised (April 2023 per Tracxn) from Peak XV Partners, Neon Fund, WeFounder Circle, Kunal Shah and others (Inc42/ET) | Source: https://www.etnownews.com/technology/nintee-peak-xv-partners-backed-ai-startup-closes-operations-will-investors-get-their-money-back-article-109752767</t>
  </si>
  <si>
    <t xml:space="preserve">raised $70M Series B Mar-2022 led by Dragoneer Investment Group and Tiger Global; earlier $1.3M pre-seed (2020), $6.5M seed and $30M Series A Aug-2021; all-time raise $107.8M per TechCrunch 14-Mar-2022 | Source: TechCrunch 14-Mar-2022; Business Recorder 15-Mar-2022; Aaj TV 15-Mar-2022; YesPress profile; accessed 2026-10-19</t>
  </si>
  <si>
    <t xml:space="preserve">raised $37M Series A Jun-2022 led by VEON Ventures ($15M); earlier $3.5M seed Jun-2021 led by SOSV plus $0.5M angel round Jul-2020; per Business Recorder 14-Jun-2022 and CW Pakistan | Source: Business Recorder 14-Jun-2022 (via Bloomberg); CW Pakistan (seed round); accessed 2026-10-19</t>
  </si>
  <si>
    <t xml:space="preserve">raised $22.5M Series A Mar-2022 led by Sary (MENA B2B marketplace) with Sarmayacar and Systems Limited; per Profit (Pakistan Today) 24-Mar-2022 and The News 25-Mar-2022 | Source: Profit by Pakistan Today 24-Mar-2022; The News 25-Mar-2022; Business Recorder (2023 scale-back article); accessed 2026-10-19</t>
  </si>
  <si>
    <t xml:space="preserve">raised $85M Series B 2021 at $275M valuation, Pakistan's largest private funding round; total raised over $110M; per TechCrunch and Bloomberg | Source: TechCrunch (Remembering the startups we lost in 2022); Bloomberg via Business Standard 12-Sep-2022; Reuters via 94.1 Duke 13-Jul-2022; accessed 2026-10-19</t>
  </si>
  <si>
    <t xml:space="preserve">raised $5.7M Series A Apr-2019 (Sarmayacar; company announcement); $13M Series B Oct-2020 led by Prosus Ventures (NewsnReleases); $10M from existing backers Jun-2022 (Bloomberg via Arab News); total $35.7M per Tracxn | Source: Company announcement Apr-2019 (bykea.com); NewsnReleases Oct-2020 (Series B); Bloomberg via Arab News/Mettis Jun-2022 ($10M); Arab News interview (founded Dec-2016 by Maayr); accessed 2026-10-19</t>
  </si>
  <si>
    <t xml:space="preserve">closed $9M of $10M Series A1 2020 led by ICU Ventures (existing: BeeNext, Vostok Emerging Finance, Quona, Gray MacKenzie) — $15M total equity then, per MENAbytes; later top-ups incl. HBL Rs.176M (~$1.15M); CB Insights total raised $24.5M | Source: MENAbytes via finja.pk press (Series A1 2020); finja.pk pressDetail/21 (HBL Rs.176M); CB Insights company profile; accessed 2026-10-19</t>
  </si>
  <si>
    <t xml:space="preserve">raised $7.2M seed Mar-2021 led by Recharge Capital (company announcement) and $10.7M seed extension Apr-2022; total $17.9M per CB Insights; reported by MAGNiTT | Source: Company seed announcement (sadapay.pk); MAGNiTT ($10.7M seed extension, Apr-2022); CB Insights company profile (latest round 'Acquired', total $17.9M); accessed 2026-10-19</t>
  </si>
  <si>
    <t xml:space="preserve">raised $13M seed Mar-2022 led by Zayn Capital, MSA Novo and Graph Ventures with Saison Capital and Lakson Group sponsors; per company announcement, Nasdaq and Cooley | Source: Company announcement (nayapay.com); Nasdaq press release Mar-2022; Cooley 07-Mar-2022; NetMag Pakistan; accessed 2026-10-19</t>
  </si>
  <si>
    <t xml:space="preserve">raised $1.5M seed 2021 led by MSA Capital (TechCrunch); raised $7.3M pre-Series A Aug-2024 led by Conjunction Capital; per Wamda and Fintech Global | Source: Wamda 2024 (pre-Series A); Fintech Global 21-Aug-2024; TechCrunch 2021 (seed, via TechStreamToday summary); FreeLibrary; accessed 2026-10-19</t>
  </si>
  <si>
    <t xml:space="preserve">raised $1.8M seed 2020; raised $17M Series A Jun-2021 led by Kleiner Perkins with Y Combinator Continuity Fund et al.; per MENAbytes (via Pakistan Defence 02-Jun-2021) and MAGNiTT | Source: Pakistan Defence (MENAbytes) 02-Jun-2021; MAGNiTT Series A announcement; accessed 2026-10-19</t>
  </si>
  <si>
    <t xml:space="preserve">raised $2M seed led by VEF (Village Global, Sarmayacar, i2i Ventures); raised $17M Series A Apr-2022 led by Speedinvest (company announcement 19-Apr-2022); later issued PKR 2bn (~$6.8M) Sukuk bond | Source: Company Series A announcement (abhi.com.pk, 19-Apr-2022); Everything.pk (seed $2M); Halal Times (Sukuk issuance); accessed 2026-10-19</t>
  </si>
  <si>
    <t xml:space="preserve">raised $2.5M seed Sep-2022 led by SparkLabs Fintech with Arif Habib, Cordoba Logistics &amp; Ventures et al.; per TechCrunch 13-Sep-2022 and Dawn 14-Sep-2022 | Source: TechCrunch 13-Sep-2022; Dawn 14-Sep-2022; CEO Insights Asia 13-Sep-2022; accessed 2026-10-19</t>
  </si>
  <si>
    <t xml:space="preserve">raised $3M seed Sep-2021 co-led by Zayn Capital and Wavemaker Partners (largest seed by a women-led Pakistani startup then); earlier $185K angel (2019) and $300K seed/pre-Series A; per Arab News 27-Sep-2021, Express Tribune Nov-2021, MAGNiTT | Source: Arab News 27-Sep-2021; The Express Tribune 01-Nov-2021; MAGNiTT Q3'21 rounds roundup; accessed 2026-10-19</t>
  </si>
  <si>
    <t xml:space="preserve">raised $15M across seed and pre-seed rounds (mix of equity and debt) Sep-2021 led by MSA Capital with Global Founders Capital, Fox Ventures; per TechJuice and FreeLibrary | Source: TechJuice (raise announcement); FreeLibrary (raise details); Dawn 2024 ('Rise of buy now, pay later'); CB Insights profile; accessed 2026-10-19</t>
  </si>
  <si>
    <t xml:space="preserve">raised $4.5M pre-seed 2021; raised $13M seed Feb-2022 led by Global Founders Capital and Fatima Gobi Ventures; total $17.5M; per Dawn 05-Feb-2022 and Nasdaq | Source: Dawn 05-Feb-2022; Nasdaq press release 04-Feb-2022; Global Village Space (founded Aug-2020); accessed 2026-10-19</t>
  </si>
  <si>
    <t xml:space="preserve">raised $2.6M seed Sep-2020; raised $11.5M pre-Series A May-2022 led by Integra Partners with Nunc Gestion, Sturgeon Capital, Alta Semper; total over $14M; per Express Tribune 12-May-2022 | Source: Express Tribune 12-May-2022 (pre-Series A); Business Recorder Jul-2023 (shutdown confirmed by co-founders); Bloomberg via Business Times 12-May-2022; accessed 2026-10-19</t>
  </si>
  <si>
    <t xml:space="preserve">raised $8.5M round (equity+debt incl. secondaries) led by 500 Startups in 2021; total financing $10.5M with Sarmayacar and family offices; per MENAbytes via SAMENA Daily and KrASIA | Source: SAMENA Daily (MENAbytes) 2021; KrASIA (Nov-2021); CW Pakistan; accessed 2026-10-19</t>
  </si>
  <si>
    <t xml:space="preserve">raised $2.1M pre-seed late-2021 led by Indus Valley Capital (TechCrunch; Dawn 19-Sep-2021); raised $2.8M seed Mar-2023 led by Speedinvest; total $4.9M; per ByMENA and AIN (via Bloomberg) | Source: TechCrunch (pre-seed 2021, via Wedbush/Investor repost); Dawn 19-Sep-2021; ByMENA (seed Mar-2023); AIN 16-Mar-2023; accessed 2026-10-19</t>
  </si>
  <si>
    <t xml:space="preserve">raised $5.5M pre-seed 2021 led by Quiet Capital, Liberty City Ventures, Fatima Gobi Ventures (Bloomberg via Arab News 04-Jun-2021); raised $12M+ seed Sep-2021 led by Liberty City at $100M valuation; total $17.5M+ per Crowdfund Insider | Source: Bloomberg via Arab News 04-Jun-2021 (pre-seed); Crowdfund Insider 17-Sep-2021 (seed $12M+); NewMediaWire 05-Jan-2023 (license obstacles); accessed 2026-10-19</t>
  </si>
  <si>
    <t xml:space="preserve">CB Insights: estimated $30-40M total funding; Vuink (Sep 2024, interviewing founder Ahmad Khan): raised around $30M in several rounds; TelecomPK/TechJuice: $7.8M Series A (2019); Arbisoft made a strategic investment (TechJuice). | Source: Profit (Pakistan Today) 18-Jan-2024 'Cheetay mulling shut down' — high-ranking company sources confirmed plans for permanent closure after laying off half its staff; PitchBook company profile lists status 'Out of Business'; CB Insights: operations effectively wound down early 2024. Accessed 2026-10-19.</t>
  </si>
  <si>
    <t xml:space="preserve">Tracxn: $215K total funding, investors Element Ventures and PlanX; PakWired/TechJuice: venture-funded mainly by CresVentures founder Humayun Mazhar. | Source: TechJuice 2017 'Travly shuts down' — venture-funded rickshaw-hailing service shut down, cofounders took full-time jobs; investor Humayun Mazhar (CresVentures) confirmed shutdown, citing execution failures and tech-stack acquisition problems; PakWired 2017 collapse report. Accessed 2026-10-19.</t>
  </si>
  <si>
    <t xml:space="preserve">Wikipedia: $200,000 seed funding from Sarmayacar on 30-Dec-2016 (citing Techlist). | Source: Wikipedia 'Patari (service)' (updated Sep 2026): founded Feb 2015, HQ Lahore, $200K Sarmayacar seed 30-Dec-2016, Current status 'Closed'. Earlier snapshot (2025) listed status 'Active'. No dated shutdown announcement found. Accessed 2026-10-19.</t>
  </si>
  <si>
    <t xml:space="preserve">TechJuice 9-Nov-2021: $3.3M seed round co-led by Zayn Capital and Global Founders Capital (Pakistan's first cashback app). | Source: Profit (Pakistan Today) 28-Feb-2025: co-founder confirmed closure; decision taken ~12 months earlier, wind-down completed; TechJuice 27-Feb-2025: operations to cease 20-Mar-2025 (app/website inaccessible after). Launched Aug 2020; Rs400M cashback paid to ~4M users. Accessed 2026-10-19.</t>
  </si>
  <si>
    <t xml:space="preserve">The Express Tribune 14-Jun-2018: half a million dollars in seed funding (raised 2013 from Pakistani angel investors per Dawn Aurora); solo founder could not raise Series A. | Source: The Express Tribune 14-Jun-2018 'After initial success, Popinjay fails to achieve economies of scale': $500K seed, lasted four years, founder Saba Gul stepping away, unable to achieve economies of scale; Dawn Aurora profile: capital raised in 2013 after accelerators. Accessed 2026-10-19.</t>
  </si>
  <si>
    <t xml:space="preserve">$150,000 via Y Combinator S20; investment from Kinnow Capital (2021); YC's first Pakistani consumer-internet startup | Source: https://startups.rip/company/byte</t>
  </si>
  <si>
    <t xml:space="preserve">$89M total raised in two rounds incl. $89M global investment by OLX Group/Frontier Car Group (Dawn; Crunchbase via Dawn) | Source: https://www.dawn.com/news/print/1705824</t>
  </si>
  <si>
    <t xml:space="preserve">country</t>
  </si>
  <si>
    <t xml:space="preserve">gdp_growth_pct</t>
  </si>
  <si>
    <t xml:space="preserve">inflation_cpi_pct</t>
  </si>
  <si>
    <t xml:space="preserve">gdp_source_note</t>
  </si>
  <si>
    <t xml:space="preserve">inflation_source_note</t>
  </si>
  <si>
    <t xml:space="preserve">IMF WEO / World Bank WDI (Bangladesh, fiscal-year basis)</t>
  </si>
  <si>
    <t xml:space="preserve">World Bank WDI CPI (FP.CPI.TOTL.ZG) via FRED / indexmundi</t>
  </si>
  <si>
    <t xml:space="preserve">rounded; nomad.watch (IMF-based)</t>
  </si>
  <si>
    <t xml:space="preserve">World Bank / source workbook</t>
  </si>
  <si>
    <t xml:space="preserve">as recorded in source workbook / nomad.watch</t>
  </si>
  <si>
    <t xml:space="preserve">FY2024-25 (3.49) as recorded in source workbook</t>
  </si>
  <si>
    <t xml:space="preserve">World Bank CPI via statisticsoftheworld.com</t>
  </si>
  <si>
    <t xml:space="preserve">no outturn yet (forecasts only) - left blank on purpose</t>
  </si>
  <si>
    <t xml:space="preserve">Jul 2026 monthly YoY from source workbook; partial year, not annual average</t>
  </si>
  <si>
    <t xml:space="preserve">Notes:</t>
  </si>
  <si>
    <t xml:space="preserve">Values are Bangladesh country-level annual figures, looked up by founding year and (where known) follow-on funding year in Model_Ready_Startups.</t>
  </si>
  <si>
    <t xml:space="preserve">GDP growth for 2026 is blank on purpose (no outturn yet). Inflation for 2026 is a July-2026 monthly YoY figure, not an annual average.</t>
  </si>
  <si>
    <t xml:space="preserve">Bangladesh macro series are labelled by fiscal year ending 30 June. Rounded values (2010, 2015, 2019) come from a secondary aggregator and are +/-0.5pp uncertain.</t>
  </si>
  <si>
    <t xml:space="preserve">The source workbook repeated one value (4.22 / 9.7 etc.) for whole blocks of startups; that carried no information and was replaced by these year-matched values.</t>
  </si>
  <si>
    <t xml:space="preserve">World Bank WDI NY.GDP.MKTP.KD.ZG, retrieved 2026-10-19</t>
  </si>
  <si>
    <t xml:space="preserve">World Bank WDI FP.CPI.TOTL.ZG, retrieved 2026-10-19</t>
  </si>
  <si>
    <t xml:space="preserve">sheet</t>
  </si>
  <si>
    <t xml:space="preserve">column</t>
  </si>
  <si>
    <t xml:space="preserve">column_type</t>
  </si>
  <si>
    <t xml:space="preserve">description</t>
  </si>
  <si>
    <t xml:space="preserve">pct_filled</t>
  </si>
  <si>
    <t xml:space="preserve">Model_Ready_Startups</t>
  </si>
  <si>
    <t xml:space="preserve">Key</t>
  </si>
  <si>
    <t xml:space="preserve">Unique key BD-ST-001..100</t>
  </si>
  <si>
    <t xml:space="preserve">Cleaned source value</t>
  </si>
  <si>
    <t xml:space="preserve">Cleaned name (stray brackets/prefixes removed)</t>
  </si>
  <si>
    <t xml:space="preserve">Country of headquarters (Singapore for Hishab, Ekkbaz)</t>
  </si>
  <si>
    <t xml:space="preserve">HQ city</t>
  </si>
  <si>
    <t xml:space="preserve">Derived/standardised (Python)</t>
  </si>
  <si>
    <t xml:space="preserve">1 if HQ outside Bangladesh</t>
  </si>
  <si>
    <t xml:space="preserve">Independent startup / Corporate division-subsidiary / Established corporation / Venture studio. Use to stratify or exclude non-startups</t>
  </si>
  <si>
    <t xml:space="preserve">Linked record (e.g. Ucash-&gt;Upay, HungryNaki-&gt;Daraz)</t>
  </si>
  <si>
    <t xml:space="preserve">BD-ST-095 and BD-ST-096 both describe the Sheba platform - confirm and drop one</t>
  </si>
  <si>
    <t xml:space="preserve">Integer year (replaces mixed int/text/date cells that parsed as 1970)</t>
  </si>
  <si>
    <t xml:space="preserve">Month if the source gave one; blank = year only (Jan assumed in formulas)</t>
  </si>
  <si>
    <t xml:space="preserve">month / year / unknown</t>
  </si>
  <si>
    <t xml:space="preserve">Reference date for age and censoring (2026-09-30; source used 2026-01-01 and mixed text dates)</t>
  </si>
  <si>
    <t xml:space="preserve">Excel formula</t>
  </si>
  <si>
    <t xml:space="preserve">FORMULA: months from founding to baseline_date</t>
  </si>
  <si>
    <t xml:space="preserve">FORMULA: months_since_inception / 12</t>
  </si>
  <si>
    <t xml:space="preserve">Original sector text</t>
  </si>
  <si>
    <t xml:space="preserve">Harmonised sector (9 groups)</t>
  </si>
  <si>
    <t xml:space="preserve">Original business-model text</t>
  </si>
  <si>
    <t xml:space="preserve">1 if text mentions B2B</t>
  </si>
  <si>
    <t xml:space="preserve">1 if B2C/D2C</t>
  </si>
  <si>
    <t xml:space="preserve">1 if marketplace/OTA/aggregator</t>
  </si>
  <si>
    <t xml:space="preserve">1 if SaaS/subscription/SVOD/AVOD</t>
  </si>
  <si>
    <t xml:space="preserve">1 if hardware/IoT</t>
  </si>
  <si>
    <t xml:space="preserve">1 if commission/transaction/margin/fee revenue</t>
  </si>
  <si>
    <t xml:space="preserve">Original text (in source this column mixed MVP stage with survival status)</t>
  </si>
  <si>
    <t xml:space="preserve">1=pilot/early, 2=validated, 3=live/production/scaled; blank=unclear</t>
  </si>
  <si>
    <t xml:space="preserve">1 if any working product evidenced; blank=unclear</t>
  </si>
  <si>
    <t xml:space="preserve">1/0 harmonised from Yes/Y/Accepted/No text across Master + Outcomes. Awards, grants and VC funds alone are NOT counted. Blank = no information</t>
  </si>
  <si>
    <t xml:space="preserve">Program names as given</t>
  </si>
  <si>
    <t xml:space="preserve">1 if any grant evidenced (Master or Investment_Decisions), 0 if explicit zero; blank = unknown</t>
  </si>
  <si>
    <t xml:space="preserve">USD amount where disclosed (parsed from 9k+, $1.12 Million+ etc.; EUR converted at 1.08)</t>
  </si>
  <si>
    <t xml:space="preserve">Where the grant info came from</t>
  </si>
  <si>
    <t xml:space="preserve">FORMULA: sum of founders_in_row in Founders_Clean (multi-name rows split)</t>
  </si>
  <si>
    <t xml:space="preserve">FORMULA from Founders_Clean</t>
  </si>
  <si>
    <t xml:space="preserve">FORMULA: female / (male+female) among known-gender founders</t>
  </si>
  <si>
    <t xml:space="preserve">FORMULA: 1 if &gt;=1 female founder</t>
  </si>
  <si>
    <t xml:space="preserve">FORMULA: Blau index 1-(p^2+q^2), range 0-0.5</t>
  </si>
  <si>
    <t xml:space="preserve">Team-level female % estimate parsed from the old text index (rows 041-060 only)</t>
  </si>
  <si>
    <t xml:space="preserve">Highest founder education: 0 below bachelor, 1 bachelor, 2 master/MBA/professional (incl. MBBS/JD), 3 PhD</t>
  </si>
  <si>
    <t xml:space="preserve">Label of edu_max_level</t>
  </si>
  <si>
    <t xml:space="preserve">1 if any founder has STEM background</t>
  </si>
  <si>
    <t xml:space="preserve">Share of founders with STEM (known only)</t>
  </si>
  <si>
    <t xml:space="preserve">1 if any founder has prior startup experience</t>
  </si>
  <si>
    <t xml:space="preserve">Max founder industry experience (years; "15+" -&gt; 15)</t>
  </si>
  <si>
    <t xml:space="preserve">Mean founder industry experience</t>
  </si>
  <si>
    <t xml:space="preserve">Midpoint of reported employee count/range (Founders_Team; LinkedIn fallback)</t>
  </si>
  <si>
    <t xml:space="preserve">1-10 / 11-50 / 51-200 / 201-500 / 501+</t>
  </si>
  <si>
    <t xml:space="preserve">Founders_Team or LinkedIn</t>
  </si>
  <si>
    <t xml:space="preserve">Caveat where headcount is not comparable</t>
  </si>
  <si>
    <t xml:space="preserve">Active / Acquired / Closed / Unknown (harmonised from many text variants)</t>
  </si>
  <si>
    <t xml:space="preserve">High / Medium (inferred from master text) / Low (unclear, dormant, legal issues)</t>
  </si>
  <si>
    <t xml:space="preserve">Context for status</t>
  </si>
  <si>
    <t xml:space="preserve">1 if acquired (may still operate); 0 if not; blank for Unknown. NOTE: MedEasy (057) is an acquirer, coded 0</t>
  </si>
  <si>
    <t xml:space="preserve">1 if the startup itself acquired another company</t>
  </si>
  <si>
    <t xml:space="preserve">SURVIVAL EVENT: 1=closed/shut down, 0=active or acquired (censored), blank=unknown</t>
  </si>
  <si>
    <t xml:space="preserve">Year of closure</t>
  </si>
  <si>
    <t xml:space="preserve">Month if known (031: Jul 2023; 098: mid-2024 -&gt; 6)</t>
  </si>
  <si>
    <t xml:space="preserve">FORMULA: time at risk. Closed: founding-&gt;closure (month 7 assumed if unknown). Others: months_since_inception</t>
  </si>
  <si>
    <t xml:space="preserve">1/0 harmonised from Yes/Y/No/N</t>
  </si>
  <si>
    <t xml:space="preserve">USD amount parsed from free text (see funding_amount_basis); 0 if explicitly none</t>
  </si>
  <si>
    <t xml:space="preserve">round / cumulative / none / unknown</t>
  </si>
  <si>
    <t xml:space="preserve">Latest year mentioned in funding date text</t>
  </si>
  <si>
    <t xml:space="preserve">SCREENING PROXY LABEL: 1 = received external funding/support, 0 = explicitly bootstrapped/internal/no funding, blank = unknown. NOT a true accept/reject label</t>
  </si>
  <si>
    <t xml:space="preserve">FORMULA: accepted investor rows in Investments_Clean</t>
  </si>
  <si>
    <t xml:space="preserve">FORMULA: 1 if a VC/PE investor row exists (blank if no investor rows)</t>
  </si>
  <si>
    <t xml:space="preserve">FORMULA</t>
  </si>
  <si>
    <t xml:space="preserve">FORMULA: grant/philanthropic or DFI/impact funder</t>
  </si>
  <si>
    <t xml:space="preserve">Star rating converted to 1-5 (only 6 records exist)</t>
  </si>
  <si>
    <t xml:space="preserve">Midpoint of reported % growth (month-on-month figures excluded)</t>
  </si>
  <si>
    <t xml:space="preserve">Midpoint of reported % growth</t>
  </si>
  <si>
    <t xml:space="preserve">Midpoint monthly web visits</t>
  </si>
  <si>
    <t xml:space="preserve">Midpoint news mention count</t>
  </si>
  <si>
    <t xml:space="preserve">Social media growth % midpoint</t>
  </si>
  <si>
    <t xml:space="preserve">Lower-bound downloads/users parsed from text</t>
  </si>
  <si>
    <t xml:space="preserve">App rating 1-5</t>
  </si>
  <si>
    <t xml:space="preserve">How many of web/news/app/social were available</t>
  </si>
  <si>
    <t xml:space="preserve">COMPUTED 0-100: mean percentile rank of available web, news, app, social indicators; needs &gt;=2 components. Blank otherwise</t>
  </si>
  <si>
    <t xml:space="preserve">FORMULA lookup in Macro_Lookup by founding_year</t>
  </si>
  <si>
    <t xml:space="preserve">FORMULA lookup</t>
  </si>
  <si>
    <t xml:space="preserve">FORMULA lookup by follow_on_year</t>
  </si>
  <si>
    <t xml:space="preserve">Count of 10 key modelling fields missing (+1 if status unknown)</t>
  </si>
  <si>
    <t xml:space="preserve">ML_Matrix_Imputed</t>
  </si>
  <si>
    <t xml:space="preserve">(all columns)</t>
  </si>
  <si>
    <t xml:space="preserve">Derived</t>
  </si>
  <si>
    <t xml:space="preserve">Modelling matrix. Targets (event_closed, duration_months, any_external_funding, follow_on_funding_received, acquired_flag) are NOT imputed. Numeric features are median-imputed with a &lt;name&gt;_missing indicator; binary features are filled 0 with an indicator; sector is one-hot; team size and prior grants are log-transformed. include_survival_model / include_screening_model mark rows with usable targets.</t>
  </si>
  <si>
    <t xml:space="preserve">Founders_Clean</t>
  </si>
  <si>
    <t xml:space="preserve">Cleaned/derived</t>
  </si>
  <si>
    <t xml:space="preserve">Number of founders named in the row (names split on comma/and/&amp;; 0 for "Unconfirmed")</t>
  </si>
  <si>
    <t xml:space="preserve">Male founders in row</t>
  </si>
  <si>
    <t xml:space="preserve">Female founders in row</t>
  </si>
  <si>
    <t xml:space="preserve">Male/Female/Mixed/Unknown</t>
  </si>
  <si>
    <t xml:space="preserve">0-3 code (see edu_max_level)</t>
  </si>
  <si>
    <t xml:space="preserve">1 if source had "+"</t>
  </si>
  <si>
    <t xml:space="preserve">Midpoint of reported team size</t>
  </si>
  <si>
    <t xml:space="preserve">Investments_Clean</t>
  </si>
  <si>
    <t xml:space="preserve">VC/PE, Angel, Accelerator, Corporate, Government, Grant/Philanthropic, DFI/Impact, Parent/Internal, Unknown, None</t>
  </si>
  <si>
    <t xml:space="preserve">Detailed = named investor or amount; Type-only = placeholder with investor type only</t>
  </si>
  <si>
    <t xml:space="preserve">Accepted / Pending / Unknown / None recorded. There is NO Rejected value - none exists in the data</t>
  </si>
  <si>
    <t xml:space="preserve">1 if "Accepted" was inferred because a named investor/amount exists but the decision cell was blank</t>
  </si>
  <si>
    <t xml:space="preserve">1 if Accepted</t>
  </si>
  <si>
    <t xml:space="preserve">always blank - no rejections recorded</t>
  </si>
  <si>
    <t xml:space="preserve">1 if the amount is a share of a larger round (see round_total_usd); do not sum</t>
  </si>
  <si>
    <t xml:space="preserve">Size of the whole round when stated</t>
  </si>
  <si>
    <t xml:space="preserve">Stars converted to number</t>
  </si>
  <si>
    <t xml:space="preserve">1 if the reason text says the startup was rejected by other investors (BD-ST-082 only)</t>
  </si>
  <si>
    <t xml:space="preserve">Text</t>
  </si>
  <si>
    <t xml:space="preserve">Source(s) verifying the row's key facts (funding, closure). 'Original 100' for BD rows.</t>
  </si>
  <si>
    <t xml:space="preserve">Date</t>
  </si>
  <si>
    <t xml:space="preserve">Date the row's data was collected/verified.</t>
  </si>
  <si>
    <t xml:space="preserve">Macro_Lookup</t>
  </si>
  <si>
    <t xml:space="preserve">Country for the macro row: Bangladesh, India, or Pakistan.</t>
  </si>
  <si>
    <t xml:space="preserve">LEGEND: fill one row per startup-investor application. Include REJECTED and never-funded cases. Keep column names; the first data row below is an EXAMPLE ROW with made-up values - delete it.</t>
  </si>
  <si>
    <t xml:space="preserve">decision (Accepted/Rejected/No response)</t>
  </si>
  <si>
    <t xml:space="preserve">reason</t>
  </si>
  <si>
    <t xml:space="preserve">item</t>
  </si>
  <si>
    <t xml:space="preserve">detail</t>
  </si>
  <si>
    <t xml:space="preserve">Source file</t>
  </si>
  <si>
    <t xml:space="preserve">Startup_Data_Combined_BD-ST-001_to_100.xlsx</t>
  </si>
  <si>
    <t xml:space="preserve">Source MD5</t>
  </si>
  <si>
    <t xml:space="preserve">66191afcdd3bbce44eb0663fea1a5821</t>
  </si>
  <si>
    <t xml:space="preserve">Source sheets</t>
  </si>
  <si>
    <t xml:space="preserve">Instructions, Startups_Master (100), Founders_Team (159), Outcomes_Followup (100), Public_Macro_Data (100), Investment_Decisions (149)</t>
  </si>
  <si>
    <t xml:space="preserve">Processed on</t>
  </si>
  <si>
    <t xml:space="preserve">This file</t>
  </si>
  <si>
    <t xml:space="preserve">Startup_Data_MODEL_READY_BD-ST-001_to_100.xlsx (version 1)</t>
  </si>
  <si>
    <t xml:space="preserve">Loose files mentioned</t>
  </si>
  <si>
    <t xml:space="preserve">"Copy of ... Person_5", "Person_2 (3)" - not provided; cannot confirm which are final. Please send/identify them to reconcile.</t>
  </si>
  <si>
    <t xml:space="preserve">Row counts after cleaning</t>
  </si>
  <si>
    <t xml:space="preserve">Startups 100; Founders_Clean 158 (1 duplicate removed); Investments_Clean 149</t>
  </si>
  <si>
    <t xml:space="preserve">v2 processed on</t>
  </si>
  <si>
    <t xml:space="preserve">v2 changes</t>
  </si>
  <si>
    <t xml:space="preserve">Expanded to India+Pakistan: +85 rows (IN-ST-001.., PK-ST-001..); dropped BD-ST-095 as duplicate of BD-ST-096 (Sheba platform); added columns source_citation, date_collected; Macro_Lookup extended with India/Pakistan (World Bank WDI, retrieved 2026-10-19); added sheets Data_Notes, Sampling_Frame, Study_Design; Add_Rejected_Template fake example row removed.</t>
  </si>
  <si>
    <t xml:space="preserve">v2 row counts</t>
  </si>
  <si>
    <t xml:space="preserve">Model_Ready_Startups 184 (99 BD + 46 IN + 39 PK); Founders_Clean 326; Investments_Clean 214</t>
  </si>
  <si>
    <t xml:space="preserve">v2 source MD5 (v1 file)</t>
  </si>
  <si>
    <t xml:space="preserve">3ffcaa9655e916a8c54e55f9d6d9ba0b</t>
  </si>
  <si>
    <t xml:space="preserve">v3 processed on</t>
  </si>
  <si>
    <t xml:space="preserve">v3 changes</t>
  </si>
  <si>
    <t xml:space="preserve">Added 41 in-frame unfunded startups (independent, founded 2010-2023) sampled in listed order from directory frames: Bangladesh +14, India +15, Pakistan +12 (IDs BD-ST-301.., IN-ST-301.., PK-ST-301..). BD-ST-309 dropped as duplicate of BD-ST-308. Full Founders_Clean rows added for v3 founders; Data_Dictionary fill rates recomputed; Sampling_Frame, Data_Notes (DN-005..DN-008) and Study_Design (D6) updated. ML_Matrix_Imputed left unchanged (reference only, leaks).</t>
  </si>
  <si>
    <t xml:space="preserve">v3 row counts</t>
  </si>
  <si>
    <t xml:space="preserve">Model_Ready_Startups 225 (was 184); Founders_Clean 382; Investments_Clean unchanged (no new funded rows)</t>
  </si>
  <si>
    <t xml:space="preserve">v3 source MD5 (v2 file)</t>
  </si>
  <si>
    <t xml:space="preserve">8f615028d88b91accdbc14130751b33f</t>
  </si>
  <si>
    <t xml:space="preserve">note_id</t>
  </si>
  <si>
    <t xml:space="preserve">date</t>
  </si>
  <si>
    <t xml:space="preserve">field</t>
  </si>
  <si>
    <t xml:space="preserve">old_value</t>
  </si>
  <si>
    <t xml:space="preserve">new_value</t>
  </si>
  <si>
    <t xml:space="preserve">source</t>
  </si>
  <si>
    <t xml:space="preserve">recorded_by</t>
  </si>
  <si>
    <t xml:space="preserve">DN-001</t>
  </si>
  <si>
    <t xml:space="preserve">row</t>
  </si>
  <si>
    <t xml:space="preserve">BD-ST-095 'Digital (Sheba Platform)' present (62/85 fields)</t>
  </si>
  <si>
    <t xml:space="preserve">Row removed; BD-ST-096 'Sheba.xyz (Sheba Platform)' kept (61/85 fields)</t>
  </si>
  <si>
    <t xml:space="preserve">Execution guide section 6.1; both rows describe the Sheba platform (possible_duplicate_of flag)</t>
  </si>
  <si>
    <t xml:space="preserve">Muse (compilation)</t>
  </si>
  <si>
    <t xml:space="preserve">DN-002</t>
  </si>
  <si>
    <t xml:space="preserve">ALL-NEW</t>
  </si>
  <si>
    <t xml:space="preserve">Original v1 values (unknown definition)</t>
  </si>
  <si>
    <t xml:space="preserve">Recomputed for all 184 rows as count of missing among: prior_grant_flag, traction_composite, team_size_mid, serial_entrepreneur, any_stem_founder, accelerator_participated, industry_exp_max_years, edu_max_level</t>
  </si>
  <si>
    <t xml:space="preserve">Standardization for v2</t>
  </si>
  <si>
    <t xml:space="preserve">DN-003</t>
  </si>
  <si>
    <t xml:space="preserve">IN-ST-104, IN-ST-107, IN-ST-111</t>
  </si>
  <si>
    <t xml:space="preserve">survival_status/event_closed</t>
  </si>
  <si>
    <t xml:space="preserve">As collected</t>
  </si>
  <si>
    <t xml:space="preserve">Kept as collected: event_closed=1 with survival_status='Acquired' (distress acquisitions: operations ceased, then acquired/merged). See status_note per row.</t>
  </si>
  <si>
    <t xml:space="preserve">Worker status_note citations</t>
  </si>
  <si>
    <t xml:space="preserve">DN-004</t>
  </si>
  <si>
    <t xml:space="preserve">any_external_funding=0</t>
  </si>
  <si>
    <t xml:space="preserve">Coded per protocol: no disclosed funding/grant/accelerator-investment in any listed source AND 36+ months old. Means 'no disclosed funding found', not an audited fact.</t>
  </si>
  <si>
    <t xml:space="preserve">Data collection protocol (guide 6.2)</t>
  </si>
  <si>
    <t xml:space="preserve">DN-005</t>
  </si>
  <si>
    <t xml:space="preserve">BD-ST-309</t>
  </si>
  <si>
    <t xml:space="preserve">BD-ST-309 'Learn with Sumit' collected by BD-B batch</t>
  </si>
  <si>
    <t xml:space="preserve">Row dropped at v3 consolidation: duplicate of BD-ST-308 (same startup collected independently by BD-A and BD-B batches, both via Tracxn fallback). BD-A copy kept.</t>
  </si>
  <si>
    <t xml:space="preserve">bd_a.json / bd_b.json comparison</t>
  </si>
  <si>
    <t xml:space="preserve">Muse (consolidation)</t>
  </si>
  <si>
    <t xml:space="preserve">DN-006</t>
  </si>
  <si>
    <t xml:space="preserve">ALL-V3</t>
  </si>
  <si>
    <t xml:space="preserve">protocol</t>
  </si>
  <si>
    <t xml:space="preserve">v2 convention: investor-type flags (has_vc_pe etc.) blank for new rows</t>
  </si>
  <si>
    <t xml:space="preserve">For all v3 rows the six has_* investor flags and n_accepted_investment_rows are coded 0 (verified: no VC/angel/accelerator/corporate/government/grant investor exists for these unfunded rows), follow_on_funding_usd=0, funding_amount_basis='none'. Founder aggregates (edu_max_level, any_stem_founder, serial_entrepreneur, industry_exp_max_years) are non-missing for 100% of v3 rows by design: startups whose founders could not be documented were skipped at collection (see Sampling_Frame and batch LOGs).</t>
  </si>
  <si>
    <t xml:space="preserve">v3 collection protocol (2026-10-20)</t>
  </si>
  <si>
    <t xml:space="preserve">DN-007</t>
  </si>
  <si>
    <t xml:space="preserve">MULTI</t>
  </si>
  <si>
    <t xml:space="preserve">judgment calls</t>
  </si>
  <si>
    <t xml:space="preserve">Rows carrying disclosed judgment calls (see status_note / funding_evidence per row): BD-ST-305 Bdcalling IT and IN-ST-323 Applied Cloud Computing disclose bank loans (debt excluded from the equity/grant funding definition); BD-ST-315 NapTech Labs accelerator_participated=1 (Pioneer Accelerator ranking claim, no funding terms found); PK-ST-301 Wukla accelerator_participated=1 (Nest I/O, non-equity); PK-ST-319 Zamratech accelerator_participated=1 per worker coding; PK-ST-320 Genesis IT Lab is part of the RNS Solutions group (acquired Aug 2022 per its own timeline) but coded Active on live operations evidence — drop if strict independence is required; PK-ST-324 PakTaleem founding year 2010 (own site/GoodFirms) vs 2006 (own Upwork field) — if 2006, it falls outside the 2010-2023 frame; PK-ST-323 Grayhat aggregates rest on a single self-reported source (reserve-grade); IN-ST-325 ChessBase India is prominent in its niche (fame flag in-row); IN-ST-309 Satin Neo Dimensions is a group promoter's venture that invests in others (receives no funding); IN-ST-319 Taskmonk has one uncorroborated aggregator 'funding round' listing, coded 0 on preponderance of sources (disclosed in funding_evidence); BD-ST-302 WPManageNinja has a Delaware billing LLC (HQ coded Sylhet, disclosed); PK-ST-325 AXCEL is the weakest v3 row (degree evidence rests on the founder's Freelancer profile; founding-year conflict 2014/2015/2016, all in-window, coded 2015); PK-ST-326 Zaavia edu=2 rests on US board certifications above the founder's MBBS; PK-ST-328 Bitwise Cloud founding coded 2020 per frame vs founder's own 'co-founded in 2022' (experience coded at the lower bound valid under both); PK-ST-329 Centangle Interactive aggregates rest on 1 of its 6 founders (the documented one).</t>
  </si>
  <si>
    <t xml:space="preserve">Batch LOGs in ~/workspace/xai_data/v3/</t>
  </si>
  <si>
    <t xml:space="preserve">DN-008</t>
  </si>
  <si>
    <t xml:space="preserve">v3 zero codings rest on a two-part check per row: (a) directory profile (Tracxn/Crunchbase/GoodFirms) showing no funding rounds, and (b) a targeted funding-news search (incl. grants, prizes, stipends, convertible loans) returning nothing. Tracxn 'Unfunded' labels alone were NOT trusted — the news check caught at least 11 mislabelled companies across batches (e.g. Khareed PK, Redwing Labs IN, EvueMe IN). Zero still means 'no disclosed funding found', not an audited fact.</t>
  </si>
  <si>
    <t xml:space="preserve">population_definition</t>
  </si>
  <si>
    <t xml:space="preserve">sources_used</t>
  </si>
  <si>
    <t xml:space="preserve">selection_method</t>
  </si>
  <si>
    <t xml:space="preserve">period</t>
  </si>
  <si>
    <t xml:space="preserve">n_added</t>
  </si>
  <si>
    <t xml:space="preserve">caveats</t>
  </si>
  <si>
    <t xml:space="preserve">Startups in collector files Persons 1-5 (original 100; convenience/known-firm sample)</t>
  </si>
  <si>
    <t xml:space="preserve">Collector workbooks, Crunchbase/Tracxn/company sites (per v1)</t>
  </si>
  <si>
    <t xml:space="preserve">Convenience + known firms (fame bias noted)</t>
  </si>
  <si>
    <t xml:space="preserve">Founded ~1997-2023</t>
  </si>
  <si>
    <t xml:space="preserve">Fame bias: includes bKash, Nagad, Rocket etc.; flagged via sample_source recommendation</t>
  </si>
  <si>
    <t xml:space="preserve">Indian startups founded 2010-2023 with verifiable funding/survival records</t>
  </si>
  <si>
    <t xml:space="preserve">Crunchbase, Tracxn, TechCrunch, Economic Times, company announcements (per-row citations)</t>
  </si>
  <si>
    <t xml:space="preserve">Purposive: well-documented funded cases + systematically searched unfunded (36+ months, no disclosed funding) and reported closures</t>
  </si>
  <si>
    <t xml:space="preserve">Founded 2010-2023</t>
  </si>
  <si>
    <t xml:space="preserve">Unfunded = no disclosed funding found (not audited); founder-attribute fields sparse (&gt;70% missing)</t>
  </si>
  <si>
    <t xml:space="preserve">Pakistani startups founded 2010-2023 with verifiable funding/survival records</t>
  </si>
  <si>
    <t xml:space="preserve">Crunchbase, Tracxn, TechCrunch, Dawn, company announcements (per-row citations)</t>
  </si>
  <si>
    <t xml:space="preserve">Smaller ecosystem: fewer verifiable closures; same unfunded caveat as India</t>
  </si>
  <si>
    <t xml:space="preserve">Bangladesh (v3)</t>
  </si>
  <si>
    <t xml:space="preserve">Independent startups founded 2010-2023, &gt;=36 months old at 2026-09-30, no disclosed external funding</t>
  </si>
  <si>
    <t xml:space="preserve">Tracxn Bangladesh sector/geography listings (explore list paywalled after top-5; fallback disclosed per row), BASIS member listings/profiles, Future Startup</t>
  </si>
  <si>
    <t xml:space="preserve">Listed-frame sampling in listed order with full skip logs (bd_a/bd_b/bd_topup/bd_topup2 LOGs in xai_data/v3); famous cases excluded</t>
  </si>
  <si>
    <t xml:space="preserve">Target 15, delivered 14: frames exhausted (700+ entries screened across all v3 batches); Print Wizard excluded (no 2024-2026 activity evidence). Unfunded = no disclosed funding found, not audited.</t>
  </si>
  <si>
    <t xml:space="preserve">India (v3)</t>
  </si>
  <si>
    <t xml:space="preserve">Tracxn Bengaluru/Delhi NCR/Mumbai sector listings, StartupBlink (unreadable; fallback disclosed), Inc42/YourStory corroboration</t>
  </si>
  <si>
    <t xml:space="preserve">Listed-frame sampling in listed order with full skip logs (in_a/in_b/in_topup/in_topup2 LOGs); famous cases excluded (Joker and Witch, Suta excluded on this rule)</t>
  </si>
  <si>
    <t xml:space="preserve">Target 15, delivered 15. Two Delhi rows (IN-ST-311/312) carry an in-row disclosure that a Tracxn sighting past the preview wall could not be confirmed; all other gates verified.</t>
  </si>
  <si>
    <t xml:space="preserve">Pakistan (v3)</t>
  </si>
  <si>
    <t xml:space="preserve">Tracxn Pakistan listings, NIC Pakistan directory (0 accepted of 115), GoodFirms Pakistan pages 1-11, Clutch Pakistan</t>
  </si>
  <si>
    <t xml:space="preserve">Listed-frame sampling in listed order with full skip logs (pk_a/pk_b/pk_topup/pk_topup2 LOGs); famous cases excluded</t>
  </si>
  <si>
    <t xml:space="preserve">NIC/Tracxn frames yielded 1 of ~270 screened: documented founders there have almost always taken grant/prize/investment money. GoodFirms/Clutch services-directory frame was productive (11 of 12). Target 12, delivered 12. Unfunded = no disclosed funding found, not audited.</t>
  </si>
  <si>
    <t xml:space="preserve">section</t>
  </si>
  <si>
    <t xml:space="preserve">Hypotheses</t>
  </si>
  <si>
    <t xml:space="preserve">H1</t>
  </si>
  <si>
    <t xml:space="preserve">Founder human-capital attributes (education, STEM, industry experience) predict external funding (RQ1).</t>
  </si>
  <si>
    <t xml:space="preserve">H2</t>
  </si>
  <si>
    <t xml:space="preserve">Non-linear ML models (RF, XGBoost) outperform regularised logistic baselines at this sample size (RQ2).</t>
  </si>
  <si>
    <t xml:space="preserve">H3</t>
  </si>
  <si>
    <t xml:space="preserve">Prestige signals (education level, serial-entrepreneur status) retain little additive explanatory power after controlling for fundamentals (proposal Hypothesis 5; RQ3).</t>
  </si>
  <si>
    <t xml:space="preserve">H4</t>
  </si>
  <si>
    <t xml:space="preserve">A SHAP-filtered rule-based screening policy achieves a higher hit rate than heuristic/econometric/black-box policies in simulated portfolios (RQ4).</t>
  </si>
  <si>
    <t xml:space="preserve">H5 (exploratory)</t>
  </si>
  <si>
    <t xml:space="preserve">Accelerator participation is associated with funding after covariate adjustment; treat as exploratory (poor overlap expected) (RQ5).</t>
  </si>
  <si>
    <t xml:space="preserve">Targets</t>
  </si>
  <si>
    <t xml:space="preserve">Primary</t>
  </si>
  <si>
    <t xml:space="preserve">any_external_funding (funded vs never-funded).</t>
  </si>
  <si>
    <t xml:space="preserve">Secondary</t>
  </si>
  <si>
    <t xml:space="preserve">follow_on_funding_received.</t>
  </si>
  <si>
    <t xml:space="preserve">Descriptive only</t>
  </si>
  <si>
    <t xml:space="preserve">event_closed/duration_months: Kaplan-Meier only until ~25 closures (now 31 events; Cox with 2-3 covariates permissible).</t>
  </si>
  <si>
    <t xml:space="preserve">Feature set A (founding-time, headline)</t>
  </si>
  <si>
    <t xml:space="preserve">Columns</t>
  </si>
  <si>
    <t xml:space="preserve">edu_max_level, any_stem_founder, serial_entrepreneur, industry_exp_max_years, n_founders, female_founder_share, product_stage, age_years, gdp_growth_at_founding, inflation_at_founding, foreign_hq_flag, is_b2b, is_b2c, is_marketplace, is_subscription_saas, is_hardware_iot, is_transaction_commission, sector_group</t>
  </si>
  <si>
    <t xml:space="preserve">Feature set B (A + ecosystem signals)</t>
  </si>
  <si>
    <t xml:space="preserve">Set A + accelerator_participated, prior_grant_flag (may overlap with funding; report separately, not as screening ability).</t>
  </si>
  <si>
    <t xml:space="preserve">Feature set C (diagnostic only)</t>
  </si>
  <si>
    <t xml:space="preserve">Set B + team_size_mid, traction_composite (current snapshots; never headline).</t>
  </si>
  <si>
    <t xml:space="preserve">Forbidden (must never enter funding models)</t>
  </si>
  <si>
    <t xml:space="preserve">follow_on_funding_usd, follow_on_year, funding_amount_basis, n_accepted_investment_rows, has_vc_pe, has_angel, has_accelerator_investor, has_corporate, has_government, has_grant_dfi, gdp_growth_at_funding, inflation_at_funding, evaluation_score_1to5, survival_status, event_closed, acquired_flag, duration_months, any_external_funding, follow_on_funding_received</t>
  </si>
  <si>
    <t xml:space="preserve">Decisions</t>
  </si>
  <si>
    <t xml:space="preserve">D1 primary outcome</t>
  </si>
  <si>
    <t xml:space="preserve">any_external_funding (secondary: follow_on_funding_received).</t>
  </si>
  <si>
    <t xml:space="preserve">D2 survival role</t>
  </si>
  <si>
    <t xml:space="preserve">Descriptive Kaplan-Meier now; Cox with 2-3 covariates now permissible (31 events).</t>
  </si>
  <si>
    <t xml:space="preserve">D3 expand sample</t>
  </si>
  <si>
    <t xml:space="preserve">YES - done in v2: +85 rows, 43 unfunded-or-failed added (target was 40-50).</t>
  </si>
  <si>
    <t xml:space="preserve">D4 non-startups</t>
  </si>
  <si>
    <t xml:space="preserve">Main analysis: independent startups only (entity_type filter); robustness with all rows.</t>
  </si>
  <si>
    <t xml:space="preserve">D5 headline feature set</t>
  </si>
  <si>
    <t xml:space="preserve">Set A for screening claims; Set B as ecosystem-signal comparison.</t>
  </si>
  <si>
    <t xml:space="preserve">Validation</t>
  </si>
  <si>
    <t xml:space="preserve">Protocol</t>
  </si>
  <si>
    <t xml:space="preserve">Repeated stratified 5-fold CV; imputation/scaling/encoding INSIDE each fold (never use ML_Matrix_Imputed for final results); tiny tuning grids; bootstrap 95% CI of AUC; report AUC/PR-AUC/Brier, not accuracy.</t>
  </si>
  <si>
    <t xml:space="preserve">D6 v3 in-frame unfunded expansion</t>
  </si>
  <si>
    <t xml:space="preserve">Done 2026-10-20: +41 in-frame unfunded rows (BD 14 of 15 target, IN 15 of 15, PK 12 of 12) sampled from listed frames in listed order — not famous cases. All v3 rows have complete founder attributes (Feature set A fully observed for the new negative class). In-frame unfunded (independent, 2010-2023, funding=0) rises from 18 (v2) to 59. Remaining gaps are documented in Sampling_Frame, not silently filled.</t>
  </si>
</sst>
</file>

<file path=xl/styles.xml><?xml version="1.0" encoding="utf-8"?>
<styleSheet xmlns="http://schemas.openxmlformats.org/spreadsheetml/2006/main">
  <numFmts count="6">
    <numFmt numFmtId="164" formatCode="General"/>
    <numFmt numFmtId="165" formatCode="yyyy\-mm\-dd\ h:mm:ss"/>
    <numFmt numFmtId="166" formatCode="General"/>
    <numFmt numFmtId="167" formatCode="yyyy\-mm\-dd"/>
    <numFmt numFmtId="168" formatCode="#,##0"/>
    <numFmt numFmtId="169" formatCode="0%"/>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b val="true"/>
      <sz val="10"/>
      <color rgb="FFFFFFFF"/>
      <name val="Arial"/>
      <family val="0"/>
      <charset val="1"/>
    </font>
    <font>
      <sz val="10"/>
      <name val="Arial"/>
      <family val="0"/>
      <charset val="1"/>
    </font>
    <font>
      <b val="true"/>
      <sz val="10"/>
      <name val="Arial"/>
      <family val="0"/>
      <charset val="1"/>
    </font>
    <font>
      <i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7030A0"/>
        <bgColor rgb="FF99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7030A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I2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6796875" defaultRowHeight="14.2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14" min="3" style="0" width="16"/>
    <col collapsed="false" customWidth="true" hidden="false" outlineLevel="0" max="15" min="15" style="0" width="30"/>
    <col collapsed="false" customWidth="true" hidden="false" outlineLevel="0" max="16" min="16" style="0" width="16"/>
    <col collapsed="false" customWidth="true" hidden="false" outlineLevel="0" max="17" min="17" style="0" width="36"/>
    <col collapsed="false" customWidth="true" hidden="false" outlineLevel="0" max="23" min="18" style="0" width="16"/>
    <col collapsed="false" customWidth="true" hidden="false" outlineLevel="0" max="24" min="24" style="0" width="28"/>
    <col collapsed="false" customWidth="true" hidden="false" outlineLevel="0" max="27" min="25" style="0" width="16"/>
    <col collapsed="false" customWidth="true" hidden="false" outlineLevel="0" max="28" min="28" style="0" width="34"/>
    <col collapsed="false" customWidth="true" hidden="false" outlineLevel="0" max="50" min="29" style="0" width="16"/>
    <col collapsed="false" customWidth="true" hidden="false" outlineLevel="0" max="51" min="51" style="0" width="34"/>
    <col collapsed="false" customWidth="true" hidden="false" outlineLevel="0" max="52" min="52" style="0" width="16"/>
    <col collapsed="false" customWidth="true" hidden="false" outlineLevel="0" max="53" min="53" style="0" width="40"/>
    <col collapsed="false" customWidth="true" hidden="false" outlineLevel="0" max="85" min="54" style="0" width="16"/>
  </cols>
  <sheetData>
    <row r="1" customFormat="false" ht="42"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row>
    <row r="2" customFormat="false" ht="14.25" hidden="false" customHeight="false" outlineLevel="0" collapsed="false">
      <c r="A2" s="0" t="s">
        <v>87</v>
      </c>
      <c r="B2" s="0" t="s">
        <v>88</v>
      </c>
      <c r="C2" s="0" t="s">
        <v>89</v>
      </c>
      <c r="D2" s="0" t="s">
        <v>90</v>
      </c>
      <c r="E2" s="0" t="n">
        <v>0</v>
      </c>
      <c r="F2" s="0" t="s">
        <v>91</v>
      </c>
      <c r="I2" s="0" t="n">
        <v>2010</v>
      </c>
      <c r="K2" s="0" t="s">
        <v>92</v>
      </c>
      <c r="L2" s="2" t="n">
        <v>46295</v>
      </c>
      <c r="M2" s="3" t="n">
        <f aca="false">IF(I2="","",(YEAR(L2)-I2)*12+MONTH(L2)-IF(J2="",1,J2))</f>
        <v>200</v>
      </c>
      <c r="N2" s="3" t="n">
        <f aca="false">IF(M2="","",ROUND(M2/12,2))</f>
        <v>16.67</v>
      </c>
      <c r="O2" s="3" t="s">
        <v>93</v>
      </c>
      <c r="P2" s="3" t="s">
        <v>94</v>
      </c>
      <c r="Q2" s="3" t="s">
        <v>95</v>
      </c>
      <c r="R2" s="0" t="n">
        <v>1</v>
      </c>
      <c r="S2" s="0" t="n">
        <v>1</v>
      </c>
      <c r="T2" s="0" t="n">
        <v>0</v>
      </c>
      <c r="U2" s="0" t="n">
        <v>0</v>
      </c>
      <c r="V2" s="0" t="n">
        <v>0</v>
      </c>
      <c r="W2" s="0" t="n">
        <v>0</v>
      </c>
      <c r="X2" s="3" t="s">
        <v>96</v>
      </c>
      <c r="Y2" s="0" t="n">
        <v>3</v>
      </c>
      <c r="Z2" s="0" t="n">
        <v>1</v>
      </c>
      <c r="AA2" s="0" t="n">
        <v>0</v>
      </c>
      <c r="AC2" s="0" t="n">
        <v>1</v>
      </c>
      <c r="AD2" s="0" t="n">
        <v>10000000</v>
      </c>
      <c r="AE2" s="3" t="s">
        <v>97</v>
      </c>
      <c r="AF2" s="3" t="n">
        <f aca="false">IF(SUMIF(Founders_Clean!$A$2:$A$159,A2,Founders_Clean!$C$2:$C$159)=0,"",SUMIF(Founders_Clean!$A$2:$A$159,A2,Founders_Clean!$C$2:$C$159))</f>
        <v>2</v>
      </c>
      <c r="AG2" s="3" t="n">
        <f aca="false">IF(AF2="","",SUMIF(Founders_Clean!$A$2:$A$159,A2,Founders_Clean!$D$2:$D$159))</f>
        <v>2</v>
      </c>
      <c r="AH2" s="3" t="n">
        <f aca="false">IF(AF2="","",SUMIF(Founders_Clean!$A$2:$A$159,A2,Founders_Clean!$E$2:$E$159))</f>
        <v>0</v>
      </c>
      <c r="AI2" s="3" t="n">
        <f aca="false">IF(AF2="","",IF((AG2+AH2)=0,"",AH2/(AG2+AH2)))</f>
        <v>0</v>
      </c>
      <c r="AJ2" s="3" t="n">
        <f aca="false">IF(AI2="","",IF(AH2&gt;0,1,0))</f>
        <v>0</v>
      </c>
      <c r="AK2" s="3" t="n">
        <f aca="false">IF(AI2="","",ROUND(1-(AI2^2+(1-AI2)^2),3))</f>
        <v>0</v>
      </c>
      <c r="AM2" s="0" t="n">
        <v>2</v>
      </c>
      <c r="AN2" s="3" t="s">
        <v>98</v>
      </c>
      <c r="AO2" s="0" t="n">
        <v>1</v>
      </c>
      <c r="AP2" s="0" t="n">
        <v>0.5</v>
      </c>
      <c r="AQ2" s="0" t="n">
        <v>1</v>
      </c>
      <c r="AR2" s="0" t="n">
        <v>25</v>
      </c>
      <c r="AS2" s="0" t="n">
        <v>20</v>
      </c>
      <c r="AT2" s="0" t="n">
        <v>1750</v>
      </c>
      <c r="AU2" s="3" t="s">
        <v>99</v>
      </c>
      <c r="AV2" s="3" t="s">
        <v>100</v>
      </c>
      <c r="AX2" s="3" t="s">
        <v>101</v>
      </c>
      <c r="AY2" s="3" t="s">
        <v>102</v>
      </c>
      <c r="BA2" s="0" t="n">
        <v>0</v>
      </c>
      <c r="BB2" s="0" t="n">
        <v>0</v>
      </c>
      <c r="BC2" s="0" t="n">
        <v>0</v>
      </c>
      <c r="BF2" s="3" t="n">
        <f aca="false">IF(OR(I2="",BC2=""),"",IF(BC2=1,(BD2-I2)*12+IF(BE2="",7,BE2)-IF(J2="",1,J2),M2))</f>
        <v>200</v>
      </c>
      <c r="BG2" s="0" t="n">
        <v>1</v>
      </c>
      <c r="BH2" s="0" t="n">
        <v>250000000</v>
      </c>
      <c r="BI2" s="3" t="s">
        <v>103</v>
      </c>
      <c r="BJ2" s="0" t="n">
        <v>2021</v>
      </c>
      <c r="BK2" s="0" t="n">
        <v>1</v>
      </c>
      <c r="BL2" s="3" t="n">
        <f aca="false">COUNTIFS(Investments_Clean!$A$2:$A$150,A2,Investments_Clean!$F$2:$F$150,"Accepted")</f>
        <v>2</v>
      </c>
      <c r="BM2" s="3" t="n">
        <f aca="false">IF(BL2=0,"",IF((COUNTIFS(Investments_Clean!$A$2:$A$150,A2,Investments_Clean!$D$2:$D$150,"VC/PE",Investments_Clean!$F$2:$F$150,"Accepted"))&gt;0,1,0))</f>
        <v>1</v>
      </c>
      <c r="BN2" s="3" t="n">
        <f aca="false">IF(BL2=0,"",IF((COUNTIFS(Investments_Clean!$A$2:$A$150,A2,Investments_Clean!$D$2:$D$150,"Angel",Investments_Clean!$F$2:$F$150,"Accepted"))&gt;0,1,0))</f>
        <v>0</v>
      </c>
      <c r="BO2" s="3" t="n">
        <f aca="false">IF(BL2=0,"",IF((COUNTIFS(Investments_Clean!$A$2:$A$150,A2,Investments_Clean!$D$2:$D$150,"Accelerator",Investments_Clean!$F$2:$F$150,"Accepted"))&gt;0,1,0))</f>
        <v>0</v>
      </c>
      <c r="BP2" s="3" t="n">
        <f aca="false">IF(BL2=0,"",IF((COUNTIFS(Investments_Clean!$A$2:$A$150,A2,Investments_Clean!$D$2:$D$150,"Corporate",Investments_Clean!$F$2:$F$150,"Accepted"))&gt;0,1,0))</f>
        <v>0</v>
      </c>
      <c r="BQ2" s="3" t="n">
        <f aca="false">IF(BL2=0,"",IF((COUNTIFS(Investments_Clean!$A$2:$A$150,A2,Investments_Clean!$D$2:$D$150,"Government",Investments_Clean!$F$2:$F$150,"Accepted"))&gt;0,1,0))</f>
        <v>0</v>
      </c>
      <c r="BR2" s="3" t="n">
        <f aca="false">IF(BL2=0,"",IF((COUNTIFS(Investments_Clean!$A$2:$A$150,A2,Investments_Clean!$D$2:$D$150,"Grant/Philanthropic",Investments_Clean!$F$2:$F$150,"Accepted")+COUNTIFS(Investments_Clean!$A$2:$A$150,A2,Investments_Clean!$D$2:$D$150,"DFI/Impact",Investments_Clean!$F$2:$F$150,"Accepted"))&gt;0,1,0))</f>
        <v>1</v>
      </c>
      <c r="CA2" s="0" t="n">
        <v>0</v>
      </c>
      <c r="CC2" s="0" t="str">
        <f aca="false">IF(I2="","",IFERROR(IF(INDEX(Macro_Lookup!$B$2:$B$31,MATCH(I2,Macro_Lookup!$A$2:$A$31,0))="","",INDEX(Macro_Lookup!$B$2:$B$31,MATCH(I2,Macro_Lookup!$A$2:$A$31,0))),""))</f>
        <v/>
      </c>
      <c r="CD2" s="0" t="str">
        <f aca="false">IF(I2="","",IFERROR(IF(INDEX(Macro_Lookup!$C$2:$C$31,MATCH(I2,Macro_Lookup!$A$2:$A$31,0))="","",INDEX(Macro_Lookup!$C$2:$C$31,MATCH(I2,Macro_Lookup!$A$2:$A$31,0))),""))</f>
        <v/>
      </c>
      <c r="CE2" s="0" t="str">
        <f aca="false">IF(BJ2="","",IFERROR(IF(INDEX(Macro_Lookup!$B$2:$B$31,MATCH(BJ2,Macro_Lookup!$A$2:$A$31,0))="","",INDEX(Macro_Lookup!$B$2:$B$31,MATCH(BJ2,Macro_Lookup!$A$2:$A$31,0))),""))</f>
        <v/>
      </c>
      <c r="CF2" s="0" t="str">
        <f aca="false">IF(BJ2="","",IFERROR(IF(INDEX(Macro_Lookup!$C$2:$C$31,MATCH(BJ2,Macro_Lookup!$A$2:$A$31,0))="","",INDEX(Macro_Lookup!$C$2:$C$31,MATCH(BJ2,Macro_Lookup!$A$2:$A$31,0))),""))</f>
        <v/>
      </c>
      <c r="CG2" s="0" t="n">
        <v>1</v>
      </c>
      <c r="CH2" s="3" t="s">
        <v>104</v>
      </c>
      <c r="CI2" s="3" t="s">
        <v>105</v>
      </c>
    </row>
    <row r="3" customFormat="false" ht="14.25" hidden="false" customHeight="false" outlineLevel="0" collapsed="false">
      <c r="A3" s="0" t="s">
        <v>106</v>
      </c>
      <c r="B3" s="0" t="s">
        <v>107</v>
      </c>
      <c r="C3" s="0" t="s">
        <v>89</v>
      </c>
      <c r="D3" s="0" t="s">
        <v>90</v>
      </c>
      <c r="E3" s="0" t="n">
        <v>0</v>
      </c>
      <c r="F3" s="0" t="s">
        <v>91</v>
      </c>
      <c r="I3" s="0" t="n">
        <v>2019</v>
      </c>
      <c r="K3" s="0" t="s">
        <v>92</v>
      </c>
      <c r="L3" s="2" t="n">
        <v>46295</v>
      </c>
      <c r="M3" s="3" t="n">
        <f aca="false">IF(I3="","",(YEAR(L3)-I3)*12+MONTH(L3)-IF(J3="",1,J3))</f>
        <v>92</v>
      </c>
      <c r="N3" s="3" t="n">
        <f aca="false">IF(M3="","",ROUND(M3/12,2))</f>
        <v>7.67</v>
      </c>
      <c r="O3" s="3" t="s">
        <v>93</v>
      </c>
      <c r="P3" s="3" t="s">
        <v>94</v>
      </c>
      <c r="Q3" s="3" t="s">
        <v>108</v>
      </c>
      <c r="R3" s="0" t="n">
        <v>0</v>
      </c>
      <c r="S3" s="0" t="n">
        <v>0</v>
      </c>
      <c r="T3" s="0" t="n">
        <v>0</v>
      </c>
      <c r="U3" s="0" t="n">
        <v>0</v>
      </c>
      <c r="V3" s="0" t="n">
        <v>0</v>
      </c>
      <c r="W3" s="0" t="n">
        <v>0</v>
      </c>
      <c r="X3" s="3" t="s">
        <v>101</v>
      </c>
      <c r="Y3" s="0" t="n">
        <v>3</v>
      </c>
      <c r="Z3" s="0" t="n">
        <v>1</v>
      </c>
      <c r="AF3" s="3" t="n">
        <f aca="false">IF(SUMIF(Founders_Clean!$A$2:$A$159,A3,Founders_Clean!$C$2:$C$159)=0,"",SUMIF(Founders_Clean!$A$2:$A$159,A3,Founders_Clean!$C$2:$C$159))</f>
        <v>1</v>
      </c>
      <c r="AG3" s="3" t="n">
        <f aca="false">IF(AF3="","",SUMIF(Founders_Clean!$A$2:$A$159,A3,Founders_Clean!$D$2:$D$159))</f>
        <v>1</v>
      </c>
      <c r="AH3" s="3" t="n">
        <f aca="false">IF(AF3="","",SUMIF(Founders_Clean!$A$2:$A$159,A3,Founders_Clean!$E$2:$E$159))</f>
        <v>0</v>
      </c>
      <c r="AI3" s="3" t="n">
        <f aca="false">IF(AF3="","",IF((AG3+AH3)=0,"",AH3/(AG3+AH3)))</f>
        <v>0</v>
      </c>
      <c r="AJ3" s="3" t="n">
        <f aca="false">IF(AI3="","",IF(AH3&gt;0,1,0))</f>
        <v>0</v>
      </c>
      <c r="AK3" s="3" t="n">
        <f aca="false">IF(AI3="","",ROUND(1-(AI3^2+(1-AI3)^2),3))</f>
        <v>0</v>
      </c>
      <c r="AM3" s="0" t="n">
        <v>2</v>
      </c>
      <c r="AN3" s="3" t="s">
        <v>98</v>
      </c>
      <c r="AO3" s="0" t="n">
        <v>0</v>
      </c>
      <c r="AP3" s="0" t="n">
        <v>0</v>
      </c>
      <c r="AQ3" s="0" t="n">
        <v>1</v>
      </c>
      <c r="AR3" s="0" t="n">
        <v>11</v>
      </c>
      <c r="AS3" s="0" t="n">
        <v>11</v>
      </c>
      <c r="AT3" s="0" t="n">
        <v>1000</v>
      </c>
      <c r="AU3" s="3" t="s">
        <v>99</v>
      </c>
      <c r="AV3" s="3" t="s">
        <v>100</v>
      </c>
      <c r="AX3" s="3" t="s">
        <v>101</v>
      </c>
      <c r="AY3" s="3" t="s">
        <v>102</v>
      </c>
      <c r="BA3" s="0" t="n">
        <v>0</v>
      </c>
      <c r="BB3" s="0" t="n">
        <v>0</v>
      </c>
      <c r="BC3" s="0" t="n">
        <v>0</v>
      </c>
      <c r="BF3" s="3" t="n">
        <f aca="false">IF(OR(I3="",BC3=""),"",IF(BC3=1,(BD3-I3)*12+IF(BE3="",7,BE3)-IF(J3="",1,J3),M3))</f>
        <v>92</v>
      </c>
      <c r="BG3" s="0" t="n">
        <v>1</v>
      </c>
      <c r="BI3" s="3" t="s">
        <v>109</v>
      </c>
      <c r="BJ3" s="0" t="n">
        <v>2026</v>
      </c>
      <c r="BK3" s="0" t="n">
        <v>1</v>
      </c>
      <c r="BL3" s="3" t="n">
        <f aca="false">COUNTIFS(Investments_Clean!$A$2:$A$150,A3,Investments_Clean!$F$2:$F$150,"Accepted")</f>
        <v>2</v>
      </c>
      <c r="BM3" s="3" t="n">
        <f aca="false">IF(BL3=0,"",IF((COUNTIFS(Investments_Clean!$A$2:$A$150,A3,Investments_Clean!$D$2:$D$150,"VC/PE",Investments_Clean!$F$2:$F$150,"Accepted"))&gt;0,1,0))</f>
        <v>0</v>
      </c>
      <c r="BN3" s="3" t="n">
        <f aca="false">IF(BL3=0,"",IF((COUNTIFS(Investments_Clean!$A$2:$A$150,A3,Investments_Clean!$D$2:$D$150,"Angel",Investments_Clean!$F$2:$F$150,"Accepted"))&gt;0,1,0))</f>
        <v>0</v>
      </c>
      <c r="BO3" s="3" t="n">
        <f aca="false">IF(BL3=0,"",IF((COUNTIFS(Investments_Clean!$A$2:$A$150,A3,Investments_Clean!$D$2:$D$150,"Accelerator",Investments_Clean!$F$2:$F$150,"Accepted"))&gt;0,1,0))</f>
        <v>0</v>
      </c>
      <c r="BP3" s="3" t="n">
        <f aca="false">IF(BL3=0,"",IF((COUNTIFS(Investments_Clean!$A$2:$A$150,A3,Investments_Clean!$D$2:$D$150,"Corporate",Investments_Clean!$F$2:$F$150,"Accepted"))&gt;0,1,0))</f>
        <v>1</v>
      </c>
      <c r="BQ3" s="3" t="n">
        <f aca="false">IF(BL3=0,"",IF((COUNTIFS(Investments_Clean!$A$2:$A$150,A3,Investments_Clean!$D$2:$D$150,"Government",Investments_Clean!$F$2:$F$150,"Accepted"))&gt;0,1,0))</f>
        <v>1</v>
      </c>
      <c r="BR3" s="3" t="n">
        <f aca="false">IF(BL3=0,"",IF((COUNTIFS(Investments_Clean!$A$2:$A$150,A3,Investments_Clean!$D$2:$D$150,"Grant/Philanthropic",Investments_Clean!$F$2:$F$150,"Accepted")+COUNTIFS(Investments_Clean!$A$2:$A$150,A3,Investments_Clean!$D$2:$D$150,"DFI/Impact",Investments_Clean!$F$2:$F$150,"Accepted"))&gt;0,1,0))</f>
        <v>0</v>
      </c>
      <c r="CA3" s="0" t="n">
        <v>0</v>
      </c>
      <c r="CC3" s="0" t="str">
        <f aca="false">IF(I3="","",IFERROR(IF(INDEX(Macro_Lookup!$B$2:$B$31,MATCH(I3,Macro_Lookup!$A$2:$A$31,0))="","",INDEX(Macro_Lookup!$B$2:$B$31,MATCH(I3,Macro_Lookup!$A$2:$A$31,0))),""))</f>
        <v/>
      </c>
      <c r="CD3" s="0" t="str">
        <f aca="false">IF(I3="","",IFERROR(IF(INDEX(Macro_Lookup!$C$2:$C$31,MATCH(I3,Macro_Lookup!$A$2:$A$31,0))="","",INDEX(Macro_Lookup!$C$2:$C$31,MATCH(I3,Macro_Lookup!$A$2:$A$31,0))),""))</f>
        <v/>
      </c>
      <c r="CE3" s="0" t="str">
        <f aca="false">IF(BJ3="","",IFERROR(IF(INDEX(Macro_Lookup!$B$2:$B$31,MATCH(BJ3,Macro_Lookup!$A$2:$A$31,0))="","",INDEX(Macro_Lookup!$B$2:$B$31,MATCH(BJ3,Macro_Lookup!$A$2:$A$31,0))),""))</f>
        <v/>
      </c>
      <c r="CF3" s="0" t="str">
        <f aca="false">IF(BJ3="","",IFERROR(IF(INDEX(Macro_Lookup!$C$2:$C$31,MATCH(BJ3,Macro_Lookup!$A$2:$A$31,0))="","",INDEX(Macro_Lookup!$C$2:$C$31,MATCH(BJ3,Macro_Lookup!$A$2:$A$31,0))),""))</f>
        <v/>
      </c>
      <c r="CG3" s="0" t="n">
        <v>3</v>
      </c>
      <c r="CH3" s="3" t="s">
        <v>104</v>
      </c>
      <c r="CI3" s="3" t="s">
        <v>105</v>
      </c>
    </row>
    <row r="4" customFormat="false" ht="14.25" hidden="false" customHeight="false" outlineLevel="0" collapsed="false">
      <c r="A4" s="0" t="s">
        <v>110</v>
      </c>
      <c r="B4" s="0" t="s">
        <v>111</v>
      </c>
      <c r="C4" s="0" t="s">
        <v>89</v>
      </c>
      <c r="D4" s="0" t="s">
        <v>90</v>
      </c>
      <c r="E4" s="0" t="n">
        <v>0</v>
      </c>
      <c r="F4" s="0" t="s">
        <v>112</v>
      </c>
      <c r="I4" s="0" t="n">
        <v>2011</v>
      </c>
      <c r="K4" s="0" t="s">
        <v>92</v>
      </c>
      <c r="L4" s="2" t="n">
        <v>46295</v>
      </c>
      <c r="M4" s="3" t="n">
        <f aca="false">IF(I4="","",(YEAR(L4)-I4)*12+MONTH(L4)-IF(J4="",1,J4))</f>
        <v>188</v>
      </c>
      <c r="N4" s="3" t="n">
        <f aca="false">IF(M4="","",ROUND(M4/12,2))</f>
        <v>15.67</v>
      </c>
      <c r="O4" s="3" t="s">
        <v>93</v>
      </c>
      <c r="P4" s="3" t="s">
        <v>94</v>
      </c>
      <c r="Q4" s="3" t="s">
        <v>113</v>
      </c>
      <c r="R4" s="0" t="n">
        <v>0</v>
      </c>
      <c r="S4" s="0" t="n">
        <v>0</v>
      </c>
      <c r="T4" s="0" t="n">
        <v>0</v>
      </c>
      <c r="U4" s="0" t="n">
        <v>0</v>
      </c>
      <c r="V4" s="0" t="n">
        <v>0</v>
      </c>
      <c r="W4" s="0" t="n">
        <v>0</v>
      </c>
      <c r="X4" s="3" t="s">
        <v>101</v>
      </c>
      <c r="Y4" s="0" t="n">
        <v>3</v>
      </c>
      <c r="Z4" s="0" t="n">
        <v>1</v>
      </c>
      <c r="AF4" s="3" t="n">
        <f aca="false">IF(SUMIF(Founders_Clean!$A$2:$A$159,A4,Founders_Clean!$C$2:$C$159)=0,"",SUMIF(Founders_Clean!$A$2:$A$159,A4,Founders_Clean!$C$2:$C$159))</f>
        <v>1</v>
      </c>
      <c r="AG4" s="3" t="n">
        <f aca="false">IF(AF4="","",SUMIF(Founders_Clean!$A$2:$A$159,A4,Founders_Clean!$D$2:$D$159))</f>
        <v>1</v>
      </c>
      <c r="AH4" s="3" t="n">
        <f aca="false">IF(AF4="","",SUMIF(Founders_Clean!$A$2:$A$159,A4,Founders_Clean!$E$2:$E$159))</f>
        <v>0</v>
      </c>
      <c r="AI4" s="3" t="n">
        <f aca="false">IF(AF4="","",IF((AG4+AH4)=0,"",AH4/(AG4+AH4)))</f>
        <v>0</v>
      </c>
      <c r="AJ4" s="3" t="n">
        <f aca="false">IF(AI4="","",IF(AH4&gt;0,1,0))</f>
        <v>0</v>
      </c>
      <c r="AK4" s="3" t="n">
        <f aca="false">IF(AI4="","",ROUND(1-(AI4^2+(1-AI4)^2),3))</f>
        <v>0</v>
      </c>
      <c r="AR4" s="0" t="n">
        <v>30</v>
      </c>
      <c r="AS4" s="0" t="n">
        <v>30</v>
      </c>
      <c r="AV4" s="3" t="s">
        <v>114</v>
      </c>
      <c r="AW4" s="3" t="s">
        <v>115</v>
      </c>
      <c r="AX4" s="3" t="s">
        <v>101</v>
      </c>
      <c r="AY4" s="3" t="s">
        <v>102</v>
      </c>
      <c r="BA4" s="0" t="n">
        <v>0</v>
      </c>
      <c r="BB4" s="0" t="n">
        <v>0</v>
      </c>
      <c r="BC4" s="0" t="n">
        <v>0</v>
      </c>
      <c r="BF4" s="3" t="n">
        <f aca="false">IF(OR(I4="",BC4=""),"",IF(BC4=1,(BD4-I4)*12+IF(BE4="",7,BE4)-IF(J4="",1,J4),M4))</f>
        <v>188</v>
      </c>
      <c r="BG4" s="0" t="n">
        <v>0</v>
      </c>
      <c r="BH4" s="0" t="n">
        <v>0</v>
      </c>
      <c r="BI4" s="3" t="s">
        <v>116</v>
      </c>
      <c r="BK4" s="0" t="n">
        <v>0</v>
      </c>
      <c r="BL4" s="3" t="n">
        <f aca="false">COUNTIFS(Investments_Clean!$A$2:$A$150,A4,Investments_Clean!$F$2:$F$150,"Accepted")</f>
        <v>1</v>
      </c>
      <c r="BM4" s="3" t="n">
        <f aca="false">IF(BL4=0,"",IF((COUNTIFS(Investments_Clean!$A$2:$A$150,A4,Investments_Clean!$D$2:$D$150,"VC/PE",Investments_Clean!$F$2:$F$150,"Accepted"))&gt;0,1,0))</f>
        <v>0</v>
      </c>
      <c r="BN4" s="3" t="n">
        <f aca="false">IF(BL4=0,"",IF((COUNTIFS(Investments_Clean!$A$2:$A$150,A4,Investments_Clean!$D$2:$D$150,"Angel",Investments_Clean!$F$2:$F$150,"Accepted"))&gt;0,1,0))</f>
        <v>0</v>
      </c>
      <c r="BO4" s="3" t="n">
        <f aca="false">IF(BL4=0,"",IF((COUNTIFS(Investments_Clean!$A$2:$A$150,A4,Investments_Clean!$D$2:$D$150,"Accelerator",Investments_Clean!$F$2:$F$150,"Accepted"))&gt;0,1,0))</f>
        <v>0</v>
      </c>
      <c r="BP4" s="3" t="n">
        <f aca="false">IF(BL4=0,"",IF((COUNTIFS(Investments_Clean!$A$2:$A$150,A4,Investments_Clean!$D$2:$D$150,"Corporate",Investments_Clean!$F$2:$F$150,"Accepted"))&gt;0,1,0))</f>
        <v>0</v>
      </c>
      <c r="BQ4" s="3" t="n">
        <f aca="false">IF(BL4=0,"",IF((COUNTIFS(Investments_Clean!$A$2:$A$150,A4,Investments_Clean!$D$2:$D$150,"Government",Investments_Clean!$F$2:$F$150,"Accepted"))&gt;0,1,0))</f>
        <v>0</v>
      </c>
      <c r="BR4" s="3" t="n">
        <f aca="false">IF(BL4=0,"",IF((COUNTIFS(Investments_Clean!$A$2:$A$150,A4,Investments_Clean!$D$2:$D$150,"Grant/Philanthropic",Investments_Clean!$F$2:$F$150,"Accepted")+COUNTIFS(Investments_Clean!$A$2:$A$150,A4,Investments_Clean!$D$2:$D$150,"DFI/Impact",Investments_Clean!$F$2:$F$150,"Accepted"))&gt;0,1,0))</f>
        <v>0</v>
      </c>
      <c r="CA4" s="0" t="n">
        <v>0</v>
      </c>
      <c r="CC4" s="0" t="str">
        <f aca="false">IF(I4="","",IFERROR(IF(INDEX(Macro_Lookup!$B$2:$B$31,MATCH(I4,Macro_Lookup!$A$2:$A$31,0))="","",INDEX(Macro_Lookup!$B$2:$B$31,MATCH(I4,Macro_Lookup!$A$2:$A$31,0))),""))</f>
        <v/>
      </c>
      <c r="CD4" s="0" t="str">
        <f aca="false">IF(I4="","",IFERROR(IF(INDEX(Macro_Lookup!$C$2:$C$31,MATCH(I4,Macro_Lookup!$A$2:$A$31,0))="","",INDEX(Macro_Lookup!$C$2:$C$31,MATCH(I4,Macro_Lookup!$A$2:$A$31,0))),""))</f>
        <v/>
      </c>
      <c r="CE4" s="0" t="str">
        <f aca="false">IF(BJ4="","",IFERROR(IF(INDEX(Macro_Lookup!$B$2:$B$31,MATCH(BJ4,Macro_Lookup!$A$2:$A$31,0))="","",INDEX(Macro_Lookup!$B$2:$B$31,MATCH(BJ4,Macro_Lookup!$A$2:$A$31,0))),""))</f>
        <v/>
      </c>
      <c r="CF4" s="0" t="str">
        <f aca="false">IF(BJ4="","",IFERROR(IF(INDEX(Macro_Lookup!$C$2:$C$31,MATCH(BJ4,Macro_Lookup!$A$2:$A$31,0))="","",INDEX(Macro_Lookup!$C$2:$C$31,MATCH(BJ4,Macro_Lookup!$A$2:$A$31,0))),""))</f>
        <v/>
      </c>
      <c r="CG4" s="0" t="n">
        <v>7</v>
      </c>
      <c r="CH4" s="3" t="s">
        <v>104</v>
      </c>
      <c r="CI4" s="3" t="s">
        <v>105</v>
      </c>
    </row>
    <row r="5" customFormat="false" ht="14.25" hidden="false" customHeight="false" outlineLevel="0" collapsed="false">
      <c r="A5" s="0" t="s">
        <v>117</v>
      </c>
      <c r="B5" s="0" t="s">
        <v>118</v>
      </c>
      <c r="C5" s="0" t="s">
        <v>89</v>
      </c>
      <c r="D5" s="0" t="s">
        <v>90</v>
      </c>
      <c r="E5" s="0" t="n">
        <v>0</v>
      </c>
      <c r="F5" s="0" t="s">
        <v>91</v>
      </c>
      <c r="I5" s="0" t="n">
        <v>2010</v>
      </c>
      <c r="K5" s="0" t="s">
        <v>92</v>
      </c>
      <c r="L5" s="2" t="n">
        <v>46295</v>
      </c>
      <c r="M5" s="3" t="n">
        <f aca="false">IF(I5="","",(YEAR(L5)-I5)*12+MONTH(L5)-IF(J5="",1,J5))</f>
        <v>200</v>
      </c>
      <c r="N5" s="3" t="n">
        <f aca="false">IF(M5="","",ROUND(M5/12,2))</f>
        <v>16.67</v>
      </c>
      <c r="O5" s="3" t="s">
        <v>93</v>
      </c>
      <c r="P5" s="3" t="s">
        <v>94</v>
      </c>
      <c r="Q5" s="3" t="s">
        <v>119</v>
      </c>
      <c r="R5" s="0" t="n">
        <v>0</v>
      </c>
      <c r="S5" s="0" t="n">
        <v>0</v>
      </c>
      <c r="T5" s="0" t="n">
        <v>0</v>
      </c>
      <c r="U5" s="0" t="n">
        <v>0</v>
      </c>
      <c r="V5" s="0" t="n">
        <v>0</v>
      </c>
      <c r="W5" s="0" t="n">
        <v>0</v>
      </c>
      <c r="X5" s="3" t="s">
        <v>101</v>
      </c>
      <c r="Y5" s="0" t="n">
        <v>3</v>
      </c>
      <c r="Z5" s="0" t="n">
        <v>1</v>
      </c>
      <c r="AA5" s="0" t="n">
        <v>0</v>
      </c>
      <c r="AF5" s="3" t="n">
        <f aca="false">IF(SUMIF(Founders_Clean!$A$2:$A$159,A5,Founders_Clean!$C$2:$C$159)=0,"",SUMIF(Founders_Clean!$A$2:$A$159,A5,Founders_Clean!$C$2:$C$159))</f>
        <v>1</v>
      </c>
      <c r="AG5" s="3" t="n">
        <f aca="false">IF(AF5="","",SUMIF(Founders_Clean!$A$2:$A$159,A5,Founders_Clean!$D$2:$D$159))</f>
        <v>1</v>
      </c>
      <c r="AH5" s="3" t="n">
        <f aca="false">IF(AF5="","",SUMIF(Founders_Clean!$A$2:$A$159,A5,Founders_Clean!$E$2:$E$159))</f>
        <v>0</v>
      </c>
      <c r="AI5" s="3" t="n">
        <f aca="false">IF(AF5="","",IF((AG5+AH5)=0,"",AH5/(AG5+AH5)))</f>
        <v>0</v>
      </c>
      <c r="AJ5" s="3" t="n">
        <f aca="false">IF(AI5="","",IF(AH5&gt;0,1,0))</f>
        <v>0</v>
      </c>
      <c r="AK5" s="3" t="n">
        <f aca="false">IF(AI5="","",ROUND(1-(AI5^2+(1-AI5)^2),3))</f>
        <v>0</v>
      </c>
      <c r="AM5" s="0" t="n">
        <v>3</v>
      </c>
      <c r="AN5" s="3" t="s">
        <v>120</v>
      </c>
      <c r="AO5" s="0" t="n">
        <v>1</v>
      </c>
      <c r="AP5" s="0" t="n">
        <v>1</v>
      </c>
      <c r="AQ5" s="0" t="n">
        <v>1</v>
      </c>
      <c r="AR5" s="0" t="n">
        <v>23</v>
      </c>
      <c r="AS5" s="0" t="n">
        <v>23</v>
      </c>
      <c r="AT5" s="0" t="n">
        <v>260</v>
      </c>
      <c r="AU5" s="3" t="s">
        <v>121</v>
      </c>
      <c r="AV5" s="3" t="s">
        <v>122</v>
      </c>
      <c r="AX5" s="3" t="s">
        <v>101</v>
      </c>
      <c r="AY5" s="3" t="s">
        <v>102</v>
      </c>
      <c r="BA5" s="0" t="n">
        <v>0</v>
      </c>
      <c r="BB5" s="0" t="n">
        <v>0</v>
      </c>
      <c r="BC5" s="0" t="n">
        <v>0</v>
      </c>
      <c r="BF5" s="3" t="n">
        <f aca="false">IF(OR(I5="",BC5=""),"",IF(BC5=1,(BD5-I5)*12+IF(BE5="",7,BE5)-IF(J5="",1,J5),M5))</f>
        <v>200</v>
      </c>
      <c r="BG5" s="0" t="n">
        <v>1</v>
      </c>
      <c r="BH5" s="0" t="n">
        <v>7000000</v>
      </c>
      <c r="BI5" s="3" t="s">
        <v>103</v>
      </c>
      <c r="BJ5" s="0" t="n">
        <v>2015</v>
      </c>
      <c r="BK5" s="0" t="n">
        <v>1</v>
      </c>
      <c r="BL5" s="3" t="n">
        <f aca="false">COUNTIFS(Investments_Clean!$A$2:$A$150,A5,Investments_Clean!$F$2:$F$150,"Accepted")</f>
        <v>1</v>
      </c>
      <c r="BM5" s="3" t="n">
        <f aca="false">IF(BL5=0,"",IF((COUNTIFS(Investments_Clean!$A$2:$A$150,A5,Investments_Clean!$D$2:$D$150,"VC/PE",Investments_Clean!$F$2:$F$150,"Accepted"))&gt;0,1,0))</f>
        <v>1</v>
      </c>
      <c r="BN5" s="3" t="n">
        <f aca="false">IF(BL5=0,"",IF((COUNTIFS(Investments_Clean!$A$2:$A$150,A5,Investments_Clean!$D$2:$D$150,"Angel",Investments_Clean!$F$2:$F$150,"Accepted"))&gt;0,1,0))</f>
        <v>0</v>
      </c>
      <c r="BO5" s="3" t="n">
        <f aca="false">IF(BL5=0,"",IF((COUNTIFS(Investments_Clean!$A$2:$A$150,A5,Investments_Clean!$D$2:$D$150,"Accelerator",Investments_Clean!$F$2:$F$150,"Accepted"))&gt;0,1,0))</f>
        <v>0</v>
      </c>
      <c r="BP5" s="3" t="n">
        <f aca="false">IF(BL5=0,"",IF((COUNTIFS(Investments_Clean!$A$2:$A$150,A5,Investments_Clean!$D$2:$D$150,"Corporate",Investments_Clean!$F$2:$F$150,"Accepted"))&gt;0,1,0))</f>
        <v>0</v>
      </c>
      <c r="BQ5" s="3" t="n">
        <f aca="false">IF(BL5=0,"",IF((COUNTIFS(Investments_Clean!$A$2:$A$150,A5,Investments_Clean!$D$2:$D$150,"Government",Investments_Clean!$F$2:$F$150,"Accepted"))&gt;0,1,0))</f>
        <v>0</v>
      </c>
      <c r="BR5" s="3" t="n">
        <f aca="false">IF(BL5=0,"",IF((COUNTIFS(Investments_Clean!$A$2:$A$150,A5,Investments_Clean!$D$2:$D$150,"Grant/Philanthropic",Investments_Clean!$F$2:$F$150,"Accepted")+COUNTIFS(Investments_Clean!$A$2:$A$150,A5,Investments_Clean!$D$2:$D$150,"DFI/Impact",Investments_Clean!$F$2:$F$150,"Accepted"))&gt;0,1,0))</f>
        <v>0</v>
      </c>
      <c r="CA5" s="0" t="n">
        <v>0</v>
      </c>
      <c r="CC5" s="0" t="str">
        <f aca="false">IF(I5="","",IFERROR(IF(INDEX(Macro_Lookup!$B$2:$B$31,MATCH(I5,Macro_Lookup!$A$2:$A$31,0))="","",INDEX(Macro_Lookup!$B$2:$B$31,MATCH(I5,Macro_Lookup!$A$2:$A$31,0))),""))</f>
        <v/>
      </c>
      <c r="CD5" s="0" t="str">
        <f aca="false">IF(I5="","",IFERROR(IF(INDEX(Macro_Lookup!$C$2:$C$31,MATCH(I5,Macro_Lookup!$A$2:$A$31,0))="","",INDEX(Macro_Lookup!$C$2:$C$31,MATCH(I5,Macro_Lookup!$A$2:$A$31,0))),""))</f>
        <v/>
      </c>
      <c r="CE5" s="0" t="str">
        <f aca="false">IF(BJ5="","",IFERROR(IF(INDEX(Macro_Lookup!$B$2:$B$31,MATCH(BJ5,Macro_Lookup!$A$2:$A$31,0))="","",INDEX(Macro_Lookup!$B$2:$B$31,MATCH(BJ5,Macro_Lookup!$A$2:$A$31,0))),""))</f>
        <v/>
      </c>
      <c r="CF5" s="0" t="str">
        <f aca="false">IF(BJ5="","",IFERROR(IF(INDEX(Macro_Lookup!$C$2:$C$31,MATCH(BJ5,Macro_Lookup!$A$2:$A$31,0))="","",INDEX(Macro_Lookup!$C$2:$C$31,MATCH(BJ5,Macro_Lookup!$A$2:$A$31,0))),""))</f>
        <v/>
      </c>
      <c r="CG5" s="0" t="n">
        <v>2</v>
      </c>
      <c r="CH5" s="3" t="s">
        <v>104</v>
      </c>
      <c r="CI5" s="3" t="s">
        <v>105</v>
      </c>
    </row>
    <row r="6" customFormat="false" ht="14.25" hidden="false" customHeight="false" outlineLevel="0" collapsed="false">
      <c r="A6" s="0" t="s">
        <v>123</v>
      </c>
      <c r="B6" s="0" t="s">
        <v>124</v>
      </c>
      <c r="C6" s="0" t="s">
        <v>89</v>
      </c>
      <c r="D6" s="0" t="s">
        <v>90</v>
      </c>
      <c r="E6" s="0" t="n">
        <v>0</v>
      </c>
      <c r="F6" s="0" t="s">
        <v>112</v>
      </c>
      <c r="G6" s="0" t="s">
        <v>125</v>
      </c>
      <c r="I6" s="0" t="n">
        <v>2021</v>
      </c>
      <c r="K6" s="0" t="s">
        <v>92</v>
      </c>
      <c r="L6" s="2" t="n">
        <v>46295</v>
      </c>
      <c r="M6" s="3" t="n">
        <f aca="false">IF(I6="","",(YEAR(L6)-I6)*12+MONTH(L6)-IF(J6="",1,J6))</f>
        <v>68</v>
      </c>
      <c r="N6" s="3" t="n">
        <f aca="false">IF(M6="","",ROUND(M6/12,2))</f>
        <v>5.67</v>
      </c>
      <c r="O6" s="3" t="s">
        <v>93</v>
      </c>
      <c r="P6" s="3" t="s">
        <v>94</v>
      </c>
      <c r="Q6" s="3" t="s">
        <v>126</v>
      </c>
      <c r="R6" s="0" t="n">
        <v>0</v>
      </c>
      <c r="S6" s="0" t="n">
        <v>0</v>
      </c>
      <c r="T6" s="0" t="n">
        <v>0</v>
      </c>
      <c r="U6" s="0" t="n">
        <v>0</v>
      </c>
      <c r="V6" s="0" t="n">
        <v>0</v>
      </c>
      <c r="W6" s="0" t="n">
        <v>0</v>
      </c>
      <c r="X6" s="3" t="s">
        <v>101</v>
      </c>
      <c r="Y6" s="0" t="n">
        <v>3</v>
      </c>
      <c r="Z6" s="0" t="n">
        <v>1</v>
      </c>
      <c r="AF6" s="3" t="n">
        <f aca="false">IF(SUMIF(Founders_Clean!$A$2:$A$159,A6,Founders_Clean!$C$2:$C$159)=0,"",SUMIF(Founders_Clean!$A$2:$A$159,A6,Founders_Clean!$C$2:$C$159))</f>
        <v>1</v>
      </c>
      <c r="AG6" s="3" t="n">
        <f aca="false">IF(AF6="","",SUMIF(Founders_Clean!$A$2:$A$159,A6,Founders_Clean!$D$2:$D$159))</f>
        <v>1</v>
      </c>
      <c r="AH6" s="3" t="n">
        <f aca="false">IF(AF6="","",SUMIF(Founders_Clean!$A$2:$A$159,A6,Founders_Clean!$E$2:$E$159))</f>
        <v>0</v>
      </c>
      <c r="AI6" s="3" t="n">
        <f aca="false">IF(AF6="","",IF((AG6+AH6)=0,"",AH6/(AG6+AH6)))</f>
        <v>0</v>
      </c>
      <c r="AJ6" s="3" t="n">
        <f aca="false">IF(AI6="","",IF(AH6&gt;0,1,0))</f>
        <v>0</v>
      </c>
      <c r="AK6" s="3" t="n">
        <f aca="false">IF(AI6="","",ROUND(1-(AI6^2+(1-AI6)^2),3))</f>
        <v>0</v>
      </c>
      <c r="AM6" s="0" t="n">
        <v>2</v>
      </c>
      <c r="AN6" s="3" t="s">
        <v>98</v>
      </c>
      <c r="AO6" s="0" t="n">
        <v>0</v>
      </c>
      <c r="AP6" s="0" t="n">
        <v>0</v>
      </c>
      <c r="AQ6" s="0" t="n">
        <v>0</v>
      </c>
      <c r="AR6" s="0" t="n">
        <v>20</v>
      </c>
      <c r="AS6" s="0" t="n">
        <v>20</v>
      </c>
      <c r="AT6" s="0" t="n">
        <v>350</v>
      </c>
      <c r="AU6" s="3" t="s">
        <v>121</v>
      </c>
      <c r="AV6" s="3" t="s">
        <v>100</v>
      </c>
      <c r="AX6" s="3" t="s">
        <v>101</v>
      </c>
      <c r="AY6" s="3" t="s">
        <v>102</v>
      </c>
      <c r="BA6" s="0" t="n">
        <v>0</v>
      </c>
      <c r="BB6" s="0" t="n">
        <v>0</v>
      </c>
      <c r="BC6" s="0" t="n">
        <v>0</v>
      </c>
      <c r="BF6" s="3" t="n">
        <f aca="false">IF(OR(I6="",BC6=""),"",IF(BC6=1,(BD6-I6)*12+IF(BE6="",7,BE6)-IF(J6="",1,J6),M6))</f>
        <v>68</v>
      </c>
      <c r="BG6" s="0" t="n">
        <v>0</v>
      </c>
      <c r="BH6" s="0" t="n">
        <v>0</v>
      </c>
      <c r="BI6" s="3" t="s">
        <v>116</v>
      </c>
      <c r="BJ6" s="0" t="n">
        <v>2021</v>
      </c>
      <c r="BK6" s="0" t="n">
        <v>0</v>
      </c>
      <c r="BL6" s="3" t="n">
        <f aca="false">COUNTIFS(Investments_Clean!$A$2:$A$150,A6,Investments_Clean!$F$2:$F$150,"Accepted")</f>
        <v>1</v>
      </c>
      <c r="BM6" s="3" t="n">
        <f aca="false">IF(BL6=0,"",IF((COUNTIFS(Investments_Clean!$A$2:$A$150,A6,Investments_Clean!$D$2:$D$150,"VC/PE",Investments_Clean!$F$2:$F$150,"Accepted"))&gt;0,1,0))</f>
        <v>0</v>
      </c>
      <c r="BN6" s="3" t="n">
        <f aca="false">IF(BL6=0,"",IF((COUNTIFS(Investments_Clean!$A$2:$A$150,A6,Investments_Clean!$D$2:$D$150,"Angel",Investments_Clean!$F$2:$F$150,"Accepted"))&gt;0,1,0))</f>
        <v>0</v>
      </c>
      <c r="BO6" s="3" t="n">
        <f aca="false">IF(BL6=0,"",IF((COUNTIFS(Investments_Clean!$A$2:$A$150,A6,Investments_Clean!$D$2:$D$150,"Accelerator",Investments_Clean!$F$2:$F$150,"Accepted"))&gt;0,1,0))</f>
        <v>0</v>
      </c>
      <c r="BP6" s="3" t="n">
        <f aca="false">IF(BL6=0,"",IF((COUNTIFS(Investments_Clean!$A$2:$A$150,A6,Investments_Clean!$D$2:$D$150,"Corporate",Investments_Clean!$F$2:$F$150,"Accepted"))&gt;0,1,0))</f>
        <v>0</v>
      </c>
      <c r="BQ6" s="3" t="n">
        <f aca="false">IF(BL6=0,"",IF((COUNTIFS(Investments_Clean!$A$2:$A$150,A6,Investments_Clean!$D$2:$D$150,"Government",Investments_Clean!$F$2:$F$150,"Accepted"))&gt;0,1,0))</f>
        <v>0</v>
      </c>
      <c r="BR6" s="3" t="n">
        <f aca="false">IF(BL6=0,"",IF((COUNTIFS(Investments_Clean!$A$2:$A$150,A6,Investments_Clean!$D$2:$D$150,"Grant/Philanthropic",Investments_Clean!$F$2:$F$150,"Accepted")+COUNTIFS(Investments_Clean!$A$2:$A$150,A6,Investments_Clean!$D$2:$D$150,"DFI/Impact",Investments_Clean!$F$2:$F$150,"Accepted"))&gt;0,1,0))</f>
        <v>0</v>
      </c>
      <c r="CA6" s="0" t="n">
        <v>0</v>
      </c>
      <c r="CC6" s="0" t="str">
        <f aca="false">IF(I6="","",IFERROR(IF(INDEX(Macro_Lookup!$B$2:$B$31,MATCH(I6,Macro_Lookup!$A$2:$A$31,0))="","",INDEX(Macro_Lookup!$B$2:$B$31,MATCH(I6,Macro_Lookup!$A$2:$A$31,0))),""))</f>
        <v/>
      </c>
      <c r="CD6" s="0" t="str">
        <f aca="false">IF(I6="","",IFERROR(IF(INDEX(Macro_Lookup!$C$2:$C$31,MATCH(I6,Macro_Lookup!$A$2:$A$31,0))="","",INDEX(Macro_Lookup!$C$2:$C$31,MATCH(I6,Macro_Lookup!$A$2:$A$31,0))),""))</f>
        <v/>
      </c>
      <c r="CE6" s="0" t="str">
        <f aca="false">IF(BJ6="","",IFERROR(IF(INDEX(Macro_Lookup!$B$2:$B$31,MATCH(BJ6,Macro_Lookup!$A$2:$A$31,0))="","",INDEX(Macro_Lookup!$B$2:$B$31,MATCH(BJ6,Macro_Lookup!$A$2:$A$31,0))),""))</f>
        <v/>
      </c>
      <c r="CF6" s="0" t="str">
        <f aca="false">IF(BJ6="","",IFERROR(IF(INDEX(Macro_Lookup!$C$2:$C$31,MATCH(BJ6,Macro_Lookup!$A$2:$A$31,0))="","",INDEX(Macro_Lookup!$C$2:$C$31,MATCH(BJ6,Macro_Lookup!$A$2:$A$31,0))),""))</f>
        <v/>
      </c>
      <c r="CG6" s="0" t="n">
        <v>3</v>
      </c>
      <c r="CH6" s="3" t="s">
        <v>104</v>
      </c>
      <c r="CI6" s="3" t="s">
        <v>105</v>
      </c>
    </row>
    <row r="7" customFormat="false" ht="14.25" hidden="false" customHeight="false" outlineLevel="0" collapsed="false">
      <c r="A7" s="0" t="s">
        <v>127</v>
      </c>
      <c r="B7" s="0" t="s">
        <v>128</v>
      </c>
      <c r="C7" s="0" t="s">
        <v>89</v>
      </c>
      <c r="D7" s="0" t="s">
        <v>90</v>
      </c>
      <c r="E7" s="0" t="n">
        <v>0</v>
      </c>
      <c r="F7" s="0" t="s">
        <v>91</v>
      </c>
      <c r="I7" s="0" t="n">
        <v>2016</v>
      </c>
      <c r="K7" s="0" t="s">
        <v>92</v>
      </c>
      <c r="L7" s="2" t="n">
        <v>46295</v>
      </c>
      <c r="M7" s="3" t="n">
        <f aca="false">IF(I7="","",(YEAR(L7)-I7)*12+MONTH(L7)-IF(J7="",1,J7))</f>
        <v>128</v>
      </c>
      <c r="N7" s="3" t="n">
        <f aca="false">IF(M7="","",ROUND(M7/12,2))</f>
        <v>10.67</v>
      </c>
      <c r="O7" s="3" t="s">
        <v>93</v>
      </c>
      <c r="P7" s="3" t="s">
        <v>94</v>
      </c>
      <c r="Q7" s="3" t="s">
        <v>129</v>
      </c>
      <c r="R7" s="0" t="n">
        <v>0</v>
      </c>
      <c r="S7" s="0" t="n">
        <v>0</v>
      </c>
      <c r="T7" s="0" t="n">
        <v>0</v>
      </c>
      <c r="U7" s="0" t="n">
        <v>0</v>
      </c>
      <c r="V7" s="0" t="n">
        <v>0</v>
      </c>
      <c r="W7" s="0" t="n">
        <v>0</v>
      </c>
      <c r="X7" s="3" t="s">
        <v>101</v>
      </c>
      <c r="Y7" s="0" t="n">
        <v>3</v>
      </c>
      <c r="Z7" s="0" t="n">
        <v>1</v>
      </c>
      <c r="AF7" s="3" t="n">
        <f aca="false">IF(SUMIF(Founders_Clean!$A$2:$A$159,A7,Founders_Clean!$C$2:$C$159)=0,"",SUMIF(Founders_Clean!$A$2:$A$159,A7,Founders_Clean!$C$2:$C$159))</f>
        <v>2</v>
      </c>
      <c r="AG7" s="3" t="n">
        <f aca="false">IF(AF7="","",SUMIF(Founders_Clean!$A$2:$A$159,A7,Founders_Clean!$D$2:$D$159))</f>
        <v>1</v>
      </c>
      <c r="AH7" s="3" t="n">
        <f aca="false">IF(AF7="","",SUMIF(Founders_Clean!$A$2:$A$159,A7,Founders_Clean!$E$2:$E$159))</f>
        <v>1</v>
      </c>
      <c r="AI7" s="3" t="n">
        <f aca="false">IF(AF7="","",IF((AG7+AH7)=0,"",AH7/(AG7+AH7)))</f>
        <v>0.5</v>
      </c>
      <c r="AJ7" s="3" t="n">
        <f aca="false">IF(AI7="","",IF(AH7&gt;0,1,0))</f>
        <v>1</v>
      </c>
      <c r="AK7" s="3" t="n">
        <f aca="false">IF(AI7="","",ROUND(1-(AI7^2+(1-AI7)^2),3))</f>
        <v>0.5</v>
      </c>
      <c r="AM7" s="0" t="n">
        <v>2</v>
      </c>
      <c r="AN7" s="3" t="s">
        <v>98</v>
      </c>
      <c r="AO7" s="0" t="n">
        <v>1</v>
      </c>
      <c r="AP7" s="0" t="n">
        <v>1</v>
      </c>
      <c r="AQ7" s="0" t="n">
        <v>1</v>
      </c>
      <c r="AR7" s="0" t="n">
        <v>25</v>
      </c>
      <c r="AS7" s="0" t="n">
        <v>22.5</v>
      </c>
      <c r="AT7" s="0" t="n">
        <v>150</v>
      </c>
      <c r="AU7" s="3" t="s">
        <v>130</v>
      </c>
      <c r="AV7" s="3" t="s">
        <v>100</v>
      </c>
      <c r="AX7" s="3" t="s">
        <v>101</v>
      </c>
      <c r="AY7" s="3" t="s">
        <v>102</v>
      </c>
      <c r="BA7" s="0" t="n">
        <v>0</v>
      </c>
      <c r="BB7" s="0" t="n">
        <v>0</v>
      </c>
      <c r="BC7" s="0" t="n">
        <v>0</v>
      </c>
      <c r="BF7" s="3" t="n">
        <f aca="false">IF(OR(I7="",BC7=""),"",IF(BC7=1,(BD7-I7)*12+IF(BE7="",7,BE7)-IF(J7="",1,J7),M7))</f>
        <v>128</v>
      </c>
      <c r="BG7" s="0" t="n">
        <v>1</v>
      </c>
      <c r="BH7" s="0" t="n">
        <v>5000000</v>
      </c>
      <c r="BI7" s="3" t="s">
        <v>103</v>
      </c>
      <c r="BJ7" s="0" t="n">
        <v>2019</v>
      </c>
      <c r="BK7" s="0" t="n">
        <v>1</v>
      </c>
      <c r="BL7" s="3" t="n">
        <f aca="false">COUNTIFS(Investments_Clean!$A$2:$A$150,A7,Investments_Clean!$F$2:$F$150,"Accepted")</f>
        <v>1</v>
      </c>
      <c r="BM7" s="3" t="n">
        <f aca="false">IF(BL7=0,"",IF((COUNTIFS(Investments_Clean!$A$2:$A$150,A7,Investments_Clean!$D$2:$D$150,"VC/PE",Investments_Clean!$F$2:$F$150,"Accepted"))&gt;0,1,0))</f>
        <v>0</v>
      </c>
      <c r="BN7" s="3" t="n">
        <f aca="false">IF(BL7=0,"",IF((COUNTIFS(Investments_Clean!$A$2:$A$150,A7,Investments_Clean!$D$2:$D$150,"Angel",Investments_Clean!$F$2:$F$150,"Accepted"))&gt;0,1,0))</f>
        <v>0</v>
      </c>
      <c r="BO7" s="3" t="n">
        <f aca="false">IF(BL7=0,"",IF((COUNTIFS(Investments_Clean!$A$2:$A$150,A7,Investments_Clean!$D$2:$D$150,"Accelerator",Investments_Clean!$F$2:$F$150,"Accepted"))&gt;0,1,0))</f>
        <v>0</v>
      </c>
      <c r="BP7" s="3" t="n">
        <f aca="false">IF(BL7=0,"",IF((COUNTIFS(Investments_Clean!$A$2:$A$150,A7,Investments_Clean!$D$2:$D$150,"Corporate",Investments_Clean!$F$2:$F$150,"Accepted"))&gt;0,1,0))</f>
        <v>1</v>
      </c>
      <c r="BQ7" s="3" t="n">
        <f aca="false">IF(BL7=0,"",IF((COUNTIFS(Investments_Clean!$A$2:$A$150,A7,Investments_Clean!$D$2:$D$150,"Government",Investments_Clean!$F$2:$F$150,"Accepted"))&gt;0,1,0))</f>
        <v>0</v>
      </c>
      <c r="BR7" s="3" t="n">
        <f aca="false">IF(BL7=0,"",IF((COUNTIFS(Investments_Clean!$A$2:$A$150,A7,Investments_Clean!$D$2:$D$150,"Grant/Philanthropic",Investments_Clean!$F$2:$F$150,"Accepted")+COUNTIFS(Investments_Clean!$A$2:$A$150,A7,Investments_Clean!$D$2:$D$150,"DFI/Impact",Investments_Clean!$F$2:$F$150,"Accepted"))&gt;0,1,0))</f>
        <v>0</v>
      </c>
      <c r="CA7" s="0" t="n">
        <v>0</v>
      </c>
      <c r="CC7" s="0" t="str">
        <f aca="false">IF(I7="","",IFERROR(IF(INDEX(Macro_Lookup!$B$2:$B$31,MATCH(I7,Macro_Lookup!$A$2:$A$31,0))="","",INDEX(Macro_Lookup!$B$2:$B$31,MATCH(I7,Macro_Lookup!$A$2:$A$31,0))),""))</f>
        <v/>
      </c>
      <c r="CD7" s="0" t="str">
        <f aca="false">IF(I7="","",IFERROR(IF(INDEX(Macro_Lookup!$C$2:$C$31,MATCH(I7,Macro_Lookup!$A$2:$A$31,0))="","",INDEX(Macro_Lookup!$C$2:$C$31,MATCH(I7,Macro_Lookup!$A$2:$A$31,0))),""))</f>
        <v/>
      </c>
      <c r="CE7" s="0" t="str">
        <f aca="false">IF(BJ7="","",IFERROR(IF(INDEX(Macro_Lookup!$B$2:$B$31,MATCH(BJ7,Macro_Lookup!$A$2:$A$31,0))="","",INDEX(Macro_Lookup!$B$2:$B$31,MATCH(BJ7,Macro_Lookup!$A$2:$A$31,0))),""))</f>
        <v/>
      </c>
      <c r="CF7" s="0" t="str">
        <f aca="false">IF(BJ7="","",IFERROR(IF(INDEX(Macro_Lookup!$C$2:$C$31,MATCH(BJ7,Macro_Lookup!$A$2:$A$31,0))="","",INDEX(Macro_Lookup!$C$2:$C$31,MATCH(BJ7,Macro_Lookup!$A$2:$A$31,0))),""))</f>
        <v/>
      </c>
      <c r="CG7" s="0" t="n">
        <v>3</v>
      </c>
      <c r="CH7" s="3" t="s">
        <v>104</v>
      </c>
      <c r="CI7" s="3" t="s">
        <v>105</v>
      </c>
    </row>
    <row r="8" customFormat="false" ht="14.25" hidden="false" customHeight="false" outlineLevel="0" collapsed="false">
      <c r="A8" s="0" t="s">
        <v>131</v>
      </c>
      <c r="B8" s="0" t="s">
        <v>132</v>
      </c>
      <c r="C8" s="0" t="s">
        <v>89</v>
      </c>
      <c r="D8" s="0" t="s">
        <v>90</v>
      </c>
      <c r="E8" s="0" t="n">
        <v>0</v>
      </c>
      <c r="F8" s="0" t="s">
        <v>91</v>
      </c>
      <c r="I8" s="0" t="n">
        <v>2012</v>
      </c>
      <c r="J8" s="0" t="n">
        <v>11</v>
      </c>
      <c r="K8" s="0" t="s">
        <v>133</v>
      </c>
      <c r="L8" s="2" t="n">
        <v>46295</v>
      </c>
      <c r="M8" s="3" t="n">
        <f aca="false">IF(I8="","",(YEAR(L8)-I8)*12+MONTH(L8)-IF(J8="",1,J8))</f>
        <v>166</v>
      </c>
      <c r="N8" s="3" t="n">
        <f aca="false">IF(M8="","",ROUND(M8/12,2))</f>
        <v>13.83</v>
      </c>
      <c r="O8" s="3" t="s">
        <v>93</v>
      </c>
      <c r="P8" s="3" t="s">
        <v>94</v>
      </c>
      <c r="Q8" s="3" t="s">
        <v>134</v>
      </c>
      <c r="R8" s="0" t="n">
        <v>1</v>
      </c>
      <c r="S8" s="0" t="n">
        <v>1</v>
      </c>
      <c r="T8" s="0" t="n">
        <v>1</v>
      </c>
      <c r="U8" s="0" t="n">
        <v>0</v>
      </c>
      <c r="V8" s="0" t="n">
        <v>0</v>
      </c>
      <c r="W8" s="0" t="n">
        <v>1</v>
      </c>
      <c r="X8" s="3" t="s">
        <v>135</v>
      </c>
      <c r="Y8" s="0" t="n">
        <v>3</v>
      </c>
      <c r="Z8" s="0" t="n">
        <v>1</v>
      </c>
      <c r="AC8" s="0" t="n">
        <v>0</v>
      </c>
      <c r="AD8" s="0" t="n">
        <v>0</v>
      </c>
      <c r="AE8" s="3" t="s">
        <v>97</v>
      </c>
      <c r="AF8" s="3" t="n">
        <f aca="false">IF(SUMIF(Founders_Clean!$A$2:$A$159,A8,Founders_Clean!$C$2:$C$159)=0,"",SUMIF(Founders_Clean!$A$2:$A$159,A8,Founders_Clean!$C$2:$C$159))</f>
        <v>2</v>
      </c>
      <c r="AG8" s="3" t="n">
        <f aca="false">IF(AF8="","",SUMIF(Founders_Clean!$A$2:$A$159,A8,Founders_Clean!$D$2:$D$159))</f>
        <v>1</v>
      </c>
      <c r="AH8" s="3" t="n">
        <f aca="false">IF(AF8="","",SUMIF(Founders_Clean!$A$2:$A$159,A8,Founders_Clean!$E$2:$E$159))</f>
        <v>0</v>
      </c>
      <c r="AI8" s="3" t="n">
        <f aca="false">IF(AF8="","",IF((AG8+AH8)=0,"",AH8/(AG8+AH8)))</f>
        <v>0</v>
      </c>
      <c r="AJ8" s="3" t="n">
        <f aca="false">IF(AI8="","",IF(AH8&gt;0,1,0))</f>
        <v>0</v>
      </c>
      <c r="AK8" s="3" t="n">
        <f aca="false">IF(AI8="","",ROUND(1-(AI8^2+(1-AI8)^2),3))</f>
        <v>0</v>
      </c>
      <c r="AM8" s="0" t="n">
        <v>0</v>
      </c>
      <c r="AN8" s="3" t="s">
        <v>136</v>
      </c>
      <c r="AO8" s="0" t="n">
        <v>0</v>
      </c>
      <c r="AP8" s="0" t="n">
        <v>0</v>
      </c>
      <c r="AQ8" s="0" t="n">
        <v>1</v>
      </c>
      <c r="AR8" s="0" t="n">
        <v>15</v>
      </c>
      <c r="AS8" s="0" t="n">
        <v>15</v>
      </c>
      <c r="AT8" s="0" t="n">
        <v>200</v>
      </c>
      <c r="AU8" s="3" t="s">
        <v>130</v>
      </c>
      <c r="AV8" s="3" t="s">
        <v>122</v>
      </c>
      <c r="AW8" s="3" t="s">
        <v>137</v>
      </c>
      <c r="AX8" s="3" t="s">
        <v>138</v>
      </c>
      <c r="AY8" s="3" t="s">
        <v>102</v>
      </c>
      <c r="BA8" s="0" t="n">
        <v>1</v>
      </c>
      <c r="BB8" s="0" t="n">
        <v>0</v>
      </c>
      <c r="BC8" s="0" t="n">
        <v>0</v>
      </c>
      <c r="BF8" s="3" t="n">
        <f aca="false">IF(OR(I8="",BC8=""),"",IF(BC8=1,(BD8-I8)*12+IF(BE8="",7,BE8)-IF(J8="",1,J8),M8))</f>
        <v>166</v>
      </c>
      <c r="BL8" s="3" t="n">
        <f aca="false">COUNTIFS(Investments_Clean!$A$2:$A$150,A8,Investments_Clean!$F$2:$F$150,"Accepted")</f>
        <v>0</v>
      </c>
      <c r="BM8" s="0" t="str">
        <f aca="false">IF(BL8=0,"",IF((COUNTIFS(Investments_Clean!$A$2:$A$150,A8,Investments_Clean!$D$2:$D$150,"VC/PE",Investments_Clean!$F$2:$F$150,"Accepted"))&gt;0,1,0))</f>
        <v/>
      </c>
      <c r="BN8" s="0" t="str">
        <f aca="false">IF(BL8=0,"",IF((COUNTIFS(Investments_Clean!$A$2:$A$150,A8,Investments_Clean!$D$2:$D$150,"Angel",Investments_Clean!$F$2:$F$150,"Accepted"))&gt;0,1,0))</f>
        <v/>
      </c>
      <c r="BO8" s="0" t="str">
        <f aca="false">IF(BL8=0,"",IF((COUNTIFS(Investments_Clean!$A$2:$A$150,A8,Investments_Clean!$D$2:$D$150,"Accelerator",Investments_Clean!$F$2:$F$150,"Accepted"))&gt;0,1,0))</f>
        <v/>
      </c>
      <c r="BP8" s="0" t="str">
        <f aca="false">IF(BL8=0,"",IF((COUNTIFS(Investments_Clean!$A$2:$A$150,A8,Investments_Clean!$D$2:$D$150,"Corporate",Investments_Clean!$F$2:$F$150,"Accepted"))&gt;0,1,0))</f>
        <v/>
      </c>
      <c r="BQ8" s="0" t="str">
        <f aca="false">IF(BL8=0,"",IF((COUNTIFS(Investments_Clean!$A$2:$A$150,A8,Investments_Clean!$D$2:$D$150,"Government",Investments_Clean!$F$2:$F$150,"Accepted"))&gt;0,1,0))</f>
        <v/>
      </c>
      <c r="BR8" s="0" t="str">
        <f aca="false">IF(BL8=0,"",IF((COUNTIFS(Investments_Clean!$A$2:$A$150,A8,Investments_Clean!$D$2:$D$150,"Grant/Philanthropic",Investments_Clean!$F$2:$F$150,"Accepted")+COUNTIFS(Investments_Clean!$A$2:$A$150,A8,Investments_Clean!$D$2:$D$150,"DFI/Impact",Investments_Clean!$F$2:$F$150,"Accepted"))&gt;0,1,0))</f>
        <v/>
      </c>
      <c r="CA8" s="0" t="n">
        <v>0</v>
      </c>
      <c r="CC8" s="0" t="str">
        <f aca="false">IF(I8="","",IFERROR(IF(INDEX(Macro_Lookup!$B$2:$B$31,MATCH(I8,Macro_Lookup!$A$2:$A$31,0))="","",INDEX(Macro_Lookup!$B$2:$B$31,MATCH(I8,Macro_Lookup!$A$2:$A$31,0))),""))</f>
        <v/>
      </c>
      <c r="CD8" s="0" t="str">
        <f aca="false">IF(I8="","",IFERROR(IF(INDEX(Macro_Lookup!$C$2:$C$31,MATCH(I8,Macro_Lookup!$A$2:$A$31,0))="","",INDEX(Macro_Lookup!$C$2:$C$31,MATCH(I8,Macro_Lookup!$A$2:$A$31,0))),""))</f>
        <v/>
      </c>
      <c r="CE8" s="0" t="str">
        <f aca="false">IF(BJ8="","",IFERROR(IF(INDEX(Macro_Lookup!$B$2:$B$31,MATCH(BJ8,Macro_Lookup!$A$2:$A$31,0))="","",INDEX(Macro_Lookup!$B$2:$B$31,MATCH(BJ8,Macro_Lookup!$A$2:$A$31,0))),""))</f>
        <v/>
      </c>
      <c r="CF8" s="0" t="str">
        <f aca="false">IF(BJ8="","",IFERROR(IF(INDEX(Macro_Lookup!$C$2:$C$31,MATCH(BJ8,Macro_Lookup!$A$2:$A$31,0))="","",INDEX(Macro_Lookup!$C$2:$C$31,MATCH(BJ8,Macro_Lookup!$A$2:$A$31,0))),""))</f>
        <v/>
      </c>
      <c r="CG8" s="0" t="n">
        <v>2</v>
      </c>
      <c r="CH8" s="3" t="s">
        <v>104</v>
      </c>
      <c r="CI8" s="3" t="s">
        <v>105</v>
      </c>
    </row>
    <row r="9" customFormat="false" ht="14.25" hidden="false" customHeight="false" outlineLevel="0" collapsed="false">
      <c r="A9" s="0" t="s">
        <v>125</v>
      </c>
      <c r="B9" s="0" t="s">
        <v>139</v>
      </c>
      <c r="C9" s="0" t="s">
        <v>89</v>
      </c>
      <c r="D9" s="0" t="s">
        <v>90</v>
      </c>
      <c r="E9" s="0" t="n">
        <v>0</v>
      </c>
      <c r="F9" s="0" t="s">
        <v>112</v>
      </c>
      <c r="G9" s="0" t="s">
        <v>123</v>
      </c>
      <c r="I9" s="0" t="n">
        <v>2013</v>
      </c>
      <c r="K9" s="0" t="s">
        <v>92</v>
      </c>
      <c r="L9" s="2" t="n">
        <v>46295</v>
      </c>
      <c r="M9" s="3" t="n">
        <f aca="false">IF(I9="","",(YEAR(L9)-I9)*12+MONTH(L9)-IF(J9="",1,J9))</f>
        <v>164</v>
      </c>
      <c r="N9" s="3" t="n">
        <f aca="false">IF(M9="","",ROUND(M9/12,2))</f>
        <v>13.67</v>
      </c>
      <c r="O9" s="3" t="s">
        <v>93</v>
      </c>
      <c r="P9" s="3" t="s">
        <v>94</v>
      </c>
      <c r="Q9" s="3" t="s">
        <v>140</v>
      </c>
      <c r="R9" s="0" t="n">
        <v>0</v>
      </c>
      <c r="S9" s="0" t="n">
        <v>0</v>
      </c>
      <c r="T9" s="0" t="n">
        <v>0</v>
      </c>
      <c r="U9" s="0" t="n">
        <v>0</v>
      </c>
      <c r="V9" s="0" t="n">
        <v>0</v>
      </c>
      <c r="W9" s="0" t="n">
        <v>0</v>
      </c>
      <c r="X9" s="3" t="s">
        <v>141</v>
      </c>
      <c r="Y9" s="0" t="n">
        <v>3</v>
      </c>
      <c r="Z9" s="0" t="n">
        <v>1</v>
      </c>
      <c r="AA9" s="0" t="n">
        <v>0</v>
      </c>
      <c r="AF9" s="3" t="n">
        <f aca="false">IF(SUMIF(Founders_Clean!$A$2:$A$159,A9,Founders_Clean!$C$2:$C$159)=0,"",SUMIF(Founders_Clean!$A$2:$A$159,A9,Founders_Clean!$C$2:$C$159))</f>
        <v>1</v>
      </c>
      <c r="AG9" s="3" t="n">
        <f aca="false">IF(AF9="","",SUMIF(Founders_Clean!$A$2:$A$159,A9,Founders_Clean!$D$2:$D$159))</f>
        <v>0</v>
      </c>
      <c r="AH9" s="3" t="n">
        <f aca="false">IF(AF9="","",SUMIF(Founders_Clean!$A$2:$A$159,A9,Founders_Clean!$E$2:$E$159))</f>
        <v>0</v>
      </c>
      <c r="AI9" s="0" t="str">
        <f aca="false">IF(AF9="","",IF((AG9+AH9)=0,"",AH9/(AG9+AH9)))</f>
        <v/>
      </c>
      <c r="AJ9" s="0" t="str">
        <f aca="false">IF(AI9="","",IF(AH9&gt;0,1,0))</f>
        <v/>
      </c>
      <c r="AK9" s="0" t="str">
        <f aca="false">IF(AI9="","",ROUND(1-(AI9^2+(1-AI9)^2),3))</f>
        <v/>
      </c>
      <c r="AT9" s="0" t="n">
        <v>150</v>
      </c>
      <c r="AU9" s="3" t="s">
        <v>130</v>
      </c>
      <c r="AV9" s="3" t="s">
        <v>100</v>
      </c>
      <c r="AX9" s="3" t="s">
        <v>142</v>
      </c>
      <c r="AY9" s="3" t="s">
        <v>102</v>
      </c>
      <c r="AZ9" s="3" t="s">
        <v>143</v>
      </c>
      <c r="BA9" s="0" t="n">
        <v>0</v>
      </c>
      <c r="BB9" s="0" t="n">
        <v>0</v>
      </c>
      <c r="BC9" s="0" t="n">
        <v>1</v>
      </c>
      <c r="BD9" s="0" t="n">
        <v>2021</v>
      </c>
      <c r="BF9" s="3" t="n">
        <f aca="false">IF(OR(I9="",BC9=""),"",IF(BC9=1,(BD9-I9)*12+IF(BE9="",7,BE9)-IF(J9="",1,J9),M9))</f>
        <v>102</v>
      </c>
      <c r="BG9" s="0" t="n">
        <v>0</v>
      </c>
      <c r="BH9" s="0" t="n">
        <v>0</v>
      </c>
      <c r="BI9" s="3" t="s">
        <v>116</v>
      </c>
      <c r="BK9" s="0" t="n">
        <v>0</v>
      </c>
      <c r="BL9" s="3" t="n">
        <f aca="false">COUNTIFS(Investments_Clean!$A$2:$A$150,A9,Investments_Clean!$F$2:$F$150,"Accepted")</f>
        <v>1</v>
      </c>
      <c r="BM9" s="3" t="n">
        <f aca="false">IF(BL9=0,"",IF((COUNTIFS(Investments_Clean!$A$2:$A$150,A9,Investments_Clean!$D$2:$D$150,"VC/PE",Investments_Clean!$F$2:$F$150,"Accepted"))&gt;0,1,0))</f>
        <v>0</v>
      </c>
      <c r="BN9" s="3" t="n">
        <f aca="false">IF(BL9=0,"",IF((COUNTIFS(Investments_Clean!$A$2:$A$150,A9,Investments_Clean!$D$2:$D$150,"Angel",Investments_Clean!$F$2:$F$150,"Accepted"))&gt;0,1,0))</f>
        <v>0</v>
      </c>
      <c r="BO9" s="3" t="n">
        <f aca="false">IF(BL9=0,"",IF((COUNTIFS(Investments_Clean!$A$2:$A$150,A9,Investments_Clean!$D$2:$D$150,"Accelerator",Investments_Clean!$F$2:$F$150,"Accepted"))&gt;0,1,0))</f>
        <v>0</v>
      </c>
      <c r="BP9" s="3" t="n">
        <f aca="false">IF(BL9=0,"",IF((COUNTIFS(Investments_Clean!$A$2:$A$150,A9,Investments_Clean!$D$2:$D$150,"Corporate",Investments_Clean!$F$2:$F$150,"Accepted"))&gt;0,1,0))</f>
        <v>0</v>
      </c>
      <c r="BQ9" s="3" t="n">
        <f aca="false">IF(BL9=0,"",IF((COUNTIFS(Investments_Clean!$A$2:$A$150,A9,Investments_Clean!$D$2:$D$150,"Government",Investments_Clean!$F$2:$F$150,"Accepted"))&gt;0,1,0))</f>
        <v>0</v>
      </c>
      <c r="BR9" s="3" t="n">
        <f aca="false">IF(BL9=0,"",IF((COUNTIFS(Investments_Clean!$A$2:$A$150,A9,Investments_Clean!$D$2:$D$150,"Grant/Philanthropic",Investments_Clean!$F$2:$F$150,"Accepted")+COUNTIFS(Investments_Clean!$A$2:$A$150,A9,Investments_Clean!$D$2:$D$150,"DFI/Impact",Investments_Clean!$F$2:$F$150,"Accepted"))&gt;0,1,0))</f>
        <v>0</v>
      </c>
      <c r="CA9" s="0" t="n">
        <v>0</v>
      </c>
      <c r="CC9" s="0" t="str">
        <f aca="false">IF(I9="","",IFERROR(IF(INDEX(Macro_Lookup!$B$2:$B$31,MATCH(I9,Macro_Lookup!$A$2:$A$31,0))="","",INDEX(Macro_Lookup!$B$2:$B$31,MATCH(I9,Macro_Lookup!$A$2:$A$31,0))),""))</f>
        <v/>
      </c>
      <c r="CD9" s="0" t="str">
        <f aca="false">IF(I9="","",IFERROR(IF(INDEX(Macro_Lookup!$C$2:$C$31,MATCH(I9,Macro_Lookup!$A$2:$A$31,0))="","",INDEX(Macro_Lookup!$C$2:$C$31,MATCH(I9,Macro_Lookup!$A$2:$A$31,0))),""))</f>
        <v/>
      </c>
      <c r="CE9" s="0" t="str">
        <f aca="false">IF(BJ9="","",IFERROR(IF(INDEX(Macro_Lookup!$B$2:$B$31,MATCH(BJ9,Macro_Lookup!$A$2:$A$31,0))="","",INDEX(Macro_Lookup!$B$2:$B$31,MATCH(BJ9,Macro_Lookup!$A$2:$A$31,0))),""))</f>
        <v/>
      </c>
      <c r="CF9" s="0" t="str">
        <f aca="false">IF(BJ9="","",IFERROR(IF(INDEX(Macro_Lookup!$C$2:$C$31,MATCH(BJ9,Macro_Lookup!$A$2:$A$31,0))="","",INDEX(Macro_Lookup!$C$2:$C$31,MATCH(BJ9,Macro_Lookup!$A$2:$A$31,0))),""))</f>
        <v/>
      </c>
      <c r="CG9" s="0" t="n">
        <v>6</v>
      </c>
      <c r="CH9" s="3" t="s">
        <v>104</v>
      </c>
      <c r="CI9" s="3" t="s">
        <v>105</v>
      </c>
    </row>
    <row r="10" customFormat="false" ht="14.25" hidden="false" customHeight="false" outlineLevel="0" collapsed="false">
      <c r="A10" s="0" t="s">
        <v>144</v>
      </c>
      <c r="B10" s="0" t="s">
        <v>145</v>
      </c>
      <c r="C10" s="0" t="s">
        <v>89</v>
      </c>
      <c r="D10" s="0" t="s">
        <v>90</v>
      </c>
      <c r="E10" s="0" t="n">
        <v>0</v>
      </c>
      <c r="F10" s="0" t="s">
        <v>91</v>
      </c>
      <c r="I10" s="0" t="n">
        <v>2015</v>
      </c>
      <c r="K10" s="0" t="s">
        <v>92</v>
      </c>
      <c r="L10" s="2" t="n">
        <v>46295</v>
      </c>
      <c r="M10" s="3" t="n">
        <f aca="false">IF(I10="","",(YEAR(L10)-I10)*12+MONTH(L10)-IF(J10="",1,J10))</f>
        <v>140</v>
      </c>
      <c r="N10" s="3" t="n">
        <f aca="false">IF(M10="","",ROUND(M10/12,2))</f>
        <v>11.67</v>
      </c>
      <c r="O10" s="3" t="s">
        <v>93</v>
      </c>
      <c r="P10" s="3" t="s">
        <v>94</v>
      </c>
      <c r="Q10" s="3" t="s">
        <v>146</v>
      </c>
      <c r="R10" s="0" t="n">
        <v>0</v>
      </c>
      <c r="S10" s="0" t="n">
        <v>0</v>
      </c>
      <c r="T10" s="0" t="n">
        <v>0</v>
      </c>
      <c r="U10" s="0" t="n">
        <v>0</v>
      </c>
      <c r="V10" s="0" t="n">
        <v>0</v>
      </c>
      <c r="W10" s="0" t="n">
        <v>0</v>
      </c>
      <c r="X10" s="3" t="s">
        <v>101</v>
      </c>
      <c r="Y10" s="0" t="n">
        <v>3</v>
      </c>
      <c r="Z10" s="0" t="n">
        <v>1</v>
      </c>
      <c r="AF10" s="3" t="n">
        <f aca="false">IF(SUMIF(Founders_Clean!$A$2:$A$159,A10,Founders_Clean!$C$2:$C$159)=0,"",SUMIF(Founders_Clean!$A$2:$A$159,A10,Founders_Clean!$C$2:$C$159))</f>
        <v>1</v>
      </c>
      <c r="AG10" s="3" t="n">
        <f aca="false">IF(AF10="","",SUMIF(Founders_Clean!$A$2:$A$159,A10,Founders_Clean!$D$2:$D$159))</f>
        <v>1</v>
      </c>
      <c r="AH10" s="3" t="n">
        <f aca="false">IF(AF10="","",SUMIF(Founders_Clean!$A$2:$A$159,A10,Founders_Clean!$E$2:$E$159))</f>
        <v>0</v>
      </c>
      <c r="AI10" s="3" t="n">
        <f aca="false">IF(AF10="","",IF((AG10+AH10)=0,"",AH10/(AG10+AH10)))</f>
        <v>0</v>
      </c>
      <c r="AJ10" s="3" t="n">
        <f aca="false">IF(AI10="","",IF(AH10&gt;0,1,0))</f>
        <v>0</v>
      </c>
      <c r="AK10" s="3" t="n">
        <f aca="false">IF(AI10="","",ROUND(1-(AI10^2+(1-AI10)^2),3))</f>
        <v>0</v>
      </c>
      <c r="AM10" s="0" t="n">
        <v>1</v>
      </c>
      <c r="AN10" s="3" t="s">
        <v>147</v>
      </c>
      <c r="AO10" s="0" t="n">
        <v>1</v>
      </c>
      <c r="AP10" s="0" t="n">
        <v>1</v>
      </c>
      <c r="AQ10" s="0" t="n">
        <v>1</v>
      </c>
      <c r="AR10" s="0" t="n">
        <v>10</v>
      </c>
      <c r="AS10" s="0" t="n">
        <v>10</v>
      </c>
      <c r="AT10" s="0" t="n">
        <v>100</v>
      </c>
      <c r="AU10" s="3" t="s">
        <v>130</v>
      </c>
      <c r="AV10" s="3" t="s">
        <v>100</v>
      </c>
      <c r="AX10" s="3" t="s">
        <v>101</v>
      </c>
      <c r="AY10" s="3" t="s">
        <v>102</v>
      </c>
      <c r="AZ10" s="3" t="s">
        <v>148</v>
      </c>
      <c r="BA10" s="0" t="n">
        <v>1</v>
      </c>
      <c r="BB10" s="0" t="n">
        <v>0</v>
      </c>
      <c r="BC10" s="0" t="n">
        <v>0</v>
      </c>
      <c r="BF10" s="3" t="n">
        <f aca="false">IF(OR(I10="",BC10=""),"",IF(BC10=1,(BD10-I10)*12+IF(BE10="",7,BE10)-IF(J10="",1,J10),M10))</f>
        <v>140</v>
      </c>
      <c r="BG10" s="0" t="n">
        <v>1</v>
      </c>
      <c r="BH10" s="0" t="n">
        <v>1100000</v>
      </c>
      <c r="BI10" s="3" t="s">
        <v>149</v>
      </c>
      <c r="BJ10" s="0" t="n">
        <v>2026</v>
      </c>
      <c r="BK10" s="0" t="n">
        <v>1</v>
      </c>
      <c r="BL10" s="3" t="n">
        <f aca="false">COUNTIFS(Investments_Clean!$A$2:$A$150,A10,Investments_Clean!$F$2:$F$150,"Accepted")</f>
        <v>2</v>
      </c>
      <c r="BM10" s="3" t="n">
        <f aca="false">IF(BL10=0,"",IF((COUNTIFS(Investments_Clean!$A$2:$A$150,A10,Investments_Clean!$D$2:$D$150,"VC/PE",Investments_Clean!$F$2:$F$150,"Accepted"))&gt;0,1,0))</f>
        <v>0</v>
      </c>
      <c r="BN10" s="3" t="n">
        <f aca="false">IF(BL10=0,"",IF((COUNTIFS(Investments_Clean!$A$2:$A$150,A10,Investments_Clean!$D$2:$D$150,"Angel",Investments_Clean!$F$2:$F$150,"Accepted"))&gt;0,1,0))</f>
        <v>1</v>
      </c>
      <c r="BO10" s="3" t="n">
        <f aca="false">IF(BL10=0,"",IF((COUNTIFS(Investments_Clean!$A$2:$A$150,A10,Investments_Clean!$D$2:$D$150,"Accelerator",Investments_Clean!$F$2:$F$150,"Accepted"))&gt;0,1,0))</f>
        <v>0</v>
      </c>
      <c r="BP10" s="3" t="n">
        <f aca="false">IF(BL10=0,"",IF((COUNTIFS(Investments_Clean!$A$2:$A$150,A10,Investments_Clean!$D$2:$D$150,"Corporate",Investments_Clean!$F$2:$F$150,"Accepted"))&gt;0,1,0))</f>
        <v>1</v>
      </c>
      <c r="BQ10" s="3" t="n">
        <f aca="false">IF(BL10=0,"",IF((COUNTIFS(Investments_Clean!$A$2:$A$150,A10,Investments_Clean!$D$2:$D$150,"Government",Investments_Clean!$F$2:$F$150,"Accepted"))&gt;0,1,0))</f>
        <v>0</v>
      </c>
      <c r="BR10" s="3" t="n">
        <f aca="false">IF(BL10=0,"",IF((COUNTIFS(Investments_Clean!$A$2:$A$150,A10,Investments_Clean!$D$2:$D$150,"Grant/Philanthropic",Investments_Clean!$F$2:$F$150,"Accepted")+COUNTIFS(Investments_Clean!$A$2:$A$150,A10,Investments_Clean!$D$2:$D$150,"DFI/Impact",Investments_Clean!$F$2:$F$150,"Accepted"))&gt;0,1,0))</f>
        <v>0</v>
      </c>
      <c r="CA10" s="0" t="n">
        <v>0</v>
      </c>
      <c r="CC10" s="0" t="str">
        <f aca="false">IF(I10="","",IFERROR(IF(INDEX(Macro_Lookup!$B$2:$B$31,MATCH(I10,Macro_Lookup!$A$2:$A$31,0))="","",INDEX(Macro_Lookup!$B$2:$B$31,MATCH(I10,Macro_Lookup!$A$2:$A$31,0))),""))</f>
        <v/>
      </c>
      <c r="CD10" s="0" t="str">
        <f aca="false">IF(I10="","",IFERROR(IF(INDEX(Macro_Lookup!$C$2:$C$31,MATCH(I10,Macro_Lookup!$A$2:$A$31,0))="","",INDEX(Macro_Lookup!$C$2:$C$31,MATCH(I10,Macro_Lookup!$A$2:$A$31,0))),""))</f>
        <v/>
      </c>
      <c r="CE10" s="0" t="str">
        <f aca="false">IF(BJ10="","",IFERROR(IF(INDEX(Macro_Lookup!$B$2:$B$31,MATCH(BJ10,Macro_Lookup!$A$2:$A$31,0))="","",INDEX(Macro_Lookup!$B$2:$B$31,MATCH(BJ10,Macro_Lookup!$A$2:$A$31,0))),""))</f>
        <v/>
      </c>
      <c r="CF10" s="0" t="str">
        <f aca="false">IF(BJ10="","",IFERROR(IF(INDEX(Macro_Lookup!$C$2:$C$31,MATCH(BJ10,Macro_Lookup!$A$2:$A$31,0))="","",INDEX(Macro_Lookup!$C$2:$C$31,MATCH(BJ10,Macro_Lookup!$A$2:$A$31,0))),""))</f>
        <v/>
      </c>
      <c r="CG10" s="0" t="n">
        <v>3</v>
      </c>
      <c r="CH10" s="3" t="s">
        <v>104</v>
      </c>
      <c r="CI10" s="3" t="s">
        <v>105</v>
      </c>
    </row>
    <row r="11" customFormat="false" ht="14.25" hidden="false" customHeight="false" outlineLevel="0" collapsed="false">
      <c r="A11" s="0" t="s">
        <v>150</v>
      </c>
      <c r="B11" s="0" t="s">
        <v>151</v>
      </c>
      <c r="C11" s="0" t="s">
        <v>89</v>
      </c>
      <c r="D11" s="0" t="s">
        <v>90</v>
      </c>
      <c r="E11" s="0" t="n">
        <v>0</v>
      </c>
      <c r="F11" s="0" t="s">
        <v>91</v>
      </c>
      <c r="I11" s="0" t="n">
        <v>2010</v>
      </c>
      <c r="K11" s="0" t="s">
        <v>92</v>
      </c>
      <c r="L11" s="2" t="n">
        <v>46295</v>
      </c>
      <c r="M11" s="3" t="n">
        <f aca="false">IF(I11="","",(YEAR(L11)-I11)*12+MONTH(L11)-IF(J11="",1,J11))</f>
        <v>200</v>
      </c>
      <c r="N11" s="3" t="n">
        <f aca="false">IF(M11="","",ROUND(M11/12,2))</f>
        <v>16.67</v>
      </c>
      <c r="O11" s="3" t="s">
        <v>93</v>
      </c>
      <c r="P11" s="3" t="s">
        <v>94</v>
      </c>
      <c r="Q11" s="3" t="s">
        <v>146</v>
      </c>
      <c r="R11" s="0" t="n">
        <v>0</v>
      </c>
      <c r="S11" s="0" t="n">
        <v>0</v>
      </c>
      <c r="T11" s="0" t="n">
        <v>0</v>
      </c>
      <c r="U11" s="0" t="n">
        <v>0</v>
      </c>
      <c r="V11" s="0" t="n">
        <v>0</v>
      </c>
      <c r="W11" s="0" t="n">
        <v>0</v>
      </c>
      <c r="X11" s="3" t="s">
        <v>101</v>
      </c>
      <c r="Y11" s="0" t="n">
        <v>3</v>
      </c>
      <c r="Z11" s="0" t="n">
        <v>1</v>
      </c>
      <c r="AF11" s="3" t="n">
        <f aca="false">IF(SUMIF(Founders_Clean!$A$2:$A$159,A11,Founders_Clean!$C$2:$C$159)=0,"",SUMIF(Founders_Clean!$A$2:$A$159,A11,Founders_Clean!$C$2:$C$159))</f>
        <v>1</v>
      </c>
      <c r="AG11" s="3" t="n">
        <f aca="false">IF(AF11="","",SUMIF(Founders_Clean!$A$2:$A$159,A11,Founders_Clean!$D$2:$D$159))</f>
        <v>1</v>
      </c>
      <c r="AH11" s="3" t="n">
        <f aca="false">IF(AF11="","",SUMIF(Founders_Clean!$A$2:$A$159,A11,Founders_Clean!$E$2:$E$159))</f>
        <v>0</v>
      </c>
      <c r="AI11" s="3" t="n">
        <f aca="false">IF(AF11="","",IF((AG11+AH11)=0,"",AH11/(AG11+AH11)))</f>
        <v>0</v>
      </c>
      <c r="AJ11" s="3" t="n">
        <f aca="false">IF(AI11="","",IF(AH11&gt;0,1,0))</f>
        <v>0</v>
      </c>
      <c r="AK11" s="3" t="n">
        <f aca="false">IF(AI11="","",ROUND(1-(AI11^2+(1-AI11)^2),3))</f>
        <v>0</v>
      </c>
      <c r="AM11" s="0" t="n">
        <v>2</v>
      </c>
      <c r="AN11" s="3" t="s">
        <v>98</v>
      </c>
      <c r="AO11" s="0" t="n">
        <v>1</v>
      </c>
      <c r="AP11" s="0" t="n">
        <v>1</v>
      </c>
      <c r="AQ11" s="0" t="n">
        <v>1</v>
      </c>
      <c r="AR11" s="0" t="n">
        <v>25</v>
      </c>
      <c r="AS11" s="0" t="n">
        <v>25</v>
      </c>
      <c r="AT11" s="0" t="n">
        <v>275</v>
      </c>
      <c r="AU11" s="3" t="s">
        <v>121</v>
      </c>
      <c r="AV11" s="3" t="s">
        <v>100</v>
      </c>
      <c r="AX11" s="3" t="s">
        <v>101</v>
      </c>
      <c r="AY11" s="3" t="s">
        <v>102</v>
      </c>
      <c r="BA11" s="0" t="n">
        <v>0</v>
      </c>
      <c r="BB11" s="0" t="n">
        <v>0</v>
      </c>
      <c r="BC11" s="0" t="n">
        <v>0</v>
      </c>
      <c r="BF11" s="3" t="n">
        <f aca="false">IF(OR(I11="",BC11=""),"",IF(BC11=1,(BD11-I11)*12+IF(BE11="",7,BE11)-IF(J11="",1,J11),M11))</f>
        <v>200</v>
      </c>
      <c r="BG11" s="0" t="n">
        <v>0</v>
      </c>
      <c r="BH11" s="0" t="n">
        <v>0</v>
      </c>
      <c r="BI11" s="3" t="s">
        <v>116</v>
      </c>
      <c r="BK11" s="0" t="n">
        <v>0</v>
      </c>
      <c r="BL11" s="3" t="n">
        <f aca="false">COUNTIFS(Investments_Clean!$A$2:$A$150,A11,Investments_Clean!$F$2:$F$150,"Accepted")</f>
        <v>0</v>
      </c>
      <c r="BM11" s="0" t="str">
        <f aca="false">IF(BL11=0,"",IF((COUNTIFS(Investments_Clean!$A$2:$A$150,A11,Investments_Clean!$D$2:$D$150,"VC/PE",Investments_Clean!$F$2:$F$150,"Accepted"))&gt;0,1,0))</f>
        <v/>
      </c>
      <c r="BN11" s="0" t="str">
        <f aca="false">IF(BL11=0,"",IF((COUNTIFS(Investments_Clean!$A$2:$A$150,A11,Investments_Clean!$D$2:$D$150,"Angel",Investments_Clean!$F$2:$F$150,"Accepted"))&gt;0,1,0))</f>
        <v/>
      </c>
      <c r="BO11" s="0" t="str">
        <f aca="false">IF(BL11=0,"",IF((COUNTIFS(Investments_Clean!$A$2:$A$150,A11,Investments_Clean!$D$2:$D$150,"Accelerator",Investments_Clean!$F$2:$F$150,"Accepted"))&gt;0,1,0))</f>
        <v/>
      </c>
      <c r="BP11" s="0" t="str">
        <f aca="false">IF(BL11=0,"",IF((COUNTIFS(Investments_Clean!$A$2:$A$150,A11,Investments_Clean!$D$2:$D$150,"Corporate",Investments_Clean!$F$2:$F$150,"Accepted"))&gt;0,1,0))</f>
        <v/>
      </c>
      <c r="BQ11" s="0" t="str">
        <f aca="false">IF(BL11=0,"",IF((COUNTIFS(Investments_Clean!$A$2:$A$150,A11,Investments_Clean!$D$2:$D$150,"Government",Investments_Clean!$F$2:$F$150,"Accepted"))&gt;0,1,0))</f>
        <v/>
      </c>
      <c r="BR11" s="0" t="str">
        <f aca="false">IF(BL11=0,"",IF((COUNTIFS(Investments_Clean!$A$2:$A$150,A11,Investments_Clean!$D$2:$D$150,"Grant/Philanthropic",Investments_Clean!$F$2:$F$150,"Accepted")+COUNTIFS(Investments_Clean!$A$2:$A$150,A11,Investments_Clean!$D$2:$D$150,"DFI/Impact",Investments_Clean!$F$2:$F$150,"Accepted"))&gt;0,1,0))</f>
        <v/>
      </c>
      <c r="CA11" s="0" t="n">
        <v>0</v>
      </c>
      <c r="CC11" s="0" t="str">
        <f aca="false">IF(I11="","",IFERROR(IF(INDEX(Macro_Lookup!$B$2:$B$31,MATCH(I11,Macro_Lookup!$A$2:$A$31,0))="","",INDEX(Macro_Lookup!$B$2:$B$31,MATCH(I11,Macro_Lookup!$A$2:$A$31,0))),""))</f>
        <v/>
      </c>
      <c r="CD11" s="0" t="str">
        <f aca="false">IF(I11="","",IFERROR(IF(INDEX(Macro_Lookup!$C$2:$C$31,MATCH(I11,Macro_Lookup!$A$2:$A$31,0))="","",INDEX(Macro_Lookup!$C$2:$C$31,MATCH(I11,Macro_Lookup!$A$2:$A$31,0))),""))</f>
        <v/>
      </c>
      <c r="CE11" s="0" t="str">
        <f aca="false">IF(BJ11="","",IFERROR(IF(INDEX(Macro_Lookup!$B$2:$B$31,MATCH(BJ11,Macro_Lookup!$A$2:$A$31,0))="","",INDEX(Macro_Lookup!$B$2:$B$31,MATCH(BJ11,Macro_Lookup!$A$2:$A$31,0))),""))</f>
        <v/>
      </c>
      <c r="CF11" s="0" t="str">
        <f aca="false">IF(BJ11="","",IFERROR(IF(INDEX(Macro_Lookup!$C$2:$C$31,MATCH(BJ11,Macro_Lookup!$A$2:$A$31,0))="","",INDEX(Macro_Lookup!$C$2:$C$31,MATCH(BJ11,Macro_Lookup!$A$2:$A$31,0))),""))</f>
        <v/>
      </c>
      <c r="CG11" s="0" t="n">
        <v>3</v>
      </c>
      <c r="CH11" s="3" t="s">
        <v>104</v>
      </c>
      <c r="CI11" s="3" t="s">
        <v>105</v>
      </c>
    </row>
    <row r="12" customFormat="false" ht="14.25" hidden="false" customHeight="false" outlineLevel="0" collapsed="false">
      <c r="A12" s="0" t="s">
        <v>152</v>
      </c>
      <c r="B12" s="0" t="s">
        <v>153</v>
      </c>
      <c r="C12" s="0" t="s">
        <v>89</v>
      </c>
      <c r="D12" s="0" t="s">
        <v>90</v>
      </c>
      <c r="E12" s="0" t="n">
        <v>0</v>
      </c>
      <c r="F12" s="0" t="s">
        <v>91</v>
      </c>
      <c r="K12" s="0" t="s">
        <v>109</v>
      </c>
      <c r="L12" s="2" t="n">
        <v>46295</v>
      </c>
      <c r="M12" s="0" t="str">
        <f aca="false">IF(I12="","",(YEAR(L12)-I12)*12+MONTH(L12)-IF(J12="",1,J12))</f>
        <v/>
      </c>
      <c r="N12" s="0" t="str">
        <f aca="false">IF(M12="","",ROUND(M12/12,2))</f>
        <v/>
      </c>
      <c r="O12" s="3" t="s">
        <v>93</v>
      </c>
      <c r="P12" s="3" t="s">
        <v>94</v>
      </c>
      <c r="Q12" s="3" t="s">
        <v>154</v>
      </c>
      <c r="R12" s="0" t="n">
        <v>0</v>
      </c>
      <c r="S12" s="0" t="n">
        <v>0</v>
      </c>
      <c r="T12" s="0" t="n">
        <v>0</v>
      </c>
      <c r="U12" s="0" t="n">
        <v>0</v>
      </c>
      <c r="V12" s="0" t="n">
        <v>0</v>
      </c>
      <c r="W12" s="0" t="n">
        <v>1</v>
      </c>
      <c r="X12" s="3" t="s">
        <v>101</v>
      </c>
      <c r="Y12" s="0" t="n">
        <v>3</v>
      </c>
      <c r="Z12" s="0" t="n">
        <v>1</v>
      </c>
      <c r="AA12" s="0" t="n">
        <v>0</v>
      </c>
      <c r="AF12" s="3" t="n">
        <f aca="false">IF(SUMIF(Founders_Clean!$A$2:$A$159,A12,Founders_Clean!$C$2:$C$159)=0,"",SUMIF(Founders_Clean!$A$2:$A$159,A12,Founders_Clean!$C$2:$C$159))</f>
        <v>1</v>
      </c>
      <c r="AG12" s="3" t="n">
        <f aca="false">IF(AF12="","",SUMIF(Founders_Clean!$A$2:$A$159,A12,Founders_Clean!$D$2:$D$159))</f>
        <v>1</v>
      </c>
      <c r="AH12" s="3" t="n">
        <f aca="false">IF(AF12="","",SUMIF(Founders_Clean!$A$2:$A$159,A12,Founders_Clean!$E$2:$E$159))</f>
        <v>0</v>
      </c>
      <c r="AI12" s="3" t="n">
        <f aca="false">IF(AF12="","",IF((AG12+AH12)=0,"",AH12/(AG12+AH12)))</f>
        <v>0</v>
      </c>
      <c r="AJ12" s="3" t="n">
        <f aca="false">IF(AI12="","",IF(AH12&gt;0,1,0))</f>
        <v>0</v>
      </c>
      <c r="AK12" s="3" t="n">
        <f aca="false">IF(AI12="","",ROUND(1-(AI12^2+(1-AI12)^2),3))</f>
        <v>0</v>
      </c>
      <c r="AQ12" s="0" t="n">
        <v>1</v>
      </c>
      <c r="AR12" s="0" t="n">
        <v>17</v>
      </c>
      <c r="AS12" s="0" t="n">
        <v>17</v>
      </c>
      <c r="AT12" s="0" t="n">
        <v>5.5</v>
      </c>
      <c r="AU12" s="3" t="s">
        <v>155</v>
      </c>
      <c r="AV12" s="3" t="s">
        <v>122</v>
      </c>
      <c r="AX12" s="3" t="s">
        <v>101</v>
      </c>
      <c r="AY12" s="3" t="s">
        <v>102</v>
      </c>
      <c r="BA12" s="0" t="n">
        <v>0</v>
      </c>
      <c r="BB12" s="0" t="n">
        <v>0</v>
      </c>
      <c r="BC12" s="0" t="n">
        <v>0</v>
      </c>
      <c r="BF12" s="0" t="str">
        <f aca="false">IF(OR(I12="",BC12=""),"",IF(BC12=1,(BD12-I12)*12+IF(BE12="",7,BE12)-IF(J12="",1,J12),M12))</f>
        <v/>
      </c>
      <c r="BG12" s="0" t="n">
        <v>1</v>
      </c>
      <c r="BH12" s="0" t="n">
        <v>37100</v>
      </c>
      <c r="BI12" s="3" t="s">
        <v>103</v>
      </c>
      <c r="BJ12" s="0" t="n">
        <v>2020</v>
      </c>
      <c r="BK12" s="0" t="n">
        <v>1</v>
      </c>
      <c r="BL12" s="3" t="n">
        <f aca="false">COUNTIFS(Investments_Clean!$A$2:$A$150,A12,Investments_Clean!$F$2:$F$150,"Accepted")</f>
        <v>1</v>
      </c>
      <c r="BM12" s="3" t="n">
        <f aca="false">IF(BL12=0,"",IF((COUNTIFS(Investments_Clean!$A$2:$A$150,A12,Investments_Clean!$D$2:$D$150,"VC/PE",Investments_Clean!$F$2:$F$150,"Accepted"))&gt;0,1,0))</f>
        <v>0</v>
      </c>
      <c r="BN12" s="3" t="n">
        <f aca="false">IF(BL12=0,"",IF((COUNTIFS(Investments_Clean!$A$2:$A$150,A12,Investments_Clean!$D$2:$D$150,"Angel",Investments_Clean!$F$2:$F$150,"Accepted"))&gt;0,1,0))</f>
        <v>0</v>
      </c>
      <c r="BO12" s="3" t="n">
        <f aca="false">IF(BL12=0,"",IF((COUNTIFS(Investments_Clean!$A$2:$A$150,A12,Investments_Clean!$D$2:$D$150,"Accelerator",Investments_Clean!$F$2:$F$150,"Accepted"))&gt;0,1,0))</f>
        <v>1</v>
      </c>
      <c r="BP12" s="3" t="n">
        <f aca="false">IF(BL12=0,"",IF((COUNTIFS(Investments_Clean!$A$2:$A$150,A12,Investments_Clean!$D$2:$D$150,"Corporate",Investments_Clean!$F$2:$F$150,"Accepted"))&gt;0,1,0))</f>
        <v>0</v>
      </c>
      <c r="BQ12" s="3" t="n">
        <f aca="false">IF(BL12=0,"",IF((COUNTIFS(Investments_Clean!$A$2:$A$150,A12,Investments_Clean!$D$2:$D$150,"Government",Investments_Clean!$F$2:$F$150,"Accepted"))&gt;0,1,0))</f>
        <v>0</v>
      </c>
      <c r="BR12" s="3" t="n">
        <f aca="false">IF(BL12=0,"",IF((COUNTIFS(Investments_Clean!$A$2:$A$150,A12,Investments_Clean!$D$2:$D$150,"Grant/Philanthropic",Investments_Clean!$F$2:$F$150,"Accepted")+COUNTIFS(Investments_Clean!$A$2:$A$150,A12,Investments_Clean!$D$2:$D$150,"DFI/Impact",Investments_Clean!$F$2:$F$150,"Accepted"))&gt;0,1,0))</f>
        <v>0</v>
      </c>
      <c r="CA12" s="0" t="n">
        <v>0</v>
      </c>
      <c r="CC12" s="0" t="str">
        <f aca="false">IF(I12="","",IFERROR(IF(INDEX(Macro_Lookup!$B$2:$B$31,MATCH(I12,Macro_Lookup!$A$2:$A$31,0))="","",INDEX(Macro_Lookup!$B$2:$B$31,MATCH(I12,Macro_Lookup!$A$2:$A$31,0))),""))</f>
        <v/>
      </c>
      <c r="CD12" s="0" t="str">
        <f aca="false">IF(I12="","",IFERROR(IF(INDEX(Macro_Lookup!$C$2:$C$31,MATCH(I12,Macro_Lookup!$A$2:$A$31,0))="","",INDEX(Macro_Lookup!$C$2:$C$31,MATCH(I12,Macro_Lookup!$A$2:$A$31,0))),""))</f>
        <v/>
      </c>
      <c r="CE12" s="0" t="str">
        <f aca="false">IF(BJ12="","",IFERROR(IF(INDEX(Macro_Lookup!$B$2:$B$31,MATCH(BJ12,Macro_Lookup!$A$2:$A$31,0))="","",INDEX(Macro_Lookup!$B$2:$B$31,MATCH(BJ12,Macro_Lookup!$A$2:$A$31,0))),""))</f>
        <v/>
      </c>
      <c r="CF12" s="0" t="str">
        <f aca="false">IF(BJ12="","",IFERROR(IF(INDEX(Macro_Lookup!$C$2:$C$31,MATCH(BJ12,Macro_Lookup!$A$2:$A$31,0))="","",INDEX(Macro_Lookup!$C$2:$C$31,MATCH(BJ12,Macro_Lookup!$A$2:$A$31,0))),""))</f>
        <v/>
      </c>
      <c r="CG12" s="0" t="n">
        <v>4</v>
      </c>
      <c r="CH12" s="3" t="s">
        <v>104</v>
      </c>
      <c r="CI12" s="3" t="s">
        <v>105</v>
      </c>
    </row>
    <row r="13" customFormat="false" ht="14.25" hidden="false" customHeight="false" outlineLevel="0" collapsed="false">
      <c r="A13" s="0" t="s">
        <v>156</v>
      </c>
      <c r="B13" s="0" t="s">
        <v>157</v>
      </c>
      <c r="C13" s="0" t="s">
        <v>89</v>
      </c>
      <c r="D13" s="0" t="s">
        <v>90</v>
      </c>
      <c r="E13" s="0" t="n">
        <v>0</v>
      </c>
      <c r="F13" s="0" t="s">
        <v>91</v>
      </c>
      <c r="I13" s="0" t="n">
        <v>2022</v>
      </c>
      <c r="J13" s="0" t="n">
        <v>8</v>
      </c>
      <c r="K13" s="0" t="s">
        <v>133</v>
      </c>
      <c r="L13" s="2" t="n">
        <v>46295</v>
      </c>
      <c r="M13" s="3" t="n">
        <f aca="false">IF(I13="","",(YEAR(L13)-I13)*12+MONTH(L13)-IF(J13="",1,J13))</f>
        <v>49</v>
      </c>
      <c r="N13" s="3" t="n">
        <f aca="false">IF(M13="","",ROUND(M13/12,2))</f>
        <v>4.08</v>
      </c>
      <c r="O13" s="3" t="s">
        <v>158</v>
      </c>
      <c r="P13" s="3" t="s">
        <v>94</v>
      </c>
      <c r="Q13" s="3" t="s">
        <v>159</v>
      </c>
      <c r="R13" s="0" t="n">
        <v>0</v>
      </c>
      <c r="S13" s="0" t="n">
        <v>0</v>
      </c>
      <c r="T13" s="0" t="n">
        <v>1</v>
      </c>
      <c r="U13" s="0" t="n">
        <v>0</v>
      </c>
      <c r="V13" s="0" t="n">
        <v>0</v>
      </c>
      <c r="W13" s="0" t="n">
        <v>0</v>
      </c>
      <c r="X13" s="3" t="s">
        <v>160</v>
      </c>
      <c r="Y13" s="0" t="n">
        <v>3</v>
      </c>
      <c r="Z13" s="0" t="n">
        <v>1</v>
      </c>
      <c r="AA13" s="0" t="n">
        <v>0</v>
      </c>
      <c r="AC13" s="0" t="n">
        <v>0</v>
      </c>
      <c r="AD13" s="0" t="n">
        <v>0</v>
      </c>
      <c r="AE13" s="3" t="s">
        <v>97</v>
      </c>
      <c r="AF13" s="3" t="n">
        <f aca="false">IF(SUMIF(Founders_Clean!$A$2:$A$159,A13,Founders_Clean!$C$2:$C$159)=0,"",SUMIF(Founders_Clean!$A$2:$A$159,A13,Founders_Clean!$C$2:$C$159))</f>
        <v>3</v>
      </c>
      <c r="AG13" s="3" t="n">
        <f aca="false">IF(AF13="","",SUMIF(Founders_Clean!$A$2:$A$159,A13,Founders_Clean!$D$2:$D$159))</f>
        <v>3</v>
      </c>
      <c r="AH13" s="3" t="n">
        <f aca="false">IF(AF13="","",SUMIF(Founders_Clean!$A$2:$A$159,A13,Founders_Clean!$E$2:$E$159))</f>
        <v>0</v>
      </c>
      <c r="AI13" s="3" t="n">
        <f aca="false">IF(AF13="","",IF((AG13+AH13)=0,"",AH13/(AG13+AH13)))</f>
        <v>0</v>
      </c>
      <c r="AJ13" s="3" t="n">
        <f aca="false">IF(AI13="","",IF(AH13&gt;0,1,0))</f>
        <v>0</v>
      </c>
      <c r="AK13" s="3" t="n">
        <f aca="false">IF(AI13="","",ROUND(1-(AI13^2+(1-AI13)^2),3))</f>
        <v>0</v>
      </c>
      <c r="AM13" s="0" t="n">
        <v>3</v>
      </c>
      <c r="AN13" s="3" t="s">
        <v>120</v>
      </c>
      <c r="AO13" s="0" t="n">
        <v>0</v>
      </c>
      <c r="AP13" s="0" t="n">
        <v>0</v>
      </c>
      <c r="AQ13" s="0" t="n">
        <v>1</v>
      </c>
      <c r="AR13" s="0" t="n">
        <v>20</v>
      </c>
      <c r="AS13" s="0" t="n">
        <v>20</v>
      </c>
      <c r="AT13" s="0" t="n">
        <v>30.5</v>
      </c>
      <c r="AU13" s="3" t="s">
        <v>161</v>
      </c>
      <c r="AV13" s="3" t="s">
        <v>122</v>
      </c>
      <c r="AX13" s="3" t="s">
        <v>101</v>
      </c>
      <c r="AY13" s="3" t="s">
        <v>102</v>
      </c>
      <c r="BA13" s="0" t="n">
        <v>0</v>
      </c>
      <c r="BB13" s="0" t="n">
        <v>0</v>
      </c>
      <c r="BC13" s="0" t="n">
        <v>0</v>
      </c>
      <c r="BF13" s="3" t="n">
        <f aca="false">IF(OR(I13="",BC13=""),"",IF(BC13=1,(BD13-I13)*12+IF(BE13="",7,BE13)-IF(J13="",1,J13),M13))</f>
        <v>49</v>
      </c>
      <c r="BL13" s="3" t="n">
        <f aca="false">COUNTIFS(Investments_Clean!$A$2:$A$150,A13,Investments_Clean!$F$2:$F$150,"Accepted")</f>
        <v>0</v>
      </c>
      <c r="BM13" s="0" t="str">
        <f aca="false">IF(BL13=0,"",IF((COUNTIFS(Investments_Clean!$A$2:$A$150,A13,Investments_Clean!$D$2:$D$150,"VC/PE",Investments_Clean!$F$2:$F$150,"Accepted"))&gt;0,1,0))</f>
        <v/>
      </c>
      <c r="BN13" s="0" t="str">
        <f aca="false">IF(BL13=0,"",IF((COUNTIFS(Investments_Clean!$A$2:$A$150,A13,Investments_Clean!$D$2:$D$150,"Angel",Investments_Clean!$F$2:$F$150,"Accepted"))&gt;0,1,0))</f>
        <v/>
      </c>
      <c r="BO13" s="0" t="str">
        <f aca="false">IF(BL13=0,"",IF((COUNTIFS(Investments_Clean!$A$2:$A$150,A13,Investments_Clean!$D$2:$D$150,"Accelerator",Investments_Clean!$F$2:$F$150,"Accepted"))&gt;0,1,0))</f>
        <v/>
      </c>
      <c r="BP13" s="0" t="str">
        <f aca="false">IF(BL13=0,"",IF((COUNTIFS(Investments_Clean!$A$2:$A$150,A13,Investments_Clean!$D$2:$D$150,"Corporate",Investments_Clean!$F$2:$F$150,"Accepted"))&gt;0,1,0))</f>
        <v/>
      </c>
      <c r="BQ13" s="0" t="str">
        <f aca="false">IF(BL13=0,"",IF((COUNTIFS(Investments_Clean!$A$2:$A$150,A13,Investments_Clean!$D$2:$D$150,"Government",Investments_Clean!$F$2:$F$150,"Accepted"))&gt;0,1,0))</f>
        <v/>
      </c>
      <c r="BR13" s="0" t="str">
        <f aca="false">IF(BL13=0,"",IF((COUNTIFS(Investments_Clean!$A$2:$A$150,A13,Investments_Clean!$D$2:$D$150,"Grant/Philanthropic",Investments_Clean!$F$2:$F$150,"Accepted")+COUNTIFS(Investments_Clean!$A$2:$A$150,A13,Investments_Clean!$D$2:$D$150,"DFI/Impact",Investments_Clean!$F$2:$F$150,"Accepted"))&gt;0,1,0))</f>
        <v/>
      </c>
      <c r="CA13" s="0" t="n">
        <v>0</v>
      </c>
      <c r="CC13" s="0" t="str">
        <f aca="false">IF(I13="","",IFERROR(IF(INDEX(Macro_Lookup!$B$2:$B$31,MATCH(I13,Macro_Lookup!$A$2:$A$31,0))="","",INDEX(Macro_Lookup!$B$2:$B$31,MATCH(I13,Macro_Lookup!$A$2:$A$31,0))),""))</f>
        <v/>
      </c>
      <c r="CD13" s="0" t="str">
        <f aca="false">IF(I13="","",IFERROR(IF(INDEX(Macro_Lookup!$C$2:$C$31,MATCH(I13,Macro_Lookup!$A$2:$A$31,0))="","",INDEX(Macro_Lookup!$C$2:$C$31,MATCH(I13,Macro_Lookup!$A$2:$A$31,0))),""))</f>
        <v/>
      </c>
      <c r="CE13" s="0" t="str">
        <f aca="false">IF(BJ13="","",IFERROR(IF(INDEX(Macro_Lookup!$B$2:$B$31,MATCH(BJ13,Macro_Lookup!$A$2:$A$31,0))="","",INDEX(Macro_Lookup!$B$2:$B$31,MATCH(BJ13,Macro_Lookup!$A$2:$A$31,0))),""))</f>
        <v/>
      </c>
      <c r="CF13" s="0" t="str">
        <f aca="false">IF(BJ13="","",IFERROR(IF(INDEX(Macro_Lookup!$C$2:$C$31,MATCH(BJ13,Macro_Lookup!$A$2:$A$31,0))="","",INDEX(Macro_Lookup!$C$2:$C$31,MATCH(BJ13,Macro_Lookup!$A$2:$A$31,0))),""))</f>
        <v/>
      </c>
      <c r="CG13" s="0" t="n">
        <v>1</v>
      </c>
      <c r="CH13" s="3" t="s">
        <v>104</v>
      </c>
      <c r="CI13" s="3" t="s">
        <v>105</v>
      </c>
    </row>
    <row r="14" customFormat="false" ht="14.25" hidden="false" customHeight="false" outlineLevel="0" collapsed="false">
      <c r="A14" s="0" t="s">
        <v>162</v>
      </c>
      <c r="B14" s="0" t="s">
        <v>163</v>
      </c>
      <c r="C14" s="0" t="s">
        <v>89</v>
      </c>
      <c r="D14" s="0" t="s">
        <v>90</v>
      </c>
      <c r="E14" s="0" t="n">
        <v>0</v>
      </c>
      <c r="F14" s="0" t="s">
        <v>91</v>
      </c>
      <c r="I14" s="0" t="n">
        <v>2013</v>
      </c>
      <c r="J14" s="0" t="n">
        <v>9</v>
      </c>
      <c r="K14" s="0" t="s">
        <v>133</v>
      </c>
      <c r="L14" s="2" t="n">
        <v>46295</v>
      </c>
      <c r="M14" s="3" t="n">
        <f aca="false">IF(I14="","",(YEAR(L14)-I14)*12+MONTH(L14)-IF(J14="",1,J14))</f>
        <v>156</v>
      </c>
      <c r="N14" s="3" t="n">
        <f aca="false">IF(M14="","",ROUND(M14/12,2))</f>
        <v>13</v>
      </c>
      <c r="O14" s="3" t="s">
        <v>164</v>
      </c>
      <c r="P14" s="3" t="s">
        <v>165</v>
      </c>
      <c r="Q14" s="3" t="s">
        <v>166</v>
      </c>
      <c r="R14" s="0" t="n">
        <v>0</v>
      </c>
      <c r="S14" s="0" t="n">
        <v>0</v>
      </c>
      <c r="T14" s="0" t="n">
        <v>0</v>
      </c>
      <c r="U14" s="0" t="n">
        <v>0</v>
      </c>
      <c r="V14" s="0" t="n">
        <v>0</v>
      </c>
      <c r="W14" s="0" t="n">
        <v>0</v>
      </c>
      <c r="X14" s="3" t="s">
        <v>101</v>
      </c>
      <c r="Y14" s="0" t="n">
        <v>3</v>
      </c>
      <c r="Z14" s="0" t="n">
        <v>1</v>
      </c>
      <c r="AA14" s="0" t="n">
        <v>1</v>
      </c>
      <c r="AB14" s="3" t="s">
        <v>167</v>
      </c>
      <c r="AF14" s="3" t="n">
        <f aca="false">IF(SUMIF(Founders_Clean!$A$2:$A$159,A14,Founders_Clean!$C$2:$C$159)=0,"",SUMIF(Founders_Clean!$A$2:$A$159,A14,Founders_Clean!$C$2:$C$159))</f>
        <v>3</v>
      </c>
      <c r="AG14" s="3" t="n">
        <f aca="false">IF(AF14="","",SUMIF(Founders_Clean!$A$2:$A$159,A14,Founders_Clean!$D$2:$D$159))</f>
        <v>3</v>
      </c>
      <c r="AH14" s="3" t="n">
        <f aca="false">IF(AF14="","",SUMIF(Founders_Clean!$A$2:$A$159,A14,Founders_Clean!$E$2:$E$159))</f>
        <v>0</v>
      </c>
      <c r="AI14" s="3" t="n">
        <f aca="false">IF(AF14="","",IF((AG14+AH14)=0,"",AH14/(AG14+AH14)))</f>
        <v>0</v>
      </c>
      <c r="AJ14" s="3" t="n">
        <f aca="false">IF(AI14="","",IF(AH14&gt;0,1,0))</f>
        <v>0</v>
      </c>
      <c r="AK14" s="3" t="n">
        <f aca="false">IF(AI14="","",ROUND(1-(AI14^2+(1-AI14)^2),3))</f>
        <v>0</v>
      </c>
      <c r="AM14" s="0" t="n">
        <v>2</v>
      </c>
      <c r="AN14" s="3" t="s">
        <v>98</v>
      </c>
      <c r="AO14" s="0" t="n">
        <v>1</v>
      </c>
      <c r="AP14" s="0" t="n">
        <v>0.333333333333333</v>
      </c>
      <c r="AQ14" s="0" t="n">
        <v>1</v>
      </c>
      <c r="AR14" s="0" t="n">
        <v>10</v>
      </c>
      <c r="AS14" s="0" t="n">
        <v>10</v>
      </c>
      <c r="AT14" s="0" t="n">
        <v>1549.5</v>
      </c>
      <c r="AU14" s="3" t="s">
        <v>99</v>
      </c>
      <c r="AV14" s="3" t="s">
        <v>122</v>
      </c>
      <c r="AX14" s="3" t="s">
        <v>101</v>
      </c>
      <c r="AY14" s="3" t="s">
        <v>102</v>
      </c>
      <c r="BA14" s="0" t="n">
        <v>0</v>
      </c>
      <c r="BB14" s="0" t="n">
        <v>0</v>
      </c>
      <c r="BC14" s="0" t="n">
        <v>0</v>
      </c>
      <c r="BF14" s="3" t="n">
        <f aca="false">IF(OR(I14="",BC14=""),"",IF(BC14=1,(BD14-I14)*12+IF(BE14="",7,BE14)-IF(J14="",1,J14),M14))</f>
        <v>156</v>
      </c>
      <c r="BG14" s="0" t="n">
        <v>1</v>
      </c>
      <c r="BH14" s="0" t="n">
        <v>30000000</v>
      </c>
      <c r="BI14" s="3" t="s">
        <v>149</v>
      </c>
      <c r="BJ14" s="0" t="n">
        <v>2024</v>
      </c>
      <c r="BK14" s="0" t="n">
        <v>1</v>
      </c>
      <c r="BL14" s="3" t="n">
        <f aca="false">COUNTIFS(Investments_Clean!$A$2:$A$150,A14,Investments_Clean!$F$2:$F$150,"Accepted")</f>
        <v>2</v>
      </c>
      <c r="BM14" s="3" t="n">
        <f aca="false">IF(BL14=0,"",IF((COUNTIFS(Investments_Clean!$A$2:$A$150,A14,Investments_Clean!$D$2:$D$150,"VC/PE",Investments_Clean!$F$2:$F$150,"Accepted"))&gt;0,1,0))</f>
        <v>1</v>
      </c>
      <c r="BN14" s="3" t="n">
        <f aca="false">IF(BL14=0,"",IF((COUNTIFS(Investments_Clean!$A$2:$A$150,A14,Investments_Clean!$D$2:$D$150,"Angel",Investments_Clean!$F$2:$F$150,"Accepted"))&gt;0,1,0))</f>
        <v>0</v>
      </c>
      <c r="BO14" s="3" t="n">
        <f aca="false">IF(BL14=0,"",IF((COUNTIFS(Investments_Clean!$A$2:$A$150,A14,Investments_Clean!$D$2:$D$150,"Accelerator",Investments_Clean!$F$2:$F$150,"Accepted"))&gt;0,1,0))</f>
        <v>0</v>
      </c>
      <c r="BP14" s="3" t="n">
        <f aca="false">IF(BL14=0,"",IF((COUNTIFS(Investments_Clean!$A$2:$A$150,A14,Investments_Clean!$D$2:$D$150,"Corporate",Investments_Clean!$F$2:$F$150,"Accepted"))&gt;0,1,0))</f>
        <v>0</v>
      </c>
      <c r="BQ14" s="3" t="n">
        <f aca="false">IF(BL14=0,"",IF((COUNTIFS(Investments_Clean!$A$2:$A$150,A14,Investments_Clean!$D$2:$D$150,"Government",Investments_Clean!$F$2:$F$150,"Accepted"))&gt;0,1,0))</f>
        <v>0</v>
      </c>
      <c r="BR14" s="3" t="n">
        <f aca="false">IF(BL14=0,"",IF((COUNTIFS(Investments_Clean!$A$2:$A$150,A14,Investments_Clean!$D$2:$D$150,"Grant/Philanthropic",Investments_Clean!$F$2:$F$150,"Accepted")+COUNTIFS(Investments_Clean!$A$2:$A$150,A14,Investments_Clean!$D$2:$D$150,"DFI/Impact",Investments_Clean!$F$2:$F$150,"Accepted"))&gt;0,1,0))</f>
        <v>0</v>
      </c>
      <c r="CA14" s="0" t="n">
        <v>0</v>
      </c>
      <c r="CC14" s="0" t="str">
        <f aca="false">IF(I14="","",IFERROR(IF(INDEX(Macro_Lookup!$B$2:$B$31,MATCH(I14,Macro_Lookup!$A$2:$A$31,0))="","",INDEX(Macro_Lookup!$B$2:$B$31,MATCH(I14,Macro_Lookup!$A$2:$A$31,0))),""))</f>
        <v/>
      </c>
      <c r="CD14" s="0" t="str">
        <f aca="false">IF(I14="","",IFERROR(IF(INDEX(Macro_Lookup!$C$2:$C$31,MATCH(I14,Macro_Lookup!$A$2:$A$31,0))="","",INDEX(Macro_Lookup!$C$2:$C$31,MATCH(I14,Macro_Lookup!$A$2:$A$31,0))),""))</f>
        <v/>
      </c>
      <c r="CE14" s="0" t="str">
        <f aca="false">IF(BJ14="","",IFERROR(IF(INDEX(Macro_Lookup!$B$2:$B$31,MATCH(BJ14,Macro_Lookup!$A$2:$A$31,0))="","",INDEX(Macro_Lookup!$B$2:$B$31,MATCH(BJ14,Macro_Lookup!$A$2:$A$31,0))),""))</f>
        <v/>
      </c>
      <c r="CF14" s="0" t="str">
        <f aca="false">IF(BJ14="","",IFERROR(IF(INDEX(Macro_Lookup!$C$2:$C$31,MATCH(BJ14,Macro_Lookup!$A$2:$A$31,0))="","",INDEX(Macro_Lookup!$C$2:$C$31,MATCH(BJ14,Macro_Lookup!$A$2:$A$31,0))),""))</f>
        <v/>
      </c>
      <c r="CG14" s="0" t="n">
        <v>2</v>
      </c>
      <c r="CH14" s="3" t="s">
        <v>104</v>
      </c>
      <c r="CI14" s="3" t="s">
        <v>105</v>
      </c>
    </row>
    <row r="15" customFormat="false" ht="14.25" hidden="false" customHeight="false" outlineLevel="0" collapsed="false">
      <c r="A15" s="0" t="s">
        <v>168</v>
      </c>
      <c r="B15" s="0" t="s">
        <v>169</v>
      </c>
      <c r="C15" s="0" t="s">
        <v>89</v>
      </c>
      <c r="D15" s="0" t="s">
        <v>90</v>
      </c>
      <c r="E15" s="0" t="n">
        <v>0</v>
      </c>
      <c r="F15" s="0" t="s">
        <v>170</v>
      </c>
      <c r="I15" s="0" t="n">
        <v>2012</v>
      </c>
      <c r="K15" s="0" t="s">
        <v>92</v>
      </c>
      <c r="L15" s="2" t="n">
        <v>46295</v>
      </c>
      <c r="M15" s="3" t="n">
        <f aca="false">IF(I15="","",(YEAR(L15)-I15)*12+MONTH(L15)-IF(J15="",1,J15))</f>
        <v>176</v>
      </c>
      <c r="N15" s="3" t="n">
        <f aca="false">IF(M15="","",ROUND(M15/12,2))</f>
        <v>14.67</v>
      </c>
      <c r="O15" s="3" t="s">
        <v>171</v>
      </c>
      <c r="P15" s="3" t="s">
        <v>165</v>
      </c>
      <c r="Q15" s="3" t="s">
        <v>172</v>
      </c>
      <c r="R15" s="0" t="n">
        <v>0</v>
      </c>
      <c r="S15" s="0" t="n">
        <v>0</v>
      </c>
      <c r="T15" s="0" t="n">
        <v>1</v>
      </c>
      <c r="U15" s="0" t="n">
        <v>0</v>
      </c>
      <c r="V15" s="0" t="n">
        <v>0</v>
      </c>
      <c r="W15" s="0" t="n">
        <v>0</v>
      </c>
      <c r="X15" s="3" t="s">
        <v>101</v>
      </c>
      <c r="Y15" s="0" t="n">
        <v>3</v>
      </c>
      <c r="Z15" s="0" t="n">
        <v>1</v>
      </c>
      <c r="AA15" s="0" t="n">
        <v>0</v>
      </c>
      <c r="AF15" s="3" t="n">
        <f aca="false">IF(SUMIF(Founders_Clean!$A$2:$A$159,A15,Founders_Clean!$C$2:$C$159)=0,"",SUMIF(Founders_Clean!$A$2:$A$159,A15,Founders_Clean!$C$2:$C$159))</f>
        <v>2</v>
      </c>
      <c r="AG15" s="3" t="n">
        <f aca="false">IF(AF15="","",SUMIF(Founders_Clean!$A$2:$A$159,A15,Founders_Clean!$D$2:$D$159))</f>
        <v>0</v>
      </c>
      <c r="AH15" s="3" t="n">
        <f aca="false">IF(AF15="","",SUMIF(Founders_Clean!$A$2:$A$159,A15,Founders_Clean!$E$2:$E$159))</f>
        <v>0</v>
      </c>
      <c r="AI15" s="0" t="str">
        <f aca="false">IF(AF15="","",IF((AG15+AH15)=0,"",AH15/(AG15+AH15)))</f>
        <v/>
      </c>
      <c r="AJ15" s="0" t="str">
        <f aca="false">IF(AI15="","",IF(AH15&gt;0,1,0))</f>
        <v/>
      </c>
      <c r="AK15" s="0" t="str">
        <f aca="false">IF(AI15="","",ROUND(1-(AI15^2+(1-AI15)^2),3))</f>
        <v/>
      </c>
      <c r="AT15" s="0" t="n">
        <v>1000</v>
      </c>
      <c r="AU15" s="3" t="s">
        <v>99</v>
      </c>
      <c r="AV15" s="3" t="s">
        <v>100</v>
      </c>
      <c r="AX15" s="3" t="s">
        <v>101</v>
      </c>
      <c r="AY15" s="3" t="s">
        <v>102</v>
      </c>
      <c r="BA15" s="0" t="n">
        <v>1</v>
      </c>
      <c r="BB15" s="0" t="n">
        <v>0</v>
      </c>
      <c r="BC15" s="0" t="n">
        <v>0</v>
      </c>
      <c r="BF15" s="3" t="n">
        <f aca="false">IF(OR(I15="",BC15=""),"",IF(BC15=1,(BD15-I15)*12+IF(BE15="",7,BE15)-IF(J15="",1,J15),M15))</f>
        <v>176</v>
      </c>
      <c r="BK15" s="0" t="n">
        <v>1</v>
      </c>
      <c r="BL15" s="3" t="n">
        <f aca="false">COUNTIFS(Investments_Clean!$A$2:$A$150,A15,Investments_Clean!$F$2:$F$150,"Accepted")</f>
        <v>1</v>
      </c>
      <c r="BM15" s="3" t="n">
        <f aca="false">IF(BL15=0,"",IF((COUNTIFS(Investments_Clean!$A$2:$A$150,A15,Investments_Clean!$D$2:$D$150,"VC/PE",Investments_Clean!$F$2:$F$150,"Accepted"))&gt;0,1,0))</f>
        <v>0</v>
      </c>
      <c r="BN15" s="3" t="n">
        <f aca="false">IF(BL15=0,"",IF((COUNTIFS(Investments_Clean!$A$2:$A$150,A15,Investments_Clean!$D$2:$D$150,"Angel",Investments_Clean!$F$2:$F$150,"Accepted"))&gt;0,1,0))</f>
        <v>0</v>
      </c>
      <c r="BO15" s="3" t="n">
        <f aca="false">IF(BL15=0,"",IF((COUNTIFS(Investments_Clean!$A$2:$A$150,A15,Investments_Clean!$D$2:$D$150,"Accelerator",Investments_Clean!$F$2:$F$150,"Accepted"))&gt;0,1,0))</f>
        <v>0</v>
      </c>
      <c r="BP15" s="3" t="n">
        <f aca="false">IF(BL15=0,"",IF((COUNTIFS(Investments_Clean!$A$2:$A$150,A15,Investments_Clean!$D$2:$D$150,"Corporate",Investments_Clean!$F$2:$F$150,"Accepted"))&gt;0,1,0))</f>
        <v>1</v>
      </c>
      <c r="BQ15" s="3" t="n">
        <f aca="false">IF(BL15=0,"",IF((COUNTIFS(Investments_Clean!$A$2:$A$150,A15,Investments_Clean!$D$2:$D$150,"Government",Investments_Clean!$F$2:$F$150,"Accepted"))&gt;0,1,0))</f>
        <v>0</v>
      </c>
      <c r="BR15" s="3" t="n">
        <f aca="false">IF(BL15=0,"",IF((COUNTIFS(Investments_Clean!$A$2:$A$150,A15,Investments_Clean!$D$2:$D$150,"Grant/Philanthropic",Investments_Clean!$F$2:$F$150,"Accepted")+COUNTIFS(Investments_Clean!$A$2:$A$150,A15,Investments_Clean!$D$2:$D$150,"DFI/Impact",Investments_Clean!$F$2:$F$150,"Accepted"))&gt;0,1,0))</f>
        <v>0</v>
      </c>
      <c r="CA15" s="0" t="n">
        <v>0</v>
      </c>
      <c r="CC15" s="0" t="str">
        <f aca="false">IF(I15="","",IFERROR(IF(INDEX(Macro_Lookup!$B$2:$B$31,MATCH(I15,Macro_Lookup!$A$2:$A$31,0))="","",INDEX(Macro_Lookup!$B$2:$B$31,MATCH(I15,Macro_Lookup!$A$2:$A$31,0))),""))</f>
        <v/>
      </c>
      <c r="CD15" s="0" t="str">
        <f aca="false">IF(I15="","",IFERROR(IF(INDEX(Macro_Lookup!$C$2:$C$31,MATCH(I15,Macro_Lookup!$A$2:$A$31,0))="","",INDEX(Macro_Lookup!$C$2:$C$31,MATCH(I15,Macro_Lookup!$A$2:$A$31,0))),""))</f>
        <v/>
      </c>
      <c r="CE15" s="0" t="str">
        <f aca="false">IF(BJ15="","",IFERROR(IF(INDEX(Macro_Lookup!$B$2:$B$31,MATCH(BJ15,Macro_Lookup!$A$2:$A$31,0))="","",INDEX(Macro_Lookup!$B$2:$B$31,MATCH(BJ15,Macro_Lookup!$A$2:$A$31,0))),""))</f>
        <v/>
      </c>
      <c r="CF15" s="0" t="str">
        <f aca="false">IF(BJ15="","",IFERROR(IF(INDEX(Macro_Lookup!$C$2:$C$31,MATCH(BJ15,Macro_Lookup!$A$2:$A$31,0))="","",INDEX(Macro_Lookup!$C$2:$C$31,MATCH(BJ15,Macro_Lookup!$A$2:$A$31,0))),""))</f>
        <v/>
      </c>
      <c r="CG15" s="0" t="n">
        <v>6</v>
      </c>
      <c r="CH15" s="3" t="s">
        <v>104</v>
      </c>
      <c r="CI15" s="3" t="s">
        <v>105</v>
      </c>
    </row>
    <row r="16" customFormat="false" ht="14.25" hidden="false" customHeight="false" outlineLevel="0" collapsed="false">
      <c r="A16" s="0" t="s">
        <v>173</v>
      </c>
      <c r="B16" s="0" t="s">
        <v>174</v>
      </c>
      <c r="C16" s="0" t="s">
        <v>89</v>
      </c>
      <c r="D16" s="0" t="s">
        <v>90</v>
      </c>
      <c r="E16" s="0" t="n">
        <v>0</v>
      </c>
      <c r="F16" s="0" t="s">
        <v>91</v>
      </c>
      <c r="I16" s="0" t="n">
        <v>2011</v>
      </c>
      <c r="K16" s="0" t="s">
        <v>92</v>
      </c>
      <c r="L16" s="2" t="n">
        <v>46295</v>
      </c>
      <c r="M16" s="3" t="n">
        <f aca="false">IF(I16="","",(YEAR(L16)-I16)*12+MONTH(L16)-IF(J16="",1,J16))</f>
        <v>188</v>
      </c>
      <c r="N16" s="3" t="n">
        <f aca="false">IF(M16="","",ROUND(M16/12,2))</f>
        <v>15.67</v>
      </c>
      <c r="O16" s="3" t="s">
        <v>171</v>
      </c>
      <c r="P16" s="3" t="s">
        <v>165</v>
      </c>
      <c r="Q16" s="3" t="s">
        <v>175</v>
      </c>
      <c r="R16" s="0" t="n">
        <v>0</v>
      </c>
      <c r="S16" s="0" t="n">
        <v>1</v>
      </c>
      <c r="T16" s="0" t="n">
        <v>1</v>
      </c>
      <c r="U16" s="0" t="n">
        <v>0</v>
      </c>
      <c r="V16" s="0" t="n">
        <v>0</v>
      </c>
      <c r="W16" s="0" t="n">
        <v>0</v>
      </c>
      <c r="X16" s="3" t="s">
        <v>101</v>
      </c>
      <c r="Y16" s="0" t="n">
        <v>3</v>
      </c>
      <c r="Z16" s="0" t="n">
        <v>1</v>
      </c>
      <c r="AF16" s="3" t="n">
        <f aca="false">IF(SUMIF(Founders_Clean!$A$2:$A$159,A16,Founders_Clean!$C$2:$C$159)=0,"",SUMIF(Founders_Clean!$A$2:$A$159,A16,Founders_Clean!$C$2:$C$159))</f>
        <v>1</v>
      </c>
      <c r="AG16" s="3" t="n">
        <f aca="false">IF(AF16="","",SUMIF(Founders_Clean!$A$2:$A$159,A16,Founders_Clean!$D$2:$D$159))</f>
        <v>1</v>
      </c>
      <c r="AH16" s="3" t="n">
        <f aca="false">IF(AF16="","",SUMIF(Founders_Clean!$A$2:$A$159,A16,Founders_Clean!$E$2:$E$159))</f>
        <v>0</v>
      </c>
      <c r="AI16" s="3" t="n">
        <f aca="false">IF(AF16="","",IF((AG16+AH16)=0,"",AH16/(AG16+AH16)))</f>
        <v>0</v>
      </c>
      <c r="AJ16" s="3" t="n">
        <f aca="false">IF(AI16="","",IF(AH16&gt;0,1,0))</f>
        <v>0</v>
      </c>
      <c r="AK16" s="3" t="n">
        <f aca="false">IF(AI16="","",ROUND(1-(AI16^2+(1-AI16)^2),3))</f>
        <v>0</v>
      </c>
      <c r="AM16" s="0" t="n">
        <v>2</v>
      </c>
      <c r="AN16" s="3" t="s">
        <v>98</v>
      </c>
      <c r="AO16" s="0" t="n">
        <v>0</v>
      </c>
      <c r="AP16" s="0" t="n">
        <v>0</v>
      </c>
      <c r="AQ16" s="0" t="n">
        <v>1</v>
      </c>
      <c r="AR16" s="0" t="n">
        <v>25</v>
      </c>
      <c r="AS16" s="0" t="n">
        <v>25</v>
      </c>
      <c r="AT16" s="0" t="n">
        <v>75</v>
      </c>
      <c r="AU16" s="3" t="s">
        <v>130</v>
      </c>
      <c r="AV16" s="3" t="s">
        <v>100</v>
      </c>
      <c r="AX16" s="3" t="s">
        <v>101</v>
      </c>
      <c r="AY16" s="3" t="s">
        <v>102</v>
      </c>
      <c r="BA16" s="0" t="n">
        <v>0</v>
      </c>
      <c r="BB16" s="0" t="n">
        <v>0</v>
      </c>
      <c r="BC16" s="0" t="n">
        <v>0</v>
      </c>
      <c r="BF16" s="3" t="n">
        <f aca="false">IF(OR(I16="",BC16=""),"",IF(BC16=1,(BD16-I16)*12+IF(BE16="",7,BE16)-IF(J16="",1,J16),M16))</f>
        <v>188</v>
      </c>
      <c r="BL16" s="3" t="n">
        <f aca="false">COUNTIFS(Investments_Clean!$A$2:$A$150,A16,Investments_Clean!$F$2:$F$150,"Accepted")</f>
        <v>0</v>
      </c>
      <c r="BM16" s="0" t="str">
        <f aca="false">IF(BL16=0,"",IF((COUNTIFS(Investments_Clean!$A$2:$A$150,A16,Investments_Clean!$D$2:$D$150,"VC/PE",Investments_Clean!$F$2:$F$150,"Accepted"))&gt;0,1,0))</f>
        <v/>
      </c>
      <c r="BN16" s="0" t="str">
        <f aca="false">IF(BL16=0,"",IF((COUNTIFS(Investments_Clean!$A$2:$A$150,A16,Investments_Clean!$D$2:$D$150,"Angel",Investments_Clean!$F$2:$F$150,"Accepted"))&gt;0,1,0))</f>
        <v/>
      </c>
      <c r="BO16" s="0" t="str">
        <f aca="false">IF(BL16=0,"",IF((COUNTIFS(Investments_Clean!$A$2:$A$150,A16,Investments_Clean!$D$2:$D$150,"Accelerator",Investments_Clean!$F$2:$F$150,"Accepted"))&gt;0,1,0))</f>
        <v/>
      </c>
      <c r="BP16" s="0" t="str">
        <f aca="false">IF(BL16=0,"",IF((COUNTIFS(Investments_Clean!$A$2:$A$150,A16,Investments_Clean!$D$2:$D$150,"Corporate",Investments_Clean!$F$2:$F$150,"Accepted"))&gt;0,1,0))</f>
        <v/>
      </c>
      <c r="BQ16" s="0" t="str">
        <f aca="false">IF(BL16=0,"",IF((COUNTIFS(Investments_Clean!$A$2:$A$150,A16,Investments_Clean!$D$2:$D$150,"Government",Investments_Clean!$F$2:$F$150,"Accepted"))&gt;0,1,0))</f>
        <v/>
      </c>
      <c r="BR16" s="0" t="str">
        <f aca="false">IF(BL16=0,"",IF((COUNTIFS(Investments_Clean!$A$2:$A$150,A16,Investments_Clean!$D$2:$D$150,"Grant/Philanthropic",Investments_Clean!$F$2:$F$150,"Accepted")+COUNTIFS(Investments_Clean!$A$2:$A$150,A16,Investments_Clean!$D$2:$D$150,"DFI/Impact",Investments_Clean!$F$2:$F$150,"Accepted"))&gt;0,1,0))</f>
        <v/>
      </c>
      <c r="CA16" s="0" t="n">
        <v>0</v>
      </c>
      <c r="CC16" s="0" t="str">
        <f aca="false">IF(I16="","",IFERROR(IF(INDEX(Macro_Lookup!$B$2:$B$31,MATCH(I16,Macro_Lookup!$A$2:$A$31,0))="","",INDEX(Macro_Lookup!$B$2:$B$31,MATCH(I16,Macro_Lookup!$A$2:$A$31,0))),""))</f>
        <v/>
      </c>
      <c r="CD16" s="0" t="str">
        <f aca="false">IF(I16="","",IFERROR(IF(INDEX(Macro_Lookup!$C$2:$C$31,MATCH(I16,Macro_Lookup!$A$2:$A$31,0))="","",INDEX(Macro_Lookup!$C$2:$C$31,MATCH(I16,Macro_Lookup!$A$2:$A$31,0))),""))</f>
        <v/>
      </c>
      <c r="CE16" s="0" t="str">
        <f aca="false">IF(BJ16="","",IFERROR(IF(INDEX(Macro_Lookup!$B$2:$B$31,MATCH(BJ16,Macro_Lookup!$A$2:$A$31,0))="","",INDEX(Macro_Lookup!$B$2:$B$31,MATCH(BJ16,Macro_Lookup!$A$2:$A$31,0))),""))</f>
        <v/>
      </c>
      <c r="CF16" s="0" t="str">
        <f aca="false">IF(BJ16="","",IFERROR(IF(INDEX(Macro_Lookup!$C$2:$C$31,MATCH(BJ16,Macro_Lookup!$A$2:$A$31,0))="","",INDEX(Macro_Lookup!$C$2:$C$31,MATCH(BJ16,Macro_Lookup!$A$2:$A$31,0))),""))</f>
        <v/>
      </c>
      <c r="CG16" s="0" t="n">
        <v>3</v>
      </c>
      <c r="CH16" s="3" t="s">
        <v>104</v>
      </c>
      <c r="CI16" s="3" t="s">
        <v>105</v>
      </c>
    </row>
    <row r="17" customFormat="false" ht="14.25" hidden="false" customHeight="false" outlineLevel="0" collapsed="false">
      <c r="A17" s="0" t="s">
        <v>176</v>
      </c>
      <c r="B17" s="0" t="s">
        <v>177</v>
      </c>
      <c r="C17" s="0" t="s">
        <v>89</v>
      </c>
      <c r="D17" s="0" t="s">
        <v>90</v>
      </c>
      <c r="E17" s="0" t="n">
        <v>0</v>
      </c>
      <c r="F17" s="0" t="s">
        <v>91</v>
      </c>
      <c r="I17" s="0" t="n">
        <v>2012</v>
      </c>
      <c r="K17" s="0" t="s">
        <v>92</v>
      </c>
      <c r="L17" s="2" t="n">
        <v>46295</v>
      </c>
      <c r="M17" s="3" t="n">
        <f aca="false">IF(I17="","",(YEAR(L17)-I17)*12+MONTH(L17)-IF(J17="",1,J17))</f>
        <v>176</v>
      </c>
      <c r="N17" s="3" t="n">
        <f aca="false">IF(M17="","",ROUND(M17/12,2))</f>
        <v>14.67</v>
      </c>
      <c r="O17" s="3" t="s">
        <v>178</v>
      </c>
      <c r="P17" s="3" t="s">
        <v>165</v>
      </c>
      <c r="Q17" s="3" t="s">
        <v>179</v>
      </c>
      <c r="R17" s="0" t="n">
        <v>0</v>
      </c>
      <c r="S17" s="0" t="n">
        <v>0</v>
      </c>
      <c r="T17" s="0" t="n">
        <v>0</v>
      </c>
      <c r="U17" s="0" t="n">
        <v>0</v>
      </c>
      <c r="V17" s="0" t="n">
        <v>0</v>
      </c>
      <c r="W17" s="0" t="n">
        <v>0</v>
      </c>
      <c r="X17" s="3" t="s">
        <v>101</v>
      </c>
      <c r="Y17" s="0" t="n">
        <v>3</v>
      </c>
      <c r="Z17" s="0" t="n">
        <v>1</v>
      </c>
      <c r="AA17" s="0" t="n">
        <v>0</v>
      </c>
      <c r="AF17" s="3" t="n">
        <f aca="false">IF(SUMIF(Founders_Clean!$A$2:$A$159,A17,Founders_Clean!$C$2:$C$159)=0,"",SUMIF(Founders_Clean!$A$2:$A$159,A17,Founders_Clean!$C$2:$C$159))</f>
        <v>5</v>
      </c>
      <c r="AG17" s="3" t="n">
        <f aca="false">IF(AF17="","",SUMIF(Founders_Clean!$A$2:$A$159,A17,Founders_Clean!$D$2:$D$159))</f>
        <v>5</v>
      </c>
      <c r="AH17" s="3" t="n">
        <f aca="false">IF(AF17="","",SUMIF(Founders_Clean!$A$2:$A$159,A17,Founders_Clean!$E$2:$E$159))</f>
        <v>0</v>
      </c>
      <c r="AI17" s="3" t="n">
        <f aca="false">IF(AF17="","",IF((AG17+AH17)=0,"",AH17/(AG17+AH17)))</f>
        <v>0</v>
      </c>
      <c r="AJ17" s="3" t="n">
        <f aca="false">IF(AI17="","",IF(AH17&gt;0,1,0))</f>
        <v>0</v>
      </c>
      <c r="AK17" s="3" t="n">
        <f aca="false">IF(AI17="","",ROUND(1-(AI17^2+(1-AI17)^2),3))</f>
        <v>0</v>
      </c>
      <c r="AM17" s="0" t="n">
        <v>2</v>
      </c>
      <c r="AN17" s="3" t="s">
        <v>98</v>
      </c>
      <c r="AO17" s="0" t="n">
        <v>1</v>
      </c>
      <c r="AP17" s="0" t="n">
        <v>1</v>
      </c>
      <c r="AQ17" s="0" t="n">
        <v>1</v>
      </c>
      <c r="AR17" s="0" t="n">
        <v>10</v>
      </c>
      <c r="AS17" s="0" t="n">
        <v>10</v>
      </c>
      <c r="AT17" s="0" t="n">
        <v>150</v>
      </c>
      <c r="AU17" s="3" t="s">
        <v>130</v>
      </c>
      <c r="AV17" s="3" t="s">
        <v>122</v>
      </c>
      <c r="AX17" s="3" t="s">
        <v>101</v>
      </c>
      <c r="AY17" s="3" t="s">
        <v>102</v>
      </c>
      <c r="BA17" s="0" t="n">
        <v>0</v>
      </c>
      <c r="BB17" s="0" t="n">
        <v>0</v>
      </c>
      <c r="BC17" s="0" t="n">
        <v>0</v>
      </c>
      <c r="BF17" s="3" t="n">
        <f aca="false">IF(OR(I17="",BC17=""),"",IF(BC17=1,(BD17-I17)*12+IF(BE17="",7,BE17)-IF(J17="",1,J17),M17))</f>
        <v>176</v>
      </c>
      <c r="BG17" s="0" t="n">
        <v>0</v>
      </c>
      <c r="BH17" s="0" t="n">
        <v>0</v>
      </c>
      <c r="BI17" s="3" t="s">
        <v>116</v>
      </c>
      <c r="BK17" s="0" t="n">
        <v>0</v>
      </c>
      <c r="BL17" s="3" t="n">
        <f aca="false">COUNTIFS(Investments_Clean!$A$2:$A$150,A17,Investments_Clean!$F$2:$F$150,"Accepted")</f>
        <v>0</v>
      </c>
      <c r="BM17" s="0" t="str">
        <f aca="false">IF(BL17=0,"",IF((COUNTIFS(Investments_Clean!$A$2:$A$150,A17,Investments_Clean!$D$2:$D$150,"VC/PE",Investments_Clean!$F$2:$F$150,"Accepted"))&gt;0,1,0))</f>
        <v/>
      </c>
      <c r="BN17" s="0" t="str">
        <f aca="false">IF(BL17=0,"",IF((COUNTIFS(Investments_Clean!$A$2:$A$150,A17,Investments_Clean!$D$2:$D$150,"Angel",Investments_Clean!$F$2:$F$150,"Accepted"))&gt;0,1,0))</f>
        <v/>
      </c>
      <c r="BO17" s="0" t="str">
        <f aca="false">IF(BL17=0,"",IF((COUNTIFS(Investments_Clean!$A$2:$A$150,A17,Investments_Clean!$D$2:$D$150,"Accelerator",Investments_Clean!$F$2:$F$150,"Accepted"))&gt;0,1,0))</f>
        <v/>
      </c>
      <c r="BP17" s="0" t="str">
        <f aca="false">IF(BL17=0,"",IF((COUNTIFS(Investments_Clean!$A$2:$A$150,A17,Investments_Clean!$D$2:$D$150,"Corporate",Investments_Clean!$F$2:$F$150,"Accepted"))&gt;0,1,0))</f>
        <v/>
      </c>
      <c r="BQ17" s="0" t="str">
        <f aca="false">IF(BL17=0,"",IF((COUNTIFS(Investments_Clean!$A$2:$A$150,A17,Investments_Clean!$D$2:$D$150,"Government",Investments_Clean!$F$2:$F$150,"Accepted"))&gt;0,1,0))</f>
        <v/>
      </c>
      <c r="BR17" s="0" t="str">
        <f aca="false">IF(BL17=0,"",IF((COUNTIFS(Investments_Clean!$A$2:$A$150,A17,Investments_Clean!$D$2:$D$150,"Grant/Philanthropic",Investments_Clean!$F$2:$F$150,"Accepted")+COUNTIFS(Investments_Clean!$A$2:$A$150,A17,Investments_Clean!$D$2:$D$150,"DFI/Impact",Investments_Clean!$F$2:$F$150,"Accepted"))&gt;0,1,0))</f>
        <v/>
      </c>
      <c r="CA17" s="0" t="n">
        <v>0</v>
      </c>
      <c r="CC17" s="0" t="str">
        <f aca="false">IF(I17="","",IFERROR(IF(INDEX(Macro_Lookup!$B$2:$B$31,MATCH(I17,Macro_Lookup!$A$2:$A$31,0))="","",INDEX(Macro_Lookup!$B$2:$B$31,MATCH(I17,Macro_Lookup!$A$2:$A$31,0))),""))</f>
        <v/>
      </c>
      <c r="CD17" s="0" t="str">
        <f aca="false">IF(I17="","",IFERROR(IF(INDEX(Macro_Lookup!$C$2:$C$31,MATCH(I17,Macro_Lookup!$A$2:$A$31,0))="","",INDEX(Macro_Lookup!$C$2:$C$31,MATCH(I17,Macro_Lookup!$A$2:$A$31,0))),""))</f>
        <v/>
      </c>
      <c r="CE17" s="0" t="str">
        <f aca="false">IF(BJ17="","",IFERROR(IF(INDEX(Macro_Lookup!$B$2:$B$31,MATCH(BJ17,Macro_Lookup!$A$2:$A$31,0))="","",INDEX(Macro_Lookup!$B$2:$B$31,MATCH(BJ17,Macro_Lookup!$A$2:$A$31,0))),""))</f>
        <v/>
      </c>
      <c r="CF17" s="0" t="str">
        <f aca="false">IF(BJ17="","",IFERROR(IF(INDEX(Macro_Lookup!$C$2:$C$31,MATCH(BJ17,Macro_Lookup!$A$2:$A$31,0))="","",INDEX(Macro_Lookup!$C$2:$C$31,MATCH(BJ17,Macro_Lookup!$A$2:$A$31,0))),""))</f>
        <v/>
      </c>
      <c r="CG17" s="0" t="n">
        <v>2</v>
      </c>
      <c r="CH17" s="3" t="s">
        <v>104</v>
      </c>
      <c r="CI17" s="3" t="s">
        <v>105</v>
      </c>
    </row>
    <row r="18" customFormat="false" ht="14.25" hidden="false" customHeight="false" outlineLevel="0" collapsed="false">
      <c r="A18" s="0" t="s">
        <v>180</v>
      </c>
      <c r="B18" s="0" t="s">
        <v>181</v>
      </c>
      <c r="C18" s="0" t="s">
        <v>89</v>
      </c>
      <c r="D18" s="0" t="s">
        <v>90</v>
      </c>
      <c r="E18" s="0" t="n">
        <v>0</v>
      </c>
      <c r="F18" s="0" t="s">
        <v>91</v>
      </c>
      <c r="I18" s="0" t="n">
        <v>2012</v>
      </c>
      <c r="K18" s="0" t="s">
        <v>92</v>
      </c>
      <c r="L18" s="2" t="n">
        <v>46295</v>
      </c>
      <c r="M18" s="3" t="n">
        <f aca="false">IF(I18="","",(YEAR(L18)-I18)*12+MONTH(L18)-IF(J18="",1,J18))</f>
        <v>176</v>
      </c>
      <c r="N18" s="3" t="n">
        <f aca="false">IF(M18="","",ROUND(M18/12,2))</f>
        <v>14.67</v>
      </c>
      <c r="O18" s="3" t="s">
        <v>182</v>
      </c>
      <c r="P18" s="3" t="s">
        <v>165</v>
      </c>
      <c r="Q18" s="3" t="s">
        <v>183</v>
      </c>
      <c r="R18" s="0" t="n">
        <v>0</v>
      </c>
      <c r="S18" s="0" t="n">
        <v>0</v>
      </c>
      <c r="T18" s="0" t="n">
        <v>0</v>
      </c>
      <c r="U18" s="0" t="n">
        <v>0</v>
      </c>
      <c r="V18" s="0" t="n">
        <v>0</v>
      </c>
      <c r="W18" s="0" t="n">
        <v>0</v>
      </c>
      <c r="X18" s="3" t="s">
        <v>138</v>
      </c>
      <c r="Y18" s="0" t="n">
        <v>3</v>
      </c>
      <c r="Z18" s="0" t="n">
        <v>1</v>
      </c>
      <c r="AA18" s="0" t="n">
        <v>0</v>
      </c>
      <c r="AF18" s="3" t="n">
        <f aca="false">IF(SUMIF(Founders_Clean!$A$2:$A$159,A18,Founders_Clean!$C$2:$C$159)=0,"",SUMIF(Founders_Clean!$A$2:$A$159,A18,Founders_Clean!$C$2:$C$159))</f>
        <v>1</v>
      </c>
      <c r="AG18" s="3" t="n">
        <f aca="false">IF(AF18="","",SUMIF(Founders_Clean!$A$2:$A$159,A18,Founders_Clean!$D$2:$D$159))</f>
        <v>0</v>
      </c>
      <c r="AH18" s="3" t="n">
        <f aca="false">IF(AF18="","",SUMIF(Founders_Clean!$A$2:$A$159,A18,Founders_Clean!$E$2:$E$159))</f>
        <v>1</v>
      </c>
      <c r="AI18" s="3" t="n">
        <f aca="false">IF(AF18="","",IF((AG18+AH18)=0,"",AH18/(AG18+AH18)))</f>
        <v>1</v>
      </c>
      <c r="AJ18" s="3" t="n">
        <f aca="false">IF(AI18="","",IF(AH18&gt;0,1,0))</f>
        <v>1</v>
      </c>
      <c r="AK18" s="3" t="n">
        <f aca="false">IF(AI18="","",ROUND(1-(AI18^2+(1-AI18)^2),3))</f>
        <v>0</v>
      </c>
      <c r="AM18" s="0" t="n">
        <v>1</v>
      </c>
      <c r="AN18" s="3" t="s">
        <v>147</v>
      </c>
      <c r="AO18" s="0" t="n">
        <v>0</v>
      </c>
      <c r="AP18" s="0" t="n">
        <v>0</v>
      </c>
      <c r="AQ18" s="0" t="n">
        <v>0</v>
      </c>
      <c r="AR18" s="0" t="n">
        <v>13</v>
      </c>
      <c r="AS18" s="0" t="n">
        <v>13</v>
      </c>
      <c r="AT18" s="0" t="n">
        <v>427</v>
      </c>
      <c r="AU18" s="3" t="s">
        <v>121</v>
      </c>
      <c r="AV18" s="3" t="s">
        <v>122</v>
      </c>
      <c r="AX18" s="3" t="s">
        <v>138</v>
      </c>
      <c r="AY18" s="3" t="s">
        <v>102</v>
      </c>
      <c r="AZ18" s="3" t="s">
        <v>184</v>
      </c>
      <c r="BA18" s="0" t="n">
        <v>1</v>
      </c>
      <c r="BB18" s="0" t="n">
        <v>0</v>
      </c>
      <c r="BC18" s="0" t="n">
        <v>0</v>
      </c>
      <c r="BF18" s="3" t="n">
        <f aca="false">IF(OR(I18="",BC18=""),"",IF(BC18=1,(BD18-I18)*12+IF(BE18="",7,BE18)-IF(J18="",1,J18),M18))</f>
        <v>176</v>
      </c>
      <c r="BG18" s="0" t="n">
        <v>1</v>
      </c>
      <c r="BH18" s="0" t="n">
        <v>1300000</v>
      </c>
      <c r="BI18" s="3" t="s">
        <v>103</v>
      </c>
      <c r="BJ18" s="0" t="n">
        <v>2021</v>
      </c>
      <c r="BK18" s="0" t="n">
        <v>1</v>
      </c>
      <c r="BL18" s="3" t="n">
        <f aca="false">COUNTIFS(Investments_Clean!$A$2:$A$150,A18,Investments_Clean!$F$2:$F$150,"Accepted")</f>
        <v>0</v>
      </c>
      <c r="BM18" s="0" t="str">
        <f aca="false">IF(BL18=0,"",IF((COUNTIFS(Investments_Clean!$A$2:$A$150,A18,Investments_Clean!$D$2:$D$150,"VC/PE",Investments_Clean!$F$2:$F$150,"Accepted"))&gt;0,1,0))</f>
        <v/>
      </c>
      <c r="BN18" s="0" t="str">
        <f aca="false">IF(BL18=0,"",IF((COUNTIFS(Investments_Clean!$A$2:$A$150,A18,Investments_Clean!$D$2:$D$150,"Angel",Investments_Clean!$F$2:$F$150,"Accepted"))&gt;0,1,0))</f>
        <v/>
      </c>
      <c r="BO18" s="0" t="str">
        <f aca="false">IF(BL18=0,"",IF((COUNTIFS(Investments_Clean!$A$2:$A$150,A18,Investments_Clean!$D$2:$D$150,"Accelerator",Investments_Clean!$F$2:$F$150,"Accepted"))&gt;0,1,0))</f>
        <v/>
      </c>
      <c r="BP18" s="0" t="str">
        <f aca="false">IF(BL18=0,"",IF((COUNTIFS(Investments_Clean!$A$2:$A$150,A18,Investments_Clean!$D$2:$D$150,"Corporate",Investments_Clean!$F$2:$F$150,"Accepted"))&gt;0,1,0))</f>
        <v/>
      </c>
      <c r="BQ18" s="0" t="str">
        <f aca="false">IF(BL18=0,"",IF((COUNTIFS(Investments_Clean!$A$2:$A$150,A18,Investments_Clean!$D$2:$D$150,"Government",Investments_Clean!$F$2:$F$150,"Accepted"))&gt;0,1,0))</f>
        <v/>
      </c>
      <c r="BR18" s="0" t="str">
        <f aca="false">IF(BL18=0,"",IF((COUNTIFS(Investments_Clean!$A$2:$A$150,A18,Investments_Clean!$D$2:$D$150,"Grant/Philanthropic",Investments_Clean!$F$2:$F$150,"Accepted")+COUNTIFS(Investments_Clean!$A$2:$A$150,A18,Investments_Clean!$D$2:$D$150,"DFI/Impact",Investments_Clean!$F$2:$F$150,"Accepted"))&gt;0,1,0))</f>
        <v/>
      </c>
      <c r="CA18" s="0" t="n">
        <v>0</v>
      </c>
      <c r="CC18" s="0" t="str">
        <f aca="false">IF(I18="","",IFERROR(IF(INDEX(Macro_Lookup!$B$2:$B$31,MATCH(I18,Macro_Lookup!$A$2:$A$31,0))="","",INDEX(Macro_Lookup!$B$2:$B$31,MATCH(I18,Macro_Lookup!$A$2:$A$31,0))),""))</f>
        <v/>
      </c>
      <c r="CD18" s="0" t="str">
        <f aca="false">IF(I18="","",IFERROR(IF(INDEX(Macro_Lookup!$C$2:$C$31,MATCH(I18,Macro_Lookup!$A$2:$A$31,0))="","",INDEX(Macro_Lookup!$C$2:$C$31,MATCH(I18,Macro_Lookup!$A$2:$A$31,0))),""))</f>
        <v/>
      </c>
      <c r="CE18" s="0" t="str">
        <f aca="false">IF(BJ18="","",IFERROR(IF(INDEX(Macro_Lookup!$B$2:$B$31,MATCH(BJ18,Macro_Lookup!$A$2:$A$31,0))="","",INDEX(Macro_Lookup!$B$2:$B$31,MATCH(BJ18,Macro_Lookup!$A$2:$A$31,0))),""))</f>
        <v/>
      </c>
      <c r="CF18" s="0" t="str">
        <f aca="false">IF(BJ18="","",IFERROR(IF(INDEX(Macro_Lookup!$C$2:$C$31,MATCH(BJ18,Macro_Lookup!$A$2:$A$31,0))="","",INDEX(Macro_Lookup!$C$2:$C$31,MATCH(BJ18,Macro_Lookup!$A$2:$A$31,0))),""))</f>
        <v/>
      </c>
      <c r="CG18" s="0" t="n">
        <v>2</v>
      </c>
      <c r="CH18" s="3" t="s">
        <v>104</v>
      </c>
      <c r="CI18" s="3" t="s">
        <v>105</v>
      </c>
    </row>
    <row r="19" customFormat="false" ht="14.25" hidden="false" customHeight="false" outlineLevel="0" collapsed="false">
      <c r="A19" s="0" t="s">
        <v>185</v>
      </c>
      <c r="B19" s="0" t="s">
        <v>186</v>
      </c>
      <c r="C19" s="0" t="s">
        <v>89</v>
      </c>
      <c r="D19" s="0" t="s">
        <v>90</v>
      </c>
      <c r="E19" s="0" t="n">
        <v>0</v>
      </c>
      <c r="F19" s="0" t="s">
        <v>91</v>
      </c>
      <c r="I19" s="0" t="n">
        <v>2016</v>
      </c>
      <c r="K19" s="0" t="s">
        <v>92</v>
      </c>
      <c r="L19" s="2" t="n">
        <v>46295</v>
      </c>
      <c r="M19" s="3" t="n">
        <f aca="false">IF(I19="","",(YEAR(L19)-I19)*12+MONTH(L19)-IF(J19="",1,J19))</f>
        <v>128</v>
      </c>
      <c r="N19" s="3" t="n">
        <f aca="false">IF(M19="","",ROUND(M19/12,2))</f>
        <v>10.67</v>
      </c>
      <c r="O19" s="3" t="s">
        <v>187</v>
      </c>
      <c r="P19" s="3" t="s">
        <v>165</v>
      </c>
      <c r="Q19" s="3" t="s">
        <v>188</v>
      </c>
      <c r="R19" s="0" t="n">
        <v>0</v>
      </c>
      <c r="S19" s="0" t="n">
        <v>0</v>
      </c>
      <c r="T19" s="0" t="n">
        <v>0</v>
      </c>
      <c r="U19" s="0" t="n">
        <v>0</v>
      </c>
      <c r="V19" s="0" t="n">
        <v>0</v>
      </c>
      <c r="W19" s="0" t="n">
        <v>0</v>
      </c>
      <c r="X19" s="3" t="s">
        <v>101</v>
      </c>
      <c r="Y19" s="0" t="n">
        <v>3</v>
      </c>
      <c r="Z19" s="0" t="n">
        <v>1</v>
      </c>
      <c r="AA19" s="0" t="n">
        <v>0</v>
      </c>
      <c r="AF19" s="3" t="n">
        <f aca="false">IF(SUMIF(Founders_Clean!$A$2:$A$159,A19,Founders_Clean!$C$2:$C$159)=0,"",SUMIF(Founders_Clean!$A$2:$A$159,A19,Founders_Clean!$C$2:$C$159))</f>
        <v>1</v>
      </c>
      <c r="AG19" s="3" t="n">
        <f aca="false">IF(AF19="","",SUMIF(Founders_Clean!$A$2:$A$159,A19,Founders_Clean!$D$2:$D$159))</f>
        <v>1</v>
      </c>
      <c r="AH19" s="3" t="n">
        <f aca="false">IF(AF19="","",SUMIF(Founders_Clean!$A$2:$A$159,A19,Founders_Clean!$E$2:$E$159))</f>
        <v>0</v>
      </c>
      <c r="AI19" s="3" t="n">
        <f aca="false">IF(AF19="","",IF((AG19+AH19)=0,"",AH19/(AG19+AH19)))</f>
        <v>0</v>
      </c>
      <c r="AJ19" s="3" t="n">
        <f aca="false">IF(AI19="","",IF(AH19&gt;0,1,0))</f>
        <v>0</v>
      </c>
      <c r="AK19" s="3" t="n">
        <f aca="false">IF(AI19="","",ROUND(1-(AI19^2+(1-AI19)^2),3))</f>
        <v>0</v>
      </c>
      <c r="AT19" s="0" t="n">
        <v>150</v>
      </c>
      <c r="AU19" s="3" t="s">
        <v>130</v>
      </c>
      <c r="AV19" s="3" t="s">
        <v>100</v>
      </c>
      <c r="AX19" s="3" t="s">
        <v>101</v>
      </c>
      <c r="AY19" s="3" t="s">
        <v>102</v>
      </c>
      <c r="BA19" s="0" t="n">
        <v>0</v>
      </c>
      <c r="BB19" s="0" t="n">
        <v>0</v>
      </c>
      <c r="BC19" s="0" t="n">
        <v>0</v>
      </c>
      <c r="BF19" s="3" t="n">
        <f aca="false">IF(OR(I19="",BC19=""),"",IF(BC19=1,(BD19-I19)*12+IF(BE19="",7,BE19)-IF(J19="",1,J19),M19))</f>
        <v>128</v>
      </c>
      <c r="BG19" s="0" t="n">
        <v>1</v>
      </c>
      <c r="BH19" s="0" t="n">
        <v>1500000</v>
      </c>
      <c r="BI19" s="3" t="s">
        <v>103</v>
      </c>
      <c r="BJ19" s="0" t="n">
        <v>2023</v>
      </c>
      <c r="BK19" s="0" t="n">
        <v>1</v>
      </c>
      <c r="BL19" s="3" t="n">
        <f aca="false">COUNTIFS(Investments_Clean!$A$2:$A$150,A19,Investments_Clean!$F$2:$F$150,"Accepted")</f>
        <v>1</v>
      </c>
      <c r="BM19" s="3" t="n">
        <f aca="false">IF(BL19=0,"",IF((COUNTIFS(Investments_Clean!$A$2:$A$150,A19,Investments_Clean!$D$2:$D$150,"VC/PE",Investments_Clean!$F$2:$F$150,"Accepted"))&gt;0,1,0))</f>
        <v>1</v>
      </c>
      <c r="BN19" s="3" t="n">
        <f aca="false">IF(BL19=0,"",IF((COUNTIFS(Investments_Clean!$A$2:$A$150,A19,Investments_Clean!$D$2:$D$150,"Angel",Investments_Clean!$F$2:$F$150,"Accepted"))&gt;0,1,0))</f>
        <v>0</v>
      </c>
      <c r="BO19" s="3" t="n">
        <f aca="false">IF(BL19=0,"",IF((COUNTIFS(Investments_Clean!$A$2:$A$150,A19,Investments_Clean!$D$2:$D$150,"Accelerator",Investments_Clean!$F$2:$F$150,"Accepted"))&gt;0,1,0))</f>
        <v>0</v>
      </c>
      <c r="BP19" s="3" t="n">
        <f aca="false">IF(BL19=0,"",IF((COUNTIFS(Investments_Clean!$A$2:$A$150,A19,Investments_Clean!$D$2:$D$150,"Corporate",Investments_Clean!$F$2:$F$150,"Accepted"))&gt;0,1,0))</f>
        <v>0</v>
      </c>
      <c r="BQ19" s="3" t="n">
        <f aca="false">IF(BL19=0,"",IF((COUNTIFS(Investments_Clean!$A$2:$A$150,A19,Investments_Clean!$D$2:$D$150,"Government",Investments_Clean!$F$2:$F$150,"Accepted"))&gt;0,1,0))</f>
        <v>0</v>
      </c>
      <c r="BR19" s="3" t="n">
        <f aca="false">IF(BL19=0,"",IF((COUNTIFS(Investments_Clean!$A$2:$A$150,A19,Investments_Clean!$D$2:$D$150,"Grant/Philanthropic",Investments_Clean!$F$2:$F$150,"Accepted")+COUNTIFS(Investments_Clean!$A$2:$A$150,A19,Investments_Clean!$D$2:$D$150,"DFI/Impact",Investments_Clean!$F$2:$F$150,"Accepted"))&gt;0,1,0))</f>
        <v>0</v>
      </c>
      <c r="CA19" s="0" t="n">
        <v>0</v>
      </c>
      <c r="CC19" s="0" t="str">
        <f aca="false">IF(I19="","",IFERROR(IF(INDEX(Macro_Lookup!$B$2:$B$31,MATCH(I19,Macro_Lookup!$A$2:$A$31,0))="","",INDEX(Macro_Lookup!$B$2:$B$31,MATCH(I19,Macro_Lookup!$A$2:$A$31,0))),""))</f>
        <v/>
      </c>
      <c r="CD19" s="0" t="str">
        <f aca="false">IF(I19="","",IFERROR(IF(INDEX(Macro_Lookup!$C$2:$C$31,MATCH(I19,Macro_Lookup!$A$2:$A$31,0))="","",INDEX(Macro_Lookup!$C$2:$C$31,MATCH(I19,Macro_Lookup!$A$2:$A$31,0))),""))</f>
        <v/>
      </c>
      <c r="CE19" s="0" t="str">
        <f aca="false">IF(BJ19="","",IFERROR(IF(INDEX(Macro_Lookup!$B$2:$B$31,MATCH(BJ19,Macro_Lookup!$A$2:$A$31,0))="","",INDEX(Macro_Lookup!$B$2:$B$31,MATCH(BJ19,Macro_Lookup!$A$2:$A$31,0))),""))</f>
        <v/>
      </c>
      <c r="CF19" s="0" t="str">
        <f aca="false">IF(BJ19="","",IFERROR(IF(INDEX(Macro_Lookup!$C$2:$C$31,MATCH(BJ19,Macro_Lookup!$A$2:$A$31,0))="","",INDEX(Macro_Lookup!$C$2:$C$31,MATCH(BJ19,Macro_Lookup!$A$2:$A$31,0))),""))</f>
        <v/>
      </c>
      <c r="CG19" s="0" t="n">
        <v>6</v>
      </c>
      <c r="CH19" s="3" t="s">
        <v>104</v>
      </c>
      <c r="CI19" s="3" t="s">
        <v>105</v>
      </c>
    </row>
    <row r="20" customFormat="false" ht="14.25" hidden="false" customHeight="false" outlineLevel="0" collapsed="false">
      <c r="A20" s="0" t="s">
        <v>189</v>
      </c>
      <c r="B20" s="0" t="s">
        <v>190</v>
      </c>
      <c r="C20" s="0" t="s">
        <v>89</v>
      </c>
      <c r="D20" s="0" t="s">
        <v>90</v>
      </c>
      <c r="E20" s="0" t="n">
        <v>0</v>
      </c>
      <c r="F20" s="0" t="s">
        <v>91</v>
      </c>
      <c r="I20" s="0" t="n">
        <v>2021</v>
      </c>
      <c r="K20" s="0" t="s">
        <v>92</v>
      </c>
      <c r="L20" s="2" t="n">
        <v>46295</v>
      </c>
      <c r="M20" s="3" t="n">
        <f aca="false">IF(I20="","",(YEAR(L20)-I20)*12+MONTH(L20)-IF(J20="",1,J20))</f>
        <v>68</v>
      </c>
      <c r="N20" s="3" t="n">
        <f aca="false">IF(M20="","",ROUND(M20/12,2))</f>
        <v>5.67</v>
      </c>
      <c r="O20" s="3" t="s">
        <v>191</v>
      </c>
      <c r="P20" s="3" t="s">
        <v>165</v>
      </c>
      <c r="Q20" s="3" t="s">
        <v>192</v>
      </c>
      <c r="R20" s="0" t="n">
        <v>1</v>
      </c>
      <c r="S20" s="0" t="n">
        <v>0</v>
      </c>
      <c r="T20" s="0" t="n">
        <v>1</v>
      </c>
      <c r="U20" s="0" t="n">
        <v>0</v>
      </c>
      <c r="V20" s="0" t="n">
        <v>0</v>
      </c>
      <c r="W20" s="0" t="n">
        <v>0</v>
      </c>
      <c r="X20" s="3" t="s">
        <v>101</v>
      </c>
      <c r="Y20" s="0" t="n">
        <v>3</v>
      </c>
      <c r="Z20" s="0" t="n">
        <v>1</v>
      </c>
      <c r="AA20" s="0" t="n">
        <v>1</v>
      </c>
      <c r="AB20" s="3" t="s">
        <v>167</v>
      </c>
      <c r="AF20" s="3" t="n">
        <f aca="false">IF(SUMIF(Founders_Clean!$A$2:$A$159,A20,Founders_Clean!$C$2:$C$159)=0,"",SUMIF(Founders_Clean!$A$2:$A$159,A20,Founders_Clean!$C$2:$C$159))</f>
        <v>2</v>
      </c>
      <c r="AG20" s="3" t="n">
        <f aca="false">IF(AF20="","",SUMIF(Founders_Clean!$A$2:$A$159,A20,Founders_Clean!$D$2:$D$159))</f>
        <v>1</v>
      </c>
      <c r="AH20" s="3" t="n">
        <f aca="false">IF(AF20="","",SUMIF(Founders_Clean!$A$2:$A$159,A20,Founders_Clean!$E$2:$E$159))</f>
        <v>1</v>
      </c>
      <c r="AI20" s="3" t="n">
        <f aca="false">IF(AF20="","",IF((AG20+AH20)=0,"",AH20/(AG20+AH20)))</f>
        <v>0.5</v>
      </c>
      <c r="AJ20" s="3" t="n">
        <f aca="false">IF(AI20="","",IF(AH20&gt;0,1,0))</f>
        <v>1</v>
      </c>
      <c r="AK20" s="3" t="n">
        <f aca="false">IF(AI20="","",ROUND(1-(AI20^2+(1-AI20)^2),3))</f>
        <v>0.5</v>
      </c>
      <c r="AM20" s="0" t="n">
        <v>2</v>
      </c>
      <c r="AN20" s="3" t="s">
        <v>98</v>
      </c>
      <c r="AO20" s="0" t="n">
        <v>0</v>
      </c>
      <c r="AP20" s="0" t="n">
        <v>0</v>
      </c>
      <c r="AQ20" s="0" t="n">
        <v>1</v>
      </c>
      <c r="AR20" s="0" t="n">
        <v>20</v>
      </c>
      <c r="AS20" s="0" t="n">
        <v>17</v>
      </c>
      <c r="AT20" s="0" t="n">
        <v>150</v>
      </c>
      <c r="AU20" s="3" t="s">
        <v>130</v>
      </c>
      <c r="AV20" s="3" t="s">
        <v>100</v>
      </c>
      <c r="AX20" s="3" t="s">
        <v>101</v>
      </c>
      <c r="AY20" s="3" t="s">
        <v>102</v>
      </c>
      <c r="BA20" s="0" t="n">
        <v>0</v>
      </c>
      <c r="BB20" s="0" t="n">
        <v>0</v>
      </c>
      <c r="BC20" s="0" t="n">
        <v>0</v>
      </c>
      <c r="BF20" s="3" t="n">
        <f aca="false">IF(OR(I20="",BC20=""),"",IF(BC20=1,(BD20-I20)*12+IF(BE20="",7,BE20)-IF(J20="",1,J20),M20))</f>
        <v>68</v>
      </c>
      <c r="BG20" s="0" t="n">
        <v>1</v>
      </c>
      <c r="BH20" s="0" t="n">
        <v>5000000</v>
      </c>
      <c r="BI20" s="3" t="s">
        <v>103</v>
      </c>
      <c r="BJ20" s="0" t="n">
        <v>2024</v>
      </c>
      <c r="BK20" s="0" t="n">
        <v>1</v>
      </c>
      <c r="BL20" s="3" t="n">
        <f aca="false">COUNTIFS(Investments_Clean!$A$2:$A$150,A20,Investments_Clean!$F$2:$F$150,"Accepted")</f>
        <v>1</v>
      </c>
      <c r="BM20" s="3" t="n">
        <f aca="false">IF(BL20=0,"",IF((COUNTIFS(Investments_Clean!$A$2:$A$150,A20,Investments_Clean!$D$2:$D$150,"VC/PE",Investments_Clean!$F$2:$F$150,"Accepted"))&gt;0,1,0))</f>
        <v>1</v>
      </c>
      <c r="BN20" s="3" t="n">
        <f aca="false">IF(BL20=0,"",IF((COUNTIFS(Investments_Clean!$A$2:$A$150,A20,Investments_Clean!$D$2:$D$150,"Angel",Investments_Clean!$F$2:$F$150,"Accepted"))&gt;0,1,0))</f>
        <v>0</v>
      </c>
      <c r="BO20" s="3" t="n">
        <f aca="false">IF(BL20=0,"",IF((COUNTIFS(Investments_Clean!$A$2:$A$150,A20,Investments_Clean!$D$2:$D$150,"Accelerator",Investments_Clean!$F$2:$F$150,"Accepted"))&gt;0,1,0))</f>
        <v>0</v>
      </c>
      <c r="BP20" s="3" t="n">
        <f aca="false">IF(BL20=0,"",IF((COUNTIFS(Investments_Clean!$A$2:$A$150,A20,Investments_Clean!$D$2:$D$150,"Corporate",Investments_Clean!$F$2:$F$150,"Accepted"))&gt;0,1,0))</f>
        <v>0</v>
      </c>
      <c r="BQ20" s="3" t="n">
        <f aca="false">IF(BL20=0,"",IF((COUNTIFS(Investments_Clean!$A$2:$A$150,A20,Investments_Clean!$D$2:$D$150,"Government",Investments_Clean!$F$2:$F$150,"Accepted"))&gt;0,1,0))</f>
        <v>0</v>
      </c>
      <c r="BR20" s="3" t="n">
        <f aca="false">IF(BL20=0,"",IF((COUNTIFS(Investments_Clean!$A$2:$A$150,A20,Investments_Clean!$D$2:$D$150,"Grant/Philanthropic",Investments_Clean!$F$2:$F$150,"Accepted")+COUNTIFS(Investments_Clean!$A$2:$A$150,A20,Investments_Clean!$D$2:$D$150,"DFI/Impact",Investments_Clean!$F$2:$F$150,"Accepted"))&gt;0,1,0))</f>
        <v>0</v>
      </c>
      <c r="CA20" s="0" t="n">
        <v>0</v>
      </c>
      <c r="CC20" s="0" t="str">
        <f aca="false">IF(I20="","",IFERROR(IF(INDEX(Macro_Lookup!$B$2:$B$31,MATCH(I20,Macro_Lookup!$A$2:$A$31,0))="","",INDEX(Macro_Lookup!$B$2:$B$31,MATCH(I20,Macro_Lookup!$A$2:$A$31,0))),""))</f>
        <v/>
      </c>
      <c r="CD20" s="0" t="str">
        <f aca="false">IF(I20="","",IFERROR(IF(INDEX(Macro_Lookup!$C$2:$C$31,MATCH(I20,Macro_Lookup!$A$2:$A$31,0))="","",INDEX(Macro_Lookup!$C$2:$C$31,MATCH(I20,Macro_Lookup!$A$2:$A$31,0))),""))</f>
        <v/>
      </c>
      <c r="CE20" s="0" t="str">
        <f aca="false">IF(BJ20="","",IFERROR(IF(INDEX(Macro_Lookup!$B$2:$B$31,MATCH(BJ20,Macro_Lookup!$A$2:$A$31,0))="","",INDEX(Macro_Lookup!$B$2:$B$31,MATCH(BJ20,Macro_Lookup!$A$2:$A$31,0))),""))</f>
        <v/>
      </c>
      <c r="CF20" s="0" t="str">
        <f aca="false">IF(BJ20="","",IFERROR(IF(INDEX(Macro_Lookup!$C$2:$C$31,MATCH(BJ20,Macro_Lookup!$A$2:$A$31,0))="","",INDEX(Macro_Lookup!$C$2:$C$31,MATCH(BJ20,Macro_Lookup!$A$2:$A$31,0))),""))</f>
        <v/>
      </c>
      <c r="CG20" s="0" t="n">
        <v>2</v>
      </c>
      <c r="CH20" s="3" t="s">
        <v>104</v>
      </c>
      <c r="CI20" s="3" t="s">
        <v>105</v>
      </c>
    </row>
    <row r="21" customFormat="false" ht="14.25" hidden="false" customHeight="false" outlineLevel="0" collapsed="false">
      <c r="A21" s="0" t="s">
        <v>193</v>
      </c>
      <c r="B21" s="0" t="s">
        <v>194</v>
      </c>
      <c r="C21" s="0" t="s">
        <v>89</v>
      </c>
      <c r="D21" s="0" t="s">
        <v>90</v>
      </c>
      <c r="E21" s="0" t="n">
        <v>0</v>
      </c>
      <c r="F21" s="0" t="s">
        <v>91</v>
      </c>
      <c r="I21" s="0" t="n">
        <v>2015</v>
      </c>
      <c r="K21" s="0" t="s">
        <v>92</v>
      </c>
      <c r="L21" s="2" t="n">
        <v>46295</v>
      </c>
      <c r="M21" s="3" t="n">
        <f aca="false">IF(I21="","",(YEAR(L21)-I21)*12+MONTH(L21)-IF(J21="",1,J21))</f>
        <v>140</v>
      </c>
      <c r="N21" s="3" t="n">
        <f aca="false">IF(M21="","",ROUND(M21/12,2))</f>
        <v>11.67</v>
      </c>
      <c r="O21" s="3" t="s">
        <v>195</v>
      </c>
      <c r="P21" s="3" t="s">
        <v>165</v>
      </c>
      <c r="Q21" s="3" t="s">
        <v>196</v>
      </c>
      <c r="R21" s="0" t="n">
        <v>1</v>
      </c>
      <c r="S21" s="0" t="n">
        <v>0</v>
      </c>
      <c r="T21" s="0" t="n">
        <v>0</v>
      </c>
      <c r="U21" s="0" t="n">
        <v>0</v>
      </c>
      <c r="V21" s="0" t="n">
        <v>0</v>
      </c>
      <c r="W21" s="0" t="n">
        <v>0</v>
      </c>
      <c r="X21" s="3" t="s">
        <v>101</v>
      </c>
      <c r="Y21" s="0" t="n">
        <v>3</v>
      </c>
      <c r="Z21" s="0" t="n">
        <v>1</v>
      </c>
      <c r="AF21" s="3" t="n">
        <f aca="false">IF(SUMIF(Founders_Clean!$A$2:$A$159,A21,Founders_Clean!$C$2:$C$159)=0,"",SUMIF(Founders_Clean!$A$2:$A$159,A21,Founders_Clean!$C$2:$C$159))</f>
        <v>1</v>
      </c>
      <c r="AG21" s="3" t="n">
        <f aca="false">IF(AF21="","",SUMIF(Founders_Clean!$A$2:$A$159,A21,Founders_Clean!$D$2:$D$159))</f>
        <v>1</v>
      </c>
      <c r="AH21" s="3" t="n">
        <f aca="false">IF(AF21="","",SUMIF(Founders_Clean!$A$2:$A$159,A21,Founders_Clean!$E$2:$E$159))</f>
        <v>0</v>
      </c>
      <c r="AI21" s="3" t="n">
        <f aca="false">IF(AF21="","",IF((AG21+AH21)=0,"",AH21/(AG21+AH21)))</f>
        <v>0</v>
      </c>
      <c r="AJ21" s="3" t="n">
        <f aca="false">IF(AI21="","",IF(AH21&gt;0,1,0))</f>
        <v>0</v>
      </c>
      <c r="AK21" s="3" t="n">
        <f aca="false">IF(AI21="","",ROUND(1-(AI21^2+(1-AI21)^2),3))</f>
        <v>0</v>
      </c>
      <c r="AQ21" s="0" t="n">
        <v>1</v>
      </c>
      <c r="AR21" s="0" t="n">
        <v>19</v>
      </c>
      <c r="AS21" s="0" t="n">
        <v>19</v>
      </c>
      <c r="AT21" s="0" t="n">
        <v>175</v>
      </c>
      <c r="AU21" s="3" t="s">
        <v>130</v>
      </c>
      <c r="AV21" s="3" t="s">
        <v>100</v>
      </c>
      <c r="AX21" s="3" t="s">
        <v>101</v>
      </c>
      <c r="AY21" s="3" t="s">
        <v>102</v>
      </c>
      <c r="BA21" s="0" t="n">
        <v>0</v>
      </c>
      <c r="BB21" s="0" t="n">
        <v>0</v>
      </c>
      <c r="BC21" s="0" t="n">
        <v>0</v>
      </c>
      <c r="BF21" s="3" t="n">
        <f aca="false">IF(OR(I21="",BC21=""),"",IF(BC21=1,(BD21-I21)*12+IF(BE21="",7,BE21)-IF(J21="",1,J21),M21))</f>
        <v>140</v>
      </c>
      <c r="BG21" s="0" t="n">
        <v>1</v>
      </c>
      <c r="BH21" s="0" t="n">
        <v>4150000</v>
      </c>
      <c r="BI21" s="3" t="s">
        <v>103</v>
      </c>
      <c r="BJ21" s="0" t="n">
        <v>2019</v>
      </c>
      <c r="BK21" s="0" t="n">
        <v>1</v>
      </c>
      <c r="BL21" s="3" t="n">
        <f aca="false">COUNTIFS(Investments_Clean!$A$2:$A$150,A21,Investments_Clean!$F$2:$F$150,"Accepted")</f>
        <v>2</v>
      </c>
      <c r="BM21" s="3" t="n">
        <f aca="false">IF(BL21=0,"",IF((COUNTIFS(Investments_Clean!$A$2:$A$150,A21,Investments_Clean!$D$2:$D$150,"VC/PE",Investments_Clean!$F$2:$F$150,"Accepted"))&gt;0,1,0))</f>
        <v>1</v>
      </c>
      <c r="BN21" s="3" t="n">
        <f aca="false">IF(BL21=0,"",IF((COUNTIFS(Investments_Clean!$A$2:$A$150,A21,Investments_Clean!$D$2:$D$150,"Angel",Investments_Clean!$F$2:$F$150,"Accepted"))&gt;0,1,0))</f>
        <v>0</v>
      </c>
      <c r="BO21" s="3" t="n">
        <f aca="false">IF(BL21=0,"",IF((COUNTIFS(Investments_Clean!$A$2:$A$150,A21,Investments_Clean!$D$2:$D$150,"Accelerator",Investments_Clean!$F$2:$F$150,"Accepted"))&gt;0,1,0))</f>
        <v>0</v>
      </c>
      <c r="BP21" s="3" t="n">
        <f aca="false">IF(BL21=0,"",IF((COUNTIFS(Investments_Clean!$A$2:$A$150,A21,Investments_Clean!$D$2:$D$150,"Corporate",Investments_Clean!$F$2:$F$150,"Accepted"))&gt;0,1,0))</f>
        <v>0</v>
      </c>
      <c r="BQ21" s="3" t="n">
        <f aca="false">IF(BL21=0,"",IF((COUNTIFS(Investments_Clean!$A$2:$A$150,A21,Investments_Clean!$D$2:$D$150,"Government",Investments_Clean!$F$2:$F$150,"Accepted"))&gt;0,1,0))</f>
        <v>0</v>
      </c>
      <c r="BR21" s="3" t="n">
        <f aca="false">IF(BL21=0,"",IF((COUNTIFS(Investments_Clean!$A$2:$A$150,A21,Investments_Clean!$D$2:$D$150,"Grant/Philanthropic",Investments_Clean!$F$2:$F$150,"Accepted")+COUNTIFS(Investments_Clean!$A$2:$A$150,A21,Investments_Clean!$D$2:$D$150,"DFI/Impact",Investments_Clean!$F$2:$F$150,"Accepted"))&gt;0,1,0))</f>
        <v>1</v>
      </c>
      <c r="CA21" s="0" t="n">
        <v>0</v>
      </c>
      <c r="CC21" s="0" t="str">
        <f aca="false">IF(I21="","",IFERROR(IF(INDEX(Macro_Lookup!$B$2:$B$31,MATCH(I21,Macro_Lookup!$A$2:$A$31,0))="","",INDEX(Macro_Lookup!$B$2:$B$31,MATCH(I21,Macro_Lookup!$A$2:$A$31,0))),""))</f>
        <v/>
      </c>
      <c r="CD21" s="0" t="str">
        <f aca="false">IF(I21="","",IFERROR(IF(INDEX(Macro_Lookup!$C$2:$C$31,MATCH(I21,Macro_Lookup!$A$2:$A$31,0))="","",INDEX(Macro_Lookup!$C$2:$C$31,MATCH(I21,Macro_Lookup!$A$2:$A$31,0))),""))</f>
        <v/>
      </c>
      <c r="CE21" s="0" t="str">
        <f aca="false">IF(BJ21="","",IFERROR(IF(INDEX(Macro_Lookup!$B$2:$B$31,MATCH(BJ21,Macro_Lookup!$A$2:$A$31,0))="","",INDEX(Macro_Lookup!$B$2:$B$31,MATCH(BJ21,Macro_Lookup!$A$2:$A$31,0))),""))</f>
        <v/>
      </c>
      <c r="CF21" s="0" t="str">
        <f aca="false">IF(BJ21="","",IFERROR(IF(INDEX(Macro_Lookup!$C$2:$C$31,MATCH(BJ21,Macro_Lookup!$A$2:$A$31,0))="","",INDEX(Macro_Lookup!$C$2:$C$31,MATCH(BJ21,Macro_Lookup!$A$2:$A$31,0))),""))</f>
        <v/>
      </c>
      <c r="CG21" s="0" t="n">
        <v>5</v>
      </c>
      <c r="CH21" s="3" t="s">
        <v>104</v>
      </c>
      <c r="CI21" s="3" t="s">
        <v>105</v>
      </c>
    </row>
    <row r="22" customFormat="false" ht="14.25" hidden="false" customHeight="false" outlineLevel="0" collapsed="false">
      <c r="A22" s="0" t="s">
        <v>197</v>
      </c>
      <c r="B22" s="0" t="s">
        <v>198</v>
      </c>
      <c r="C22" s="0" t="s">
        <v>89</v>
      </c>
      <c r="D22" s="0" t="s">
        <v>90</v>
      </c>
      <c r="E22" s="0" t="n">
        <v>0</v>
      </c>
      <c r="F22" s="0" t="s">
        <v>91</v>
      </c>
      <c r="I22" s="0" t="n">
        <v>2013</v>
      </c>
      <c r="K22" s="0" t="s">
        <v>92</v>
      </c>
      <c r="L22" s="2" t="n">
        <v>46295</v>
      </c>
      <c r="M22" s="3" t="n">
        <f aca="false">IF(I22="","",(YEAR(L22)-I22)*12+MONTH(L22)-IF(J22="",1,J22))</f>
        <v>164</v>
      </c>
      <c r="N22" s="3" t="n">
        <f aca="false">IF(M22="","",ROUND(M22/12,2))</f>
        <v>13.67</v>
      </c>
      <c r="O22" s="3" t="s">
        <v>199</v>
      </c>
      <c r="P22" s="3" t="s">
        <v>165</v>
      </c>
      <c r="Q22" s="3" t="s">
        <v>200</v>
      </c>
      <c r="R22" s="0" t="n">
        <v>0</v>
      </c>
      <c r="S22" s="0" t="n">
        <v>1</v>
      </c>
      <c r="T22" s="0" t="n">
        <v>0</v>
      </c>
      <c r="U22" s="0" t="n">
        <v>0</v>
      </c>
      <c r="V22" s="0" t="n">
        <v>0</v>
      </c>
      <c r="W22" s="0" t="n">
        <v>0</v>
      </c>
      <c r="X22" s="3" t="s">
        <v>201</v>
      </c>
      <c r="Y22" s="0" t="n">
        <v>3</v>
      </c>
      <c r="Z22" s="0" t="n">
        <v>1</v>
      </c>
      <c r="AA22" s="0" t="n">
        <v>1</v>
      </c>
      <c r="AB22" s="3" t="s">
        <v>202</v>
      </c>
      <c r="AF22" s="3" t="n">
        <f aca="false">IF(SUMIF(Founders_Clean!$A$2:$A$159,A22,Founders_Clean!$C$2:$C$159)=0,"",SUMIF(Founders_Clean!$A$2:$A$159,A22,Founders_Clean!$C$2:$C$159))</f>
        <v>3</v>
      </c>
      <c r="AG22" s="3" t="n">
        <f aca="false">IF(AF22="","",SUMIF(Founders_Clean!$A$2:$A$159,A22,Founders_Clean!$D$2:$D$159))</f>
        <v>1</v>
      </c>
      <c r="AH22" s="3" t="n">
        <f aca="false">IF(AF22="","",SUMIF(Founders_Clean!$A$2:$A$159,A22,Founders_Clean!$E$2:$E$159))</f>
        <v>1</v>
      </c>
      <c r="AI22" s="3" t="n">
        <f aca="false">IF(AF22="","",IF((AG22+AH22)=0,"",AH22/(AG22+AH22)))</f>
        <v>0.5</v>
      </c>
      <c r="AJ22" s="3" t="n">
        <f aca="false">IF(AI22="","",IF(AH22&gt;0,1,0))</f>
        <v>1</v>
      </c>
      <c r="AK22" s="3" t="n">
        <f aca="false">IF(AI22="","",ROUND(1-(AI22^2+(1-AI22)^2),3))</f>
        <v>0.5</v>
      </c>
      <c r="AM22" s="0" t="n">
        <v>1</v>
      </c>
      <c r="AN22" s="3" t="s">
        <v>147</v>
      </c>
      <c r="AO22" s="0" t="n">
        <v>1</v>
      </c>
      <c r="AP22" s="0" t="n">
        <v>1</v>
      </c>
      <c r="AQ22" s="0" t="n">
        <v>0</v>
      </c>
      <c r="AR22" s="0" t="n">
        <v>10</v>
      </c>
      <c r="AS22" s="0" t="n">
        <v>9.5</v>
      </c>
      <c r="AX22" s="3" t="s">
        <v>101</v>
      </c>
      <c r="AY22" s="3" t="s">
        <v>102</v>
      </c>
      <c r="BA22" s="0" t="n">
        <v>0</v>
      </c>
      <c r="BB22" s="0" t="n">
        <v>0</v>
      </c>
      <c r="BC22" s="0" t="n">
        <v>0</v>
      </c>
      <c r="BF22" s="3" t="n">
        <f aca="false">IF(OR(I22="",BC22=""),"",IF(BC22=1,(BD22-I22)*12+IF(BE22="",7,BE22)-IF(J22="",1,J22),M22))</f>
        <v>164</v>
      </c>
      <c r="BG22" s="0" t="n">
        <v>1</v>
      </c>
      <c r="BH22" s="0" t="n">
        <v>2150000</v>
      </c>
      <c r="BI22" s="3" t="s">
        <v>103</v>
      </c>
      <c r="BJ22" s="0" t="n">
        <v>2022</v>
      </c>
      <c r="BK22" s="0" t="n">
        <v>1</v>
      </c>
      <c r="BL22" s="3" t="n">
        <f aca="false">COUNTIFS(Investments_Clean!$A$2:$A$150,A22,Investments_Clean!$F$2:$F$150,"Accepted")</f>
        <v>1</v>
      </c>
      <c r="BM22" s="3" t="n">
        <f aca="false">IF(BL22=0,"",IF((COUNTIFS(Investments_Clean!$A$2:$A$150,A22,Investments_Clean!$D$2:$D$150,"VC/PE",Investments_Clean!$F$2:$F$150,"Accepted"))&gt;0,1,0))</f>
        <v>0</v>
      </c>
      <c r="BN22" s="3" t="n">
        <f aca="false">IF(BL22=0,"",IF((COUNTIFS(Investments_Clean!$A$2:$A$150,A22,Investments_Clean!$D$2:$D$150,"Angel",Investments_Clean!$F$2:$F$150,"Accepted"))&gt;0,1,0))</f>
        <v>0</v>
      </c>
      <c r="BO22" s="3" t="n">
        <f aca="false">IF(BL22=0,"",IF((COUNTIFS(Investments_Clean!$A$2:$A$150,A22,Investments_Clean!$D$2:$D$150,"Accelerator",Investments_Clean!$F$2:$F$150,"Accepted"))&gt;0,1,0))</f>
        <v>1</v>
      </c>
      <c r="BP22" s="3" t="n">
        <f aca="false">IF(BL22=0,"",IF((COUNTIFS(Investments_Clean!$A$2:$A$150,A22,Investments_Clean!$D$2:$D$150,"Corporate",Investments_Clean!$F$2:$F$150,"Accepted"))&gt;0,1,0))</f>
        <v>0</v>
      </c>
      <c r="BQ22" s="3" t="n">
        <f aca="false">IF(BL22=0,"",IF((COUNTIFS(Investments_Clean!$A$2:$A$150,A22,Investments_Clean!$D$2:$D$150,"Government",Investments_Clean!$F$2:$F$150,"Accepted"))&gt;0,1,0))</f>
        <v>0</v>
      </c>
      <c r="BR22" s="3" t="n">
        <f aca="false">IF(BL22=0,"",IF((COUNTIFS(Investments_Clean!$A$2:$A$150,A22,Investments_Clean!$D$2:$D$150,"Grant/Philanthropic",Investments_Clean!$F$2:$F$150,"Accepted")+COUNTIFS(Investments_Clean!$A$2:$A$150,A22,Investments_Clean!$D$2:$D$150,"DFI/Impact",Investments_Clean!$F$2:$F$150,"Accepted"))&gt;0,1,0))</f>
        <v>0</v>
      </c>
      <c r="CA22" s="0" t="n">
        <v>0</v>
      </c>
      <c r="CC22" s="0" t="str">
        <f aca="false">IF(I22="","",IFERROR(IF(INDEX(Macro_Lookup!$B$2:$B$31,MATCH(I22,Macro_Lookup!$A$2:$A$31,0))="","",INDEX(Macro_Lookup!$B$2:$B$31,MATCH(I22,Macro_Lookup!$A$2:$A$31,0))),""))</f>
        <v/>
      </c>
      <c r="CD22" s="0" t="str">
        <f aca="false">IF(I22="","",IFERROR(IF(INDEX(Macro_Lookup!$C$2:$C$31,MATCH(I22,Macro_Lookup!$A$2:$A$31,0))="","",INDEX(Macro_Lookup!$C$2:$C$31,MATCH(I22,Macro_Lookup!$A$2:$A$31,0))),""))</f>
        <v/>
      </c>
      <c r="CE22" s="0" t="str">
        <f aca="false">IF(BJ22="","",IFERROR(IF(INDEX(Macro_Lookup!$B$2:$B$31,MATCH(BJ22,Macro_Lookup!$A$2:$A$31,0))="","",INDEX(Macro_Lookup!$B$2:$B$31,MATCH(BJ22,Macro_Lookup!$A$2:$A$31,0))),""))</f>
        <v/>
      </c>
      <c r="CF22" s="0" t="str">
        <f aca="false">IF(BJ22="","",IFERROR(IF(INDEX(Macro_Lookup!$C$2:$C$31,MATCH(BJ22,Macro_Lookup!$A$2:$A$31,0))="","",INDEX(Macro_Lookup!$C$2:$C$31,MATCH(BJ22,Macro_Lookup!$A$2:$A$31,0))),""))</f>
        <v/>
      </c>
      <c r="CG22" s="0" t="n">
        <v>3</v>
      </c>
      <c r="CH22" s="3" t="s">
        <v>104</v>
      </c>
      <c r="CI22" s="3" t="s">
        <v>105</v>
      </c>
    </row>
    <row r="23" customFormat="false" ht="14.25" hidden="false" customHeight="false" outlineLevel="0" collapsed="false">
      <c r="A23" s="0" t="s">
        <v>203</v>
      </c>
      <c r="B23" s="0" t="s">
        <v>204</v>
      </c>
      <c r="C23" s="0" t="s">
        <v>89</v>
      </c>
      <c r="D23" s="0" t="s">
        <v>90</v>
      </c>
      <c r="E23" s="0" t="n">
        <v>0</v>
      </c>
      <c r="F23" s="0" t="s">
        <v>91</v>
      </c>
      <c r="I23" s="0" t="n">
        <v>2015</v>
      </c>
      <c r="K23" s="0" t="s">
        <v>92</v>
      </c>
      <c r="L23" s="2" t="n">
        <v>46295</v>
      </c>
      <c r="M23" s="3" t="n">
        <f aca="false">IF(I23="","",(YEAR(L23)-I23)*12+MONTH(L23)-IF(J23="",1,J23))</f>
        <v>140</v>
      </c>
      <c r="N23" s="3" t="n">
        <f aca="false">IF(M23="","",ROUND(M23/12,2))</f>
        <v>11.67</v>
      </c>
      <c r="O23" s="3" t="s">
        <v>205</v>
      </c>
      <c r="P23" s="3" t="s">
        <v>165</v>
      </c>
      <c r="Q23" s="3" t="s">
        <v>206</v>
      </c>
      <c r="R23" s="0" t="n">
        <v>0</v>
      </c>
      <c r="S23" s="0" t="n">
        <v>1</v>
      </c>
      <c r="T23" s="0" t="n">
        <v>0</v>
      </c>
      <c r="U23" s="0" t="n">
        <v>0</v>
      </c>
      <c r="V23" s="0" t="n">
        <v>0</v>
      </c>
      <c r="W23" s="0" t="n">
        <v>0</v>
      </c>
      <c r="X23" s="3" t="s">
        <v>201</v>
      </c>
      <c r="Y23" s="0" t="n">
        <v>3</v>
      </c>
      <c r="Z23" s="0" t="n">
        <v>1</v>
      </c>
      <c r="AF23" s="3" t="n">
        <f aca="false">IF(SUMIF(Founders_Clean!$A$2:$A$159,A23,Founders_Clean!$C$2:$C$159)=0,"",SUMIF(Founders_Clean!$A$2:$A$159,A23,Founders_Clean!$C$2:$C$159))</f>
        <v>3</v>
      </c>
      <c r="AG23" s="3" t="n">
        <f aca="false">IF(AF23="","",SUMIF(Founders_Clean!$A$2:$A$159,A23,Founders_Clean!$D$2:$D$159))</f>
        <v>3</v>
      </c>
      <c r="AH23" s="3" t="n">
        <f aca="false">IF(AF23="","",SUMIF(Founders_Clean!$A$2:$A$159,A23,Founders_Clean!$E$2:$E$159))</f>
        <v>0</v>
      </c>
      <c r="AI23" s="3" t="n">
        <f aca="false">IF(AF23="","",IF((AG23+AH23)=0,"",AH23/(AG23+AH23)))</f>
        <v>0</v>
      </c>
      <c r="AJ23" s="3" t="n">
        <f aca="false">IF(AI23="","",IF(AH23&gt;0,1,0))</f>
        <v>0</v>
      </c>
      <c r="AK23" s="3" t="n">
        <f aca="false">IF(AI23="","",ROUND(1-(AI23^2+(1-AI23)^2),3))</f>
        <v>0</v>
      </c>
      <c r="AM23" s="0" t="n">
        <v>2</v>
      </c>
      <c r="AN23" s="3" t="s">
        <v>98</v>
      </c>
      <c r="AO23" s="0" t="n">
        <v>0</v>
      </c>
      <c r="AP23" s="0" t="n">
        <v>0</v>
      </c>
      <c r="AQ23" s="0" t="n">
        <v>0</v>
      </c>
      <c r="AX23" s="3" t="s">
        <v>101</v>
      </c>
      <c r="AY23" s="3" t="s">
        <v>102</v>
      </c>
      <c r="BA23" s="0" t="n">
        <v>0</v>
      </c>
      <c r="BB23" s="0" t="n">
        <v>0</v>
      </c>
      <c r="BC23" s="0" t="n">
        <v>0</v>
      </c>
      <c r="BF23" s="3" t="n">
        <f aca="false">IF(OR(I23="",BC23=""),"",IF(BC23=1,(BD23-I23)*12+IF(BE23="",7,BE23)-IF(J23="",1,J23),M23))</f>
        <v>140</v>
      </c>
      <c r="BG23" s="0" t="n">
        <v>0</v>
      </c>
      <c r="BH23" s="0" t="n">
        <v>0</v>
      </c>
      <c r="BI23" s="3" t="s">
        <v>116</v>
      </c>
      <c r="BK23" s="0" t="n">
        <v>0</v>
      </c>
      <c r="BL23" s="3" t="n">
        <f aca="false">COUNTIFS(Investments_Clean!$A$2:$A$150,A23,Investments_Clean!$F$2:$F$150,"Accepted")</f>
        <v>0</v>
      </c>
      <c r="BM23" s="0" t="str">
        <f aca="false">IF(BL23=0,"",IF((COUNTIFS(Investments_Clean!$A$2:$A$150,A23,Investments_Clean!$D$2:$D$150,"VC/PE",Investments_Clean!$F$2:$F$150,"Accepted"))&gt;0,1,0))</f>
        <v/>
      </c>
      <c r="BN23" s="0" t="str">
        <f aca="false">IF(BL23=0,"",IF((COUNTIFS(Investments_Clean!$A$2:$A$150,A23,Investments_Clean!$D$2:$D$150,"Angel",Investments_Clean!$F$2:$F$150,"Accepted"))&gt;0,1,0))</f>
        <v/>
      </c>
      <c r="BO23" s="0" t="str">
        <f aca="false">IF(BL23=0,"",IF((COUNTIFS(Investments_Clean!$A$2:$A$150,A23,Investments_Clean!$D$2:$D$150,"Accelerator",Investments_Clean!$F$2:$F$150,"Accepted"))&gt;0,1,0))</f>
        <v/>
      </c>
      <c r="BP23" s="0" t="str">
        <f aca="false">IF(BL23=0,"",IF((COUNTIFS(Investments_Clean!$A$2:$A$150,A23,Investments_Clean!$D$2:$D$150,"Corporate",Investments_Clean!$F$2:$F$150,"Accepted"))&gt;0,1,0))</f>
        <v/>
      </c>
      <c r="BQ23" s="0" t="str">
        <f aca="false">IF(BL23=0,"",IF((COUNTIFS(Investments_Clean!$A$2:$A$150,A23,Investments_Clean!$D$2:$D$150,"Government",Investments_Clean!$F$2:$F$150,"Accepted"))&gt;0,1,0))</f>
        <v/>
      </c>
      <c r="BR23" s="0" t="str">
        <f aca="false">IF(BL23=0,"",IF((COUNTIFS(Investments_Clean!$A$2:$A$150,A23,Investments_Clean!$D$2:$D$150,"Grant/Philanthropic",Investments_Clean!$F$2:$F$150,"Accepted")+COUNTIFS(Investments_Clean!$A$2:$A$150,A23,Investments_Clean!$D$2:$D$150,"DFI/Impact",Investments_Clean!$F$2:$F$150,"Accepted"))&gt;0,1,0))</f>
        <v/>
      </c>
      <c r="CA23" s="0" t="n">
        <v>0</v>
      </c>
      <c r="CC23" s="0" t="str">
        <f aca="false">IF(I23="","",IFERROR(IF(INDEX(Macro_Lookup!$B$2:$B$31,MATCH(I23,Macro_Lookup!$A$2:$A$31,0))="","",INDEX(Macro_Lookup!$B$2:$B$31,MATCH(I23,Macro_Lookup!$A$2:$A$31,0))),""))</f>
        <v/>
      </c>
      <c r="CD23" s="0" t="str">
        <f aca="false">IF(I23="","",IFERROR(IF(INDEX(Macro_Lookup!$C$2:$C$31,MATCH(I23,Macro_Lookup!$A$2:$A$31,0))="","",INDEX(Macro_Lookup!$C$2:$C$31,MATCH(I23,Macro_Lookup!$A$2:$A$31,0))),""))</f>
        <v/>
      </c>
      <c r="CE23" s="0" t="str">
        <f aca="false">IF(BJ23="","",IFERROR(IF(INDEX(Macro_Lookup!$B$2:$B$31,MATCH(BJ23,Macro_Lookup!$A$2:$A$31,0))="","",INDEX(Macro_Lookup!$B$2:$B$31,MATCH(BJ23,Macro_Lookup!$A$2:$A$31,0))),""))</f>
        <v/>
      </c>
      <c r="CF23" s="0" t="str">
        <f aca="false">IF(BJ23="","",IFERROR(IF(INDEX(Macro_Lookup!$C$2:$C$31,MATCH(BJ23,Macro_Lookup!$A$2:$A$31,0))="","",INDEX(Macro_Lookup!$C$2:$C$31,MATCH(BJ23,Macro_Lookup!$A$2:$A$31,0))),""))</f>
        <v/>
      </c>
      <c r="CG23" s="0" t="n">
        <v>5</v>
      </c>
      <c r="CH23" s="3" t="s">
        <v>104</v>
      </c>
      <c r="CI23" s="3" t="s">
        <v>105</v>
      </c>
    </row>
    <row r="24" customFormat="false" ht="14.25" hidden="false" customHeight="false" outlineLevel="0" collapsed="false">
      <c r="A24" s="0" t="s">
        <v>207</v>
      </c>
      <c r="B24" s="0" t="s">
        <v>208</v>
      </c>
      <c r="C24" s="0" t="s">
        <v>89</v>
      </c>
      <c r="D24" s="0" t="s">
        <v>90</v>
      </c>
      <c r="E24" s="0" t="n">
        <v>0</v>
      </c>
      <c r="F24" s="0" t="s">
        <v>91</v>
      </c>
      <c r="I24" s="0" t="n">
        <v>2015</v>
      </c>
      <c r="K24" s="0" t="s">
        <v>92</v>
      </c>
      <c r="L24" s="2" t="n">
        <v>46295</v>
      </c>
      <c r="M24" s="3" t="n">
        <f aca="false">IF(I24="","",(YEAR(L24)-I24)*12+MONTH(L24)-IF(J24="",1,J24))</f>
        <v>140</v>
      </c>
      <c r="N24" s="3" t="n">
        <f aca="false">IF(M24="","",ROUND(M24/12,2))</f>
        <v>11.67</v>
      </c>
      <c r="O24" s="3" t="s">
        <v>209</v>
      </c>
      <c r="P24" s="3" t="s">
        <v>210</v>
      </c>
      <c r="Q24" s="3" t="s">
        <v>211</v>
      </c>
      <c r="R24" s="0" t="n">
        <v>0</v>
      </c>
      <c r="S24" s="0" t="n">
        <v>0</v>
      </c>
      <c r="T24" s="0" t="n">
        <v>1</v>
      </c>
      <c r="U24" s="0" t="n">
        <v>0</v>
      </c>
      <c r="V24" s="0" t="n">
        <v>0</v>
      </c>
      <c r="W24" s="0" t="n">
        <v>0</v>
      </c>
      <c r="X24" s="3" t="s">
        <v>201</v>
      </c>
      <c r="Y24" s="0" t="n">
        <v>3</v>
      </c>
      <c r="Z24" s="0" t="n">
        <v>1</v>
      </c>
      <c r="AF24" s="3" t="n">
        <f aca="false">IF(SUMIF(Founders_Clean!$A$2:$A$159,A24,Founders_Clean!$C$2:$C$159)=0,"",SUMIF(Founders_Clean!$A$2:$A$159,A24,Founders_Clean!$C$2:$C$159))</f>
        <v>3</v>
      </c>
      <c r="AG24" s="3" t="n">
        <f aca="false">IF(AF24="","",SUMIF(Founders_Clean!$A$2:$A$159,A24,Founders_Clean!$D$2:$D$159))</f>
        <v>3</v>
      </c>
      <c r="AH24" s="3" t="n">
        <f aca="false">IF(AF24="","",SUMIF(Founders_Clean!$A$2:$A$159,A24,Founders_Clean!$E$2:$E$159))</f>
        <v>0</v>
      </c>
      <c r="AI24" s="3" t="n">
        <f aca="false">IF(AF24="","",IF((AG24+AH24)=0,"",AH24/(AG24+AH24)))</f>
        <v>0</v>
      </c>
      <c r="AJ24" s="3" t="n">
        <f aca="false">IF(AI24="","",IF(AH24&gt;0,1,0))</f>
        <v>0</v>
      </c>
      <c r="AK24" s="3" t="n">
        <f aca="false">IF(AI24="","",ROUND(1-(AI24^2+(1-AI24)^2),3))</f>
        <v>0</v>
      </c>
      <c r="AM24" s="0" t="n">
        <v>2</v>
      </c>
      <c r="AN24" s="3" t="s">
        <v>98</v>
      </c>
      <c r="AO24" s="0" t="n">
        <v>1</v>
      </c>
      <c r="AP24" s="0" t="n">
        <v>0.5</v>
      </c>
      <c r="AQ24" s="0" t="n">
        <v>1</v>
      </c>
      <c r="AR24" s="0" t="n">
        <v>4</v>
      </c>
      <c r="AS24" s="0" t="n">
        <v>4</v>
      </c>
      <c r="AX24" s="3" t="s">
        <v>101</v>
      </c>
      <c r="AY24" s="3" t="s">
        <v>102</v>
      </c>
      <c r="BA24" s="0" t="n">
        <v>0</v>
      </c>
      <c r="BB24" s="0" t="n">
        <v>0</v>
      </c>
      <c r="BC24" s="0" t="n">
        <v>0</v>
      </c>
      <c r="BF24" s="3" t="n">
        <f aca="false">IF(OR(I24="",BC24=""),"",IF(BC24=1,(BD24-I24)*12+IF(BE24="",7,BE24)-IF(J24="",1,J24),M24))</f>
        <v>140</v>
      </c>
      <c r="BG24" s="0" t="n">
        <v>1</v>
      </c>
      <c r="BH24" s="0" t="n">
        <v>12000000</v>
      </c>
      <c r="BI24" s="3" t="s">
        <v>103</v>
      </c>
      <c r="BJ24" s="0" t="n">
        <v>2024</v>
      </c>
      <c r="BK24" s="0" t="n">
        <v>1</v>
      </c>
      <c r="BL24" s="3" t="n">
        <f aca="false">COUNTIFS(Investments_Clean!$A$2:$A$150,A24,Investments_Clean!$F$2:$F$150,"Accepted")</f>
        <v>1</v>
      </c>
      <c r="BM24" s="3" t="n">
        <f aca="false">IF(BL24=0,"",IF((COUNTIFS(Investments_Clean!$A$2:$A$150,A24,Investments_Clean!$D$2:$D$150,"VC/PE",Investments_Clean!$F$2:$F$150,"Accepted"))&gt;0,1,0))</f>
        <v>1</v>
      </c>
      <c r="BN24" s="3" t="n">
        <f aca="false">IF(BL24=0,"",IF((COUNTIFS(Investments_Clean!$A$2:$A$150,A24,Investments_Clean!$D$2:$D$150,"Angel",Investments_Clean!$F$2:$F$150,"Accepted"))&gt;0,1,0))</f>
        <v>0</v>
      </c>
      <c r="BO24" s="3" t="n">
        <f aca="false">IF(BL24=0,"",IF((COUNTIFS(Investments_Clean!$A$2:$A$150,A24,Investments_Clean!$D$2:$D$150,"Accelerator",Investments_Clean!$F$2:$F$150,"Accepted"))&gt;0,1,0))</f>
        <v>0</v>
      </c>
      <c r="BP24" s="3" t="n">
        <f aca="false">IF(BL24=0,"",IF((COUNTIFS(Investments_Clean!$A$2:$A$150,A24,Investments_Clean!$D$2:$D$150,"Corporate",Investments_Clean!$F$2:$F$150,"Accepted"))&gt;0,1,0))</f>
        <v>0</v>
      </c>
      <c r="BQ24" s="3" t="n">
        <f aca="false">IF(BL24=0,"",IF((COUNTIFS(Investments_Clean!$A$2:$A$150,A24,Investments_Clean!$D$2:$D$150,"Government",Investments_Clean!$F$2:$F$150,"Accepted"))&gt;0,1,0))</f>
        <v>0</v>
      </c>
      <c r="BR24" s="3" t="n">
        <f aca="false">IF(BL24=0,"",IF((COUNTIFS(Investments_Clean!$A$2:$A$150,A24,Investments_Clean!$D$2:$D$150,"Grant/Philanthropic",Investments_Clean!$F$2:$F$150,"Accepted")+COUNTIFS(Investments_Clean!$A$2:$A$150,A24,Investments_Clean!$D$2:$D$150,"DFI/Impact",Investments_Clean!$F$2:$F$150,"Accepted"))&gt;0,1,0))</f>
        <v>0</v>
      </c>
      <c r="CA24" s="0" t="n">
        <v>0</v>
      </c>
      <c r="CC24" s="0" t="str">
        <f aca="false">IF(I24="","",IFERROR(IF(INDEX(Macro_Lookup!$B$2:$B$31,MATCH(I24,Macro_Lookup!$A$2:$A$31,0))="","",INDEX(Macro_Lookup!$B$2:$B$31,MATCH(I24,Macro_Lookup!$A$2:$A$31,0))),""))</f>
        <v/>
      </c>
      <c r="CD24" s="0" t="str">
        <f aca="false">IF(I24="","",IFERROR(IF(INDEX(Macro_Lookup!$C$2:$C$31,MATCH(I24,Macro_Lookup!$A$2:$A$31,0))="","",INDEX(Macro_Lookup!$C$2:$C$31,MATCH(I24,Macro_Lookup!$A$2:$A$31,0))),""))</f>
        <v/>
      </c>
      <c r="CE24" s="0" t="str">
        <f aca="false">IF(BJ24="","",IFERROR(IF(INDEX(Macro_Lookup!$B$2:$B$31,MATCH(BJ24,Macro_Lookup!$A$2:$A$31,0))="","",INDEX(Macro_Lookup!$B$2:$B$31,MATCH(BJ24,Macro_Lookup!$A$2:$A$31,0))),""))</f>
        <v/>
      </c>
      <c r="CF24" s="0" t="str">
        <f aca="false">IF(BJ24="","",IFERROR(IF(INDEX(Macro_Lookup!$C$2:$C$31,MATCH(BJ24,Macro_Lookup!$A$2:$A$31,0))="","",INDEX(Macro_Lookup!$C$2:$C$31,MATCH(BJ24,Macro_Lookup!$A$2:$A$31,0))),""))</f>
        <v/>
      </c>
      <c r="CG24" s="0" t="n">
        <v>4</v>
      </c>
      <c r="CH24" s="3" t="s">
        <v>104</v>
      </c>
      <c r="CI24" s="3" t="s">
        <v>105</v>
      </c>
    </row>
    <row r="25" customFormat="false" ht="14.25" hidden="false" customHeight="false" outlineLevel="0" collapsed="false">
      <c r="A25" s="0" t="s">
        <v>212</v>
      </c>
      <c r="B25" s="0" t="s">
        <v>213</v>
      </c>
      <c r="C25" s="0" t="s">
        <v>89</v>
      </c>
      <c r="D25" s="0" t="s">
        <v>90</v>
      </c>
      <c r="E25" s="0" t="n">
        <v>0</v>
      </c>
      <c r="F25" s="0" t="s">
        <v>91</v>
      </c>
      <c r="I25" s="0" t="n">
        <v>2014</v>
      </c>
      <c r="K25" s="0" t="s">
        <v>92</v>
      </c>
      <c r="L25" s="2" t="n">
        <v>46295</v>
      </c>
      <c r="M25" s="3" t="n">
        <f aca="false">IF(I25="","",(YEAR(L25)-I25)*12+MONTH(L25)-IF(J25="",1,J25))</f>
        <v>152</v>
      </c>
      <c r="N25" s="3" t="n">
        <f aca="false">IF(M25="","",ROUND(M25/12,2))</f>
        <v>12.67</v>
      </c>
      <c r="O25" s="3" t="s">
        <v>214</v>
      </c>
      <c r="P25" s="3" t="s">
        <v>210</v>
      </c>
      <c r="Q25" s="3" t="s">
        <v>215</v>
      </c>
      <c r="R25" s="0" t="n">
        <v>0</v>
      </c>
      <c r="S25" s="0" t="n">
        <v>1</v>
      </c>
      <c r="T25" s="0" t="n">
        <v>1</v>
      </c>
      <c r="U25" s="0" t="n">
        <v>0</v>
      </c>
      <c r="V25" s="0" t="n">
        <v>0</v>
      </c>
      <c r="W25" s="0" t="n">
        <v>0</v>
      </c>
      <c r="X25" s="3" t="s">
        <v>201</v>
      </c>
      <c r="Y25" s="0" t="n">
        <v>3</v>
      </c>
      <c r="Z25" s="0" t="n">
        <v>1</v>
      </c>
      <c r="AF25" s="3" t="n">
        <f aca="false">IF(SUMIF(Founders_Clean!$A$2:$A$159,A25,Founders_Clean!$C$2:$C$159)=0,"",SUMIF(Founders_Clean!$A$2:$A$159,A25,Founders_Clean!$C$2:$C$159))</f>
        <v>1</v>
      </c>
      <c r="AG25" s="3" t="n">
        <f aca="false">IF(AF25="","",SUMIF(Founders_Clean!$A$2:$A$159,A25,Founders_Clean!$D$2:$D$159))</f>
        <v>0</v>
      </c>
      <c r="AH25" s="3" t="n">
        <f aca="false">IF(AF25="","",SUMIF(Founders_Clean!$A$2:$A$159,A25,Founders_Clean!$E$2:$E$159))</f>
        <v>1</v>
      </c>
      <c r="AI25" s="3" t="n">
        <f aca="false">IF(AF25="","",IF((AG25+AH25)=0,"",AH25/(AG25+AH25)))</f>
        <v>1</v>
      </c>
      <c r="AJ25" s="3" t="n">
        <f aca="false">IF(AI25="","",IF(AH25&gt;0,1,0))</f>
        <v>1</v>
      </c>
      <c r="AK25" s="3" t="n">
        <f aca="false">IF(AI25="","",ROUND(1-(AI25^2+(1-AI25)^2),3))</f>
        <v>0</v>
      </c>
      <c r="AM25" s="0" t="n">
        <v>2</v>
      </c>
      <c r="AN25" s="3" t="s">
        <v>98</v>
      </c>
      <c r="AO25" s="0" t="n">
        <v>1</v>
      </c>
      <c r="AP25" s="0" t="n">
        <v>1</v>
      </c>
      <c r="AQ25" s="0" t="n">
        <v>0</v>
      </c>
      <c r="AR25" s="0" t="n">
        <v>13.5</v>
      </c>
      <c r="AS25" s="0" t="n">
        <v>13.5</v>
      </c>
      <c r="AX25" s="3" t="s">
        <v>101</v>
      </c>
      <c r="AY25" s="3" t="s">
        <v>102</v>
      </c>
      <c r="BA25" s="0" t="n">
        <v>0</v>
      </c>
      <c r="BB25" s="0" t="n">
        <v>0</v>
      </c>
      <c r="BC25" s="0" t="n">
        <v>0</v>
      </c>
      <c r="BF25" s="3" t="n">
        <f aca="false">IF(OR(I25="",BC25=""),"",IF(BC25=1,(BD25-I25)*12+IF(BE25="",7,BE25)-IF(J25="",1,J25),M25))</f>
        <v>152</v>
      </c>
      <c r="BG25" s="0" t="n">
        <v>1</v>
      </c>
      <c r="BH25" s="0" t="n">
        <v>3440000</v>
      </c>
      <c r="BI25" s="3" t="s">
        <v>103</v>
      </c>
      <c r="BJ25" s="0" t="n">
        <v>2023</v>
      </c>
      <c r="BK25" s="0" t="n">
        <v>1</v>
      </c>
      <c r="BL25" s="3" t="n">
        <f aca="false">COUNTIFS(Investments_Clean!$A$2:$A$150,A25,Investments_Clean!$F$2:$F$150,"Accepted")</f>
        <v>1</v>
      </c>
      <c r="BM25" s="3" t="n">
        <f aca="false">IF(BL25=0,"",IF((COUNTIFS(Investments_Clean!$A$2:$A$150,A25,Investments_Clean!$D$2:$D$150,"VC/PE",Investments_Clean!$F$2:$F$150,"Accepted"))&gt;0,1,0))</f>
        <v>1</v>
      </c>
      <c r="BN25" s="3" t="n">
        <f aca="false">IF(BL25=0,"",IF((COUNTIFS(Investments_Clean!$A$2:$A$150,A25,Investments_Clean!$D$2:$D$150,"Angel",Investments_Clean!$F$2:$F$150,"Accepted"))&gt;0,1,0))</f>
        <v>0</v>
      </c>
      <c r="BO25" s="3" t="n">
        <f aca="false">IF(BL25=0,"",IF((COUNTIFS(Investments_Clean!$A$2:$A$150,A25,Investments_Clean!$D$2:$D$150,"Accelerator",Investments_Clean!$F$2:$F$150,"Accepted"))&gt;0,1,0))</f>
        <v>0</v>
      </c>
      <c r="BP25" s="3" t="n">
        <f aca="false">IF(BL25=0,"",IF((COUNTIFS(Investments_Clean!$A$2:$A$150,A25,Investments_Clean!$D$2:$D$150,"Corporate",Investments_Clean!$F$2:$F$150,"Accepted"))&gt;0,1,0))</f>
        <v>0</v>
      </c>
      <c r="BQ25" s="3" t="n">
        <f aca="false">IF(BL25=0,"",IF((COUNTIFS(Investments_Clean!$A$2:$A$150,A25,Investments_Clean!$D$2:$D$150,"Government",Investments_Clean!$F$2:$F$150,"Accepted"))&gt;0,1,0))</f>
        <v>0</v>
      </c>
      <c r="BR25" s="3" t="n">
        <f aca="false">IF(BL25=0,"",IF((COUNTIFS(Investments_Clean!$A$2:$A$150,A25,Investments_Clean!$D$2:$D$150,"Grant/Philanthropic",Investments_Clean!$F$2:$F$150,"Accepted")+COUNTIFS(Investments_Clean!$A$2:$A$150,A25,Investments_Clean!$D$2:$D$150,"DFI/Impact",Investments_Clean!$F$2:$F$150,"Accepted"))&gt;0,1,0))</f>
        <v>0</v>
      </c>
      <c r="CA25" s="0" t="n">
        <v>0</v>
      </c>
      <c r="CC25" s="0" t="str">
        <f aca="false">IF(I25="","",IFERROR(IF(INDEX(Macro_Lookup!$B$2:$B$31,MATCH(I25,Macro_Lookup!$A$2:$A$31,0))="","",INDEX(Macro_Lookup!$B$2:$B$31,MATCH(I25,Macro_Lookup!$A$2:$A$31,0))),""))</f>
        <v/>
      </c>
      <c r="CD25" s="0" t="str">
        <f aca="false">IF(I25="","",IFERROR(IF(INDEX(Macro_Lookup!$C$2:$C$31,MATCH(I25,Macro_Lookup!$A$2:$A$31,0))="","",INDEX(Macro_Lookup!$C$2:$C$31,MATCH(I25,Macro_Lookup!$A$2:$A$31,0))),""))</f>
        <v/>
      </c>
      <c r="CE25" s="0" t="str">
        <f aca="false">IF(BJ25="","",IFERROR(IF(INDEX(Macro_Lookup!$B$2:$B$31,MATCH(BJ25,Macro_Lookup!$A$2:$A$31,0))="","",INDEX(Macro_Lookup!$B$2:$B$31,MATCH(BJ25,Macro_Lookup!$A$2:$A$31,0))),""))</f>
        <v/>
      </c>
      <c r="CF25" s="0" t="str">
        <f aca="false">IF(BJ25="","",IFERROR(IF(INDEX(Macro_Lookup!$C$2:$C$31,MATCH(BJ25,Macro_Lookup!$A$2:$A$31,0))="","",INDEX(Macro_Lookup!$C$2:$C$31,MATCH(BJ25,Macro_Lookup!$A$2:$A$31,0))),""))</f>
        <v/>
      </c>
      <c r="CG25" s="0" t="n">
        <v>4</v>
      </c>
      <c r="CH25" s="3" t="s">
        <v>104</v>
      </c>
      <c r="CI25" s="3" t="s">
        <v>105</v>
      </c>
    </row>
    <row r="26" customFormat="false" ht="14.25" hidden="false" customHeight="false" outlineLevel="0" collapsed="false">
      <c r="A26" s="0" t="s">
        <v>216</v>
      </c>
      <c r="B26" s="0" t="s">
        <v>217</v>
      </c>
      <c r="C26" s="0" t="s">
        <v>89</v>
      </c>
      <c r="D26" s="0" t="s">
        <v>90</v>
      </c>
      <c r="E26" s="0" t="n">
        <v>0</v>
      </c>
      <c r="F26" s="0" t="s">
        <v>91</v>
      </c>
      <c r="I26" s="0" t="n">
        <v>2014</v>
      </c>
      <c r="K26" s="0" t="s">
        <v>92</v>
      </c>
      <c r="L26" s="2" t="n">
        <v>46295</v>
      </c>
      <c r="M26" s="3" t="n">
        <f aca="false">IF(I26="","",(YEAR(L26)-I26)*12+MONTH(L26)-IF(J26="",1,J26))</f>
        <v>152</v>
      </c>
      <c r="N26" s="3" t="n">
        <f aca="false">IF(M26="","",ROUND(M26/12,2))</f>
        <v>12.67</v>
      </c>
      <c r="O26" s="3" t="s">
        <v>218</v>
      </c>
      <c r="P26" s="3" t="s">
        <v>210</v>
      </c>
      <c r="Q26" s="3" t="s">
        <v>219</v>
      </c>
      <c r="R26" s="0" t="n">
        <v>1</v>
      </c>
      <c r="S26" s="0" t="n">
        <v>0</v>
      </c>
      <c r="T26" s="0" t="n">
        <v>0</v>
      </c>
      <c r="U26" s="0" t="n">
        <v>0</v>
      </c>
      <c r="V26" s="0" t="n">
        <v>0</v>
      </c>
      <c r="W26" s="0" t="n">
        <v>0</v>
      </c>
      <c r="X26" s="3" t="s">
        <v>201</v>
      </c>
      <c r="Y26" s="0" t="n">
        <v>3</v>
      </c>
      <c r="Z26" s="0" t="n">
        <v>1</v>
      </c>
      <c r="AF26" s="3" t="n">
        <f aca="false">IF(SUMIF(Founders_Clean!$A$2:$A$159,A26,Founders_Clean!$C$2:$C$159)=0,"",SUMIF(Founders_Clean!$A$2:$A$159,A26,Founders_Clean!$C$2:$C$159))</f>
        <v>1</v>
      </c>
      <c r="AG26" s="3" t="n">
        <f aca="false">IF(AF26="","",SUMIF(Founders_Clean!$A$2:$A$159,A26,Founders_Clean!$D$2:$D$159))</f>
        <v>1</v>
      </c>
      <c r="AH26" s="3" t="n">
        <f aca="false">IF(AF26="","",SUMIF(Founders_Clean!$A$2:$A$159,A26,Founders_Clean!$E$2:$E$159))</f>
        <v>0</v>
      </c>
      <c r="AI26" s="3" t="n">
        <f aca="false">IF(AF26="","",IF((AG26+AH26)=0,"",AH26/(AG26+AH26)))</f>
        <v>0</v>
      </c>
      <c r="AJ26" s="3" t="n">
        <f aca="false">IF(AI26="","",IF(AH26&gt;0,1,0))</f>
        <v>0</v>
      </c>
      <c r="AK26" s="3" t="n">
        <f aca="false">IF(AI26="","",ROUND(1-(AI26^2+(1-AI26)^2),3))</f>
        <v>0</v>
      </c>
      <c r="AM26" s="0" t="n">
        <v>2</v>
      </c>
      <c r="AN26" s="3" t="s">
        <v>98</v>
      </c>
      <c r="AO26" s="0" t="n">
        <v>1</v>
      </c>
      <c r="AP26" s="0" t="n">
        <v>1</v>
      </c>
      <c r="AQ26" s="0" t="n">
        <v>1</v>
      </c>
      <c r="AR26" s="0" t="n">
        <v>6</v>
      </c>
      <c r="AS26" s="0" t="n">
        <v>6</v>
      </c>
      <c r="AX26" s="3" t="s">
        <v>101</v>
      </c>
      <c r="AY26" s="3" t="s">
        <v>102</v>
      </c>
      <c r="BA26" s="0" t="n">
        <v>0</v>
      </c>
      <c r="BB26" s="0" t="n">
        <v>0</v>
      </c>
      <c r="BC26" s="0" t="n">
        <v>0</v>
      </c>
      <c r="BF26" s="3" t="n">
        <f aca="false">IF(OR(I26="",BC26=""),"",IF(BC26=1,(BD26-I26)*12+IF(BE26="",7,BE26)-IF(J26="",1,J26),M26))</f>
        <v>152</v>
      </c>
      <c r="BG26" s="0" t="n">
        <v>1</v>
      </c>
      <c r="BJ26" s="0" t="n">
        <v>2015</v>
      </c>
      <c r="BK26" s="0" t="n">
        <v>1</v>
      </c>
      <c r="BL26" s="3" t="n">
        <f aca="false">COUNTIFS(Investments_Clean!$A$2:$A$150,A26,Investments_Clean!$F$2:$F$150,"Accepted")</f>
        <v>0</v>
      </c>
      <c r="BM26" s="0" t="str">
        <f aca="false">IF(BL26=0,"",IF((COUNTIFS(Investments_Clean!$A$2:$A$150,A26,Investments_Clean!$D$2:$D$150,"VC/PE",Investments_Clean!$F$2:$F$150,"Accepted"))&gt;0,1,0))</f>
        <v/>
      </c>
      <c r="BN26" s="0" t="str">
        <f aca="false">IF(BL26=0,"",IF((COUNTIFS(Investments_Clean!$A$2:$A$150,A26,Investments_Clean!$D$2:$D$150,"Angel",Investments_Clean!$F$2:$F$150,"Accepted"))&gt;0,1,0))</f>
        <v/>
      </c>
      <c r="BO26" s="0" t="str">
        <f aca="false">IF(BL26=0,"",IF((COUNTIFS(Investments_Clean!$A$2:$A$150,A26,Investments_Clean!$D$2:$D$150,"Accelerator",Investments_Clean!$F$2:$F$150,"Accepted"))&gt;0,1,0))</f>
        <v/>
      </c>
      <c r="BP26" s="0" t="str">
        <f aca="false">IF(BL26=0,"",IF((COUNTIFS(Investments_Clean!$A$2:$A$150,A26,Investments_Clean!$D$2:$D$150,"Corporate",Investments_Clean!$F$2:$F$150,"Accepted"))&gt;0,1,0))</f>
        <v/>
      </c>
      <c r="BQ26" s="0" t="str">
        <f aca="false">IF(BL26=0,"",IF((COUNTIFS(Investments_Clean!$A$2:$A$150,A26,Investments_Clean!$D$2:$D$150,"Government",Investments_Clean!$F$2:$F$150,"Accepted"))&gt;0,1,0))</f>
        <v/>
      </c>
      <c r="BR26" s="0" t="str">
        <f aca="false">IF(BL26=0,"",IF((COUNTIFS(Investments_Clean!$A$2:$A$150,A26,Investments_Clean!$D$2:$D$150,"Grant/Philanthropic",Investments_Clean!$F$2:$F$150,"Accepted")+COUNTIFS(Investments_Clean!$A$2:$A$150,A26,Investments_Clean!$D$2:$D$150,"DFI/Impact",Investments_Clean!$F$2:$F$150,"Accepted"))&gt;0,1,0))</f>
        <v/>
      </c>
      <c r="CA26" s="0" t="n">
        <v>0</v>
      </c>
      <c r="CC26" s="0" t="str">
        <f aca="false">IF(I26="","",IFERROR(IF(INDEX(Macro_Lookup!$B$2:$B$31,MATCH(I26,Macro_Lookup!$A$2:$A$31,0))="","",INDEX(Macro_Lookup!$B$2:$B$31,MATCH(I26,Macro_Lookup!$A$2:$A$31,0))),""))</f>
        <v/>
      </c>
      <c r="CD26" s="0" t="str">
        <f aca="false">IF(I26="","",IFERROR(IF(INDEX(Macro_Lookup!$C$2:$C$31,MATCH(I26,Macro_Lookup!$A$2:$A$31,0))="","",INDEX(Macro_Lookup!$C$2:$C$31,MATCH(I26,Macro_Lookup!$A$2:$A$31,0))),""))</f>
        <v/>
      </c>
      <c r="CE26" s="0" t="str">
        <f aca="false">IF(BJ26="","",IFERROR(IF(INDEX(Macro_Lookup!$B$2:$B$31,MATCH(BJ26,Macro_Lookup!$A$2:$A$31,0))="","",INDEX(Macro_Lookup!$B$2:$B$31,MATCH(BJ26,Macro_Lookup!$A$2:$A$31,0))),""))</f>
        <v/>
      </c>
      <c r="CF26" s="0" t="str">
        <f aca="false">IF(BJ26="","",IFERROR(IF(INDEX(Macro_Lookup!$C$2:$C$31,MATCH(BJ26,Macro_Lookup!$A$2:$A$31,0))="","",INDEX(Macro_Lookup!$C$2:$C$31,MATCH(BJ26,Macro_Lookup!$A$2:$A$31,0))),""))</f>
        <v/>
      </c>
      <c r="CG26" s="0" t="n">
        <v>4</v>
      </c>
      <c r="CH26" s="3" t="s">
        <v>104</v>
      </c>
      <c r="CI26" s="3" t="s">
        <v>105</v>
      </c>
    </row>
    <row r="27" customFormat="false" ht="14.25" hidden="false" customHeight="false" outlineLevel="0" collapsed="false">
      <c r="A27" s="0" t="s">
        <v>220</v>
      </c>
      <c r="B27" s="0" t="s">
        <v>221</v>
      </c>
      <c r="C27" s="0" t="s">
        <v>89</v>
      </c>
      <c r="D27" s="0" t="s">
        <v>90</v>
      </c>
      <c r="E27" s="0" t="n">
        <v>0</v>
      </c>
      <c r="F27" s="0" t="s">
        <v>91</v>
      </c>
      <c r="I27" s="0" t="n">
        <v>2017</v>
      </c>
      <c r="K27" s="0" t="s">
        <v>92</v>
      </c>
      <c r="L27" s="2" t="n">
        <v>46295</v>
      </c>
      <c r="M27" s="3" t="n">
        <f aca="false">IF(I27="","",(YEAR(L27)-I27)*12+MONTH(L27)-IF(J27="",1,J27))</f>
        <v>116</v>
      </c>
      <c r="N27" s="3" t="n">
        <f aca="false">IF(M27="","",ROUND(M27/12,2))</f>
        <v>9.67</v>
      </c>
      <c r="O27" s="3" t="s">
        <v>222</v>
      </c>
      <c r="P27" s="3" t="s">
        <v>210</v>
      </c>
      <c r="Q27" s="3" t="s">
        <v>223</v>
      </c>
      <c r="R27" s="0" t="n">
        <v>1</v>
      </c>
      <c r="S27" s="0" t="n">
        <v>1</v>
      </c>
      <c r="T27" s="0" t="n">
        <v>1</v>
      </c>
      <c r="U27" s="0" t="n">
        <v>0</v>
      </c>
      <c r="V27" s="0" t="n">
        <v>0</v>
      </c>
      <c r="W27" s="0" t="n">
        <v>0</v>
      </c>
      <c r="X27" s="3" t="s">
        <v>201</v>
      </c>
      <c r="Y27" s="0" t="n">
        <v>3</v>
      </c>
      <c r="Z27" s="0" t="n">
        <v>1</v>
      </c>
      <c r="AF27" s="3" t="n">
        <f aca="false">IF(SUMIF(Founders_Clean!$A$2:$A$159,A27,Founders_Clean!$C$2:$C$159)=0,"",SUMIF(Founders_Clean!$A$2:$A$159,A27,Founders_Clean!$C$2:$C$159))</f>
        <v>2</v>
      </c>
      <c r="AG27" s="3" t="n">
        <f aca="false">IF(AF27="","",SUMIF(Founders_Clean!$A$2:$A$159,A27,Founders_Clean!$D$2:$D$159))</f>
        <v>2</v>
      </c>
      <c r="AH27" s="3" t="n">
        <f aca="false">IF(AF27="","",SUMIF(Founders_Clean!$A$2:$A$159,A27,Founders_Clean!$E$2:$E$159))</f>
        <v>0</v>
      </c>
      <c r="AI27" s="3" t="n">
        <f aca="false">IF(AF27="","",IF((AG27+AH27)=0,"",AH27/(AG27+AH27)))</f>
        <v>0</v>
      </c>
      <c r="AJ27" s="3" t="n">
        <f aca="false">IF(AI27="","",IF(AH27&gt;0,1,0))</f>
        <v>0</v>
      </c>
      <c r="AK27" s="3" t="n">
        <f aca="false">IF(AI27="","",ROUND(1-(AI27^2+(1-AI27)^2),3))</f>
        <v>0</v>
      </c>
      <c r="AM27" s="0" t="n">
        <v>1</v>
      </c>
      <c r="AN27" s="3" t="s">
        <v>147</v>
      </c>
      <c r="AO27" s="0" t="n">
        <v>0</v>
      </c>
      <c r="AP27" s="0" t="n">
        <v>0</v>
      </c>
      <c r="AQ27" s="0" t="n">
        <v>0</v>
      </c>
      <c r="AR27" s="0" t="n">
        <v>14</v>
      </c>
      <c r="AS27" s="0" t="n">
        <v>14</v>
      </c>
      <c r="AX27" s="3" t="s">
        <v>101</v>
      </c>
      <c r="AY27" s="3" t="s">
        <v>102</v>
      </c>
      <c r="BA27" s="0" t="n">
        <v>0</v>
      </c>
      <c r="BB27" s="0" t="n">
        <v>0</v>
      </c>
      <c r="BC27" s="0" t="n">
        <v>0</v>
      </c>
      <c r="BF27" s="3" t="n">
        <f aca="false">IF(OR(I27="",BC27=""),"",IF(BC27=1,(BD27-I27)*12+IF(BE27="",7,BE27)-IF(J27="",1,J27),M27))</f>
        <v>116</v>
      </c>
      <c r="BG27" s="0" t="n">
        <v>1</v>
      </c>
      <c r="BH27" s="0" t="n">
        <v>4000000</v>
      </c>
      <c r="BI27" s="3" t="s">
        <v>103</v>
      </c>
      <c r="BJ27" s="0" t="n">
        <v>2021</v>
      </c>
      <c r="BK27" s="0" t="n">
        <v>1</v>
      </c>
      <c r="BL27" s="3" t="n">
        <f aca="false">COUNTIFS(Investments_Clean!$A$2:$A$150,A27,Investments_Clean!$F$2:$F$150,"Accepted")</f>
        <v>1</v>
      </c>
      <c r="BM27" s="3" t="n">
        <f aca="false">IF(BL27=0,"",IF((COUNTIFS(Investments_Clean!$A$2:$A$150,A27,Investments_Clean!$D$2:$D$150,"VC/PE",Investments_Clean!$F$2:$F$150,"Accepted"))&gt;0,1,0))</f>
        <v>0</v>
      </c>
      <c r="BN27" s="3" t="n">
        <f aca="false">IF(BL27=0,"",IF((COUNTIFS(Investments_Clean!$A$2:$A$150,A27,Investments_Clean!$D$2:$D$150,"Angel",Investments_Clean!$F$2:$F$150,"Accepted"))&gt;0,1,0))</f>
        <v>0</v>
      </c>
      <c r="BO27" s="3" t="n">
        <f aca="false">IF(BL27=0,"",IF((COUNTIFS(Investments_Clean!$A$2:$A$150,A27,Investments_Clean!$D$2:$D$150,"Accelerator",Investments_Clean!$F$2:$F$150,"Accepted"))&gt;0,1,0))</f>
        <v>0</v>
      </c>
      <c r="BP27" s="3" t="n">
        <f aca="false">IF(BL27=0,"",IF((COUNTIFS(Investments_Clean!$A$2:$A$150,A27,Investments_Clean!$D$2:$D$150,"Corporate",Investments_Clean!$F$2:$F$150,"Accepted"))&gt;0,1,0))</f>
        <v>0</v>
      </c>
      <c r="BQ27" s="3" t="n">
        <f aca="false">IF(BL27=0,"",IF((COUNTIFS(Investments_Clean!$A$2:$A$150,A27,Investments_Clean!$D$2:$D$150,"Government",Investments_Clean!$F$2:$F$150,"Accepted"))&gt;0,1,0))</f>
        <v>0</v>
      </c>
      <c r="BR27" s="3" t="n">
        <f aca="false">IF(BL27=0,"",IF((COUNTIFS(Investments_Clean!$A$2:$A$150,A27,Investments_Clean!$D$2:$D$150,"Grant/Philanthropic",Investments_Clean!$F$2:$F$150,"Accepted")+COUNTIFS(Investments_Clean!$A$2:$A$150,A27,Investments_Clean!$D$2:$D$150,"DFI/Impact",Investments_Clean!$F$2:$F$150,"Accepted"))&gt;0,1,0))</f>
        <v>1</v>
      </c>
      <c r="CA27" s="0" t="n">
        <v>0</v>
      </c>
      <c r="CC27" s="0" t="str">
        <f aca="false">IF(I27="","",IFERROR(IF(INDEX(Macro_Lookup!$B$2:$B$31,MATCH(I27,Macro_Lookup!$A$2:$A$31,0))="","",INDEX(Macro_Lookup!$B$2:$B$31,MATCH(I27,Macro_Lookup!$A$2:$A$31,0))),""))</f>
        <v/>
      </c>
      <c r="CD27" s="0" t="str">
        <f aca="false">IF(I27="","",IFERROR(IF(INDEX(Macro_Lookup!$C$2:$C$31,MATCH(I27,Macro_Lookup!$A$2:$A$31,0))="","",INDEX(Macro_Lookup!$C$2:$C$31,MATCH(I27,Macro_Lookup!$A$2:$A$31,0))),""))</f>
        <v/>
      </c>
      <c r="CE27" s="0" t="str">
        <f aca="false">IF(BJ27="","",IFERROR(IF(INDEX(Macro_Lookup!$B$2:$B$31,MATCH(BJ27,Macro_Lookup!$A$2:$A$31,0))="","",INDEX(Macro_Lookup!$B$2:$B$31,MATCH(BJ27,Macro_Lookup!$A$2:$A$31,0))),""))</f>
        <v/>
      </c>
      <c r="CF27" s="0" t="str">
        <f aca="false">IF(BJ27="","",IFERROR(IF(INDEX(Macro_Lookup!$C$2:$C$31,MATCH(BJ27,Macro_Lookup!$A$2:$A$31,0))="","",INDEX(Macro_Lookup!$C$2:$C$31,MATCH(BJ27,Macro_Lookup!$A$2:$A$31,0))),""))</f>
        <v/>
      </c>
      <c r="CG27" s="0" t="n">
        <v>4</v>
      </c>
      <c r="CH27" s="3" t="s">
        <v>104</v>
      </c>
      <c r="CI27" s="3" t="s">
        <v>105</v>
      </c>
    </row>
    <row r="28" customFormat="false" ht="14.25" hidden="false" customHeight="false" outlineLevel="0" collapsed="false">
      <c r="A28" s="0" t="s">
        <v>224</v>
      </c>
      <c r="B28" s="0" t="s">
        <v>225</v>
      </c>
      <c r="C28" s="0" t="s">
        <v>89</v>
      </c>
      <c r="D28" s="0" t="s">
        <v>90</v>
      </c>
      <c r="E28" s="0" t="n">
        <v>0</v>
      </c>
      <c r="F28" s="0" t="s">
        <v>91</v>
      </c>
      <c r="I28" s="0" t="n">
        <v>2019</v>
      </c>
      <c r="K28" s="0" t="s">
        <v>92</v>
      </c>
      <c r="L28" s="2" t="n">
        <v>46295</v>
      </c>
      <c r="M28" s="3" t="n">
        <f aca="false">IF(I28="","",(YEAR(L28)-I28)*12+MONTH(L28)-IF(J28="",1,J28))</f>
        <v>92</v>
      </c>
      <c r="N28" s="3" t="n">
        <f aca="false">IF(M28="","",ROUND(M28/12,2))</f>
        <v>7.67</v>
      </c>
      <c r="O28" s="3" t="s">
        <v>226</v>
      </c>
      <c r="P28" s="3" t="s">
        <v>210</v>
      </c>
      <c r="Q28" s="3" t="s">
        <v>227</v>
      </c>
      <c r="R28" s="0" t="n">
        <v>1</v>
      </c>
      <c r="S28" s="0" t="n">
        <v>1</v>
      </c>
      <c r="T28" s="0" t="n">
        <v>0</v>
      </c>
      <c r="U28" s="0" t="n">
        <v>0</v>
      </c>
      <c r="V28" s="0" t="n">
        <v>0</v>
      </c>
      <c r="W28" s="0" t="n">
        <v>0</v>
      </c>
      <c r="X28" s="3" t="s">
        <v>201</v>
      </c>
      <c r="Y28" s="0" t="n">
        <v>3</v>
      </c>
      <c r="Z28" s="0" t="n">
        <v>1</v>
      </c>
      <c r="AF28" s="3" t="n">
        <f aca="false">IF(SUMIF(Founders_Clean!$A$2:$A$159,A28,Founders_Clean!$C$2:$C$159)=0,"",SUMIF(Founders_Clean!$A$2:$A$159,A28,Founders_Clean!$C$2:$C$159))</f>
        <v>3</v>
      </c>
      <c r="AG28" s="3" t="n">
        <f aca="false">IF(AF28="","",SUMIF(Founders_Clean!$A$2:$A$159,A28,Founders_Clean!$D$2:$D$159))</f>
        <v>3</v>
      </c>
      <c r="AH28" s="3" t="n">
        <f aca="false">IF(AF28="","",SUMIF(Founders_Clean!$A$2:$A$159,A28,Founders_Clean!$E$2:$E$159))</f>
        <v>0</v>
      </c>
      <c r="AI28" s="3" t="n">
        <f aca="false">IF(AF28="","",IF((AG28+AH28)=0,"",AH28/(AG28+AH28)))</f>
        <v>0</v>
      </c>
      <c r="AJ28" s="3" t="n">
        <f aca="false">IF(AI28="","",IF(AH28&gt;0,1,0))</f>
        <v>0</v>
      </c>
      <c r="AK28" s="3" t="n">
        <f aca="false">IF(AI28="","",ROUND(1-(AI28^2+(1-AI28)^2),3))</f>
        <v>0</v>
      </c>
      <c r="AQ28" s="0" t="n">
        <v>0</v>
      </c>
      <c r="AX28" s="3" t="s">
        <v>101</v>
      </c>
      <c r="AY28" s="3" t="s">
        <v>102</v>
      </c>
      <c r="BA28" s="0" t="n">
        <v>0</v>
      </c>
      <c r="BB28" s="0" t="n">
        <v>0</v>
      </c>
      <c r="BC28" s="0" t="n">
        <v>0</v>
      </c>
      <c r="BF28" s="3" t="n">
        <f aca="false">IF(OR(I28="",BC28=""),"",IF(BC28=1,(BD28-I28)*12+IF(BE28="",7,BE28)-IF(J28="",1,J28),M28))</f>
        <v>92</v>
      </c>
      <c r="BG28" s="0" t="n">
        <v>1</v>
      </c>
      <c r="BJ28" s="0" t="n">
        <v>2020</v>
      </c>
      <c r="BK28" s="0" t="n">
        <v>1</v>
      </c>
      <c r="BL28" s="3" t="n">
        <f aca="false">COUNTIFS(Investments_Clean!$A$2:$A$150,A28,Investments_Clean!$F$2:$F$150,"Accepted")</f>
        <v>1</v>
      </c>
      <c r="BM28" s="3" t="n">
        <f aca="false">IF(BL28=0,"",IF((COUNTIFS(Investments_Clean!$A$2:$A$150,A28,Investments_Clean!$D$2:$D$150,"VC/PE",Investments_Clean!$F$2:$F$150,"Accepted"))&gt;0,1,0))</f>
        <v>0</v>
      </c>
      <c r="BN28" s="3" t="n">
        <f aca="false">IF(BL28=0,"",IF((COUNTIFS(Investments_Clean!$A$2:$A$150,A28,Investments_Clean!$D$2:$D$150,"Angel",Investments_Clean!$F$2:$F$150,"Accepted"))&gt;0,1,0))</f>
        <v>1</v>
      </c>
      <c r="BO28" s="3" t="n">
        <f aca="false">IF(BL28=0,"",IF((COUNTIFS(Investments_Clean!$A$2:$A$150,A28,Investments_Clean!$D$2:$D$150,"Accelerator",Investments_Clean!$F$2:$F$150,"Accepted"))&gt;0,1,0))</f>
        <v>0</v>
      </c>
      <c r="BP28" s="3" t="n">
        <f aca="false">IF(BL28=0,"",IF((COUNTIFS(Investments_Clean!$A$2:$A$150,A28,Investments_Clean!$D$2:$D$150,"Corporate",Investments_Clean!$F$2:$F$150,"Accepted"))&gt;0,1,0))</f>
        <v>0</v>
      </c>
      <c r="BQ28" s="3" t="n">
        <f aca="false">IF(BL28=0,"",IF((COUNTIFS(Investments_Clean!$A$2:$A$150,A28,Investments_Clean!$D$2:$D$150,"Government",Investments_Clean!$F$2:$F$150,"Accepted"))&gt;0,1,0))</f>
        <v>0</v>
      </c>
      <c r="BR28" s="3" t="n">
        <f aca="false">IF(BL28=0,"",IF((COUNTIFS(Investments_Clean!$A$2:$A$150,A28,Investments_Clean!$D$2:$D$150,"Grant/Philanthropic",Investments_Clean!$F$2:$F$150,"Accepted")+COUNTIFS(Investments_Clean!$A$2:$A$150,A28,Investments_Clean!$D$2:$D$150,"DFI/Impact",Investments_Clean!$F$2:$F$150,"Accepted"))&gt;0,1,0))</f>
        <v>0</v>
      </c>
      <c r="CA28" s="0" t="n">
        <v>0</v>
      </c>
      <c r="CC28" s="0" t="str">
        <f aca="false">IF(I28="","",IFERROR(IF(INDEX(Macro_Lookup!$B$2:$B$31,MATCH(I28,Macro_Lookup!$A$2:$A$31,0))="","",INDEX(Macro_Lookup!$B$2:$B$31,MATCH(I28,Macro_Lookup!$A$2:$A$31,0))),""))</f>
        <v/>
      </c>
      <c r="CD28" s="0" t="str">
        <f aca="false">IF(I28="","",IFERROR(IF(INDEX(Macro_Lookup!$C$2:$C$31,MATCH(I28,Macro_Lookup!$A$2:$A$31,0))="","",INDEX(Macro_Lookup!$C$2:$C$31,MATCH(I28,Macro_Lookup!$A$2:$A$31,0))),""))</f>
        <v/>
      </c>
      <c r="CE28" s="0" t="str">
        <f aca="false">IF(BJ28="","",IFERROR(IF(INDEX(Macro_Lookup!$B$2:$B$31,MATCH(BJ28,Macro_Lookup!$A$2:$A$31,0))="","",INDEX(Macro_Lookup!$B$2:$B$31,MATCH(BJ28,Macro_Lookup!$A$2:$A$31,0))),""))</f>
        <v/>
      </c>
      <c r="CF28" s="0" t="str">
        <f aca="false">IF(BJ28="","",IFERROR(IF(INDEX(Macro_Lookup!$C$2:$C$31,MATCH(BJ28,Macro_Lookup!$A$2:$A$31,0))="","",INDEX(Macro_Lookup!$C$2:$C$31,MATCH(BJ28,Macro_Lookup!$A$2:$A$31,0))),""))</f>
        <v/>
      </c>
      <c r="CG28" s="0" t="n">
        <v>7</v>
      </c>
      <c r="CH28" s="3" t="s">
        <v>104</v>
      </c>
      <c r="CI28" s="3" t="s">
        <v>105</v>
      </c>
    </row>
    <row r="29" customFormat="false" ht="14.25" hidden="false" customHeight="false" outlineLevel="0" collapsed="false">
      <c r="A29" s="0" t="s">
        <v>228</v>
      </c>
      <c r="B29" s="0" t="s">
        <v>229</v>
      </c>
      <c r="C29" s="0" t="s">
        <v>89</v>
      </c>
      <c r="D29" s="0" t="s">
        <v>90</v>
      </c>
      <c r="E29" s="0" t="n">
        <v>0</v>
      </c>
      <c r="F29" s="0" t="s">
        <v>91</v>
      </c>
      <c r="I29" s="0" t="n">
        <v>2018</v>
      </c>
      <c r="K29" s="0" t="s">
        <v>92</v>
      </c>
      <c r="L29" s="2" t="n">
        <v>46295</v>
      </c>
      <c r="M29" s="3" t="n">
        <f aca="false">IF(I29="","",(YEAR(L29)-I29)*12+MONTH(L29)-IF(J29="",1,J29))</f>
        <v>104</v>
      </c>
      <c r="N29" s="3" t="n">
        <f aca="false">IF(M29="","",ROUND(M29/12,2))</f>
        <v>8.67</v>
      </c>
      <c r="O29" s="3" t="s">
        <v>230</v>
      </c>
      <c r="P29" s="3" t="s">
        <v>210</v>
      </c>
      <c r="Q29" s="3" t="s">
        <v>231</v>
      </c>
      <c r="R29" s="0" t="n">
        <v>0</v>
      </c>
      <c r="S29" s="0" t="n">
        <v>0</v>
      </c>
      <c r="T29" s="0" t="n">
        <v>1</v>
      </c>
      <c r="U29" s="0" t="n">
        <v>0</v>
      </c>
      <c r="V29" s="0" t="n">
        <v>0</v>
      </c>
      <c r="W29" s="0" t="n">
        <v>0</v>
      </c>
      <c r="X29" s="3" t="s">
        <v>201</v>
      </c>
      <c r="Y29" s="0" t="n">
        <v>3</v>
      </c>
      <c r="Z29" s="0" t="n">
        <v>1</v>
      </c>
      <c r="AA29" s="0" t="n">
        <v>1</v>
      </c>
      <c r="AB29" s="3" t="s">
        <v>232</v>
      </c>
      <c r="AF29" s="3" t="n">
        <f aca="false">IF(SUMIF(Founders_Clean!$A$2:$A$159,A29,Founders_Clean!$C$2:$C$159)=0,"",SUMIF(Founders_Clean!$A$2:$A$159,A29,Founders_Clean!$C$2:$C$159))</f>
        <v>3</v>
      </c>
      <c r="AG29" s="3" t="n">
        <f aca="false">IF(AF29="","",SUMIF(Founders_Clean!$A$2:$A$159,A29,Founders_Clean!$D$2:$D$159))</f>
        <v>3</v>
      </c>
      <c r="AH29" s="3" t="n">
        <f aca="false">IF(AF29="","",SUMIF(Founders_Clean!$A$2:$A$159,A29,Founders_Clean!$E$2:$E$159))</f>
        <v>0</v>
      </c>
      <c r="AI29" s="3" t="n">
        <f aca="false">IF(AF29="","",IF((AG29+AH29)=0,"",AH29/(AG29+AH29)))</f>
        <v>0</v>
      </c>
      <c r="AJ29" s="3" t="n">
        <f aca="false">IF(AI29="","",IF(AH29&gt;0,1,0))</f>
        <v>0</v>
      </c>
      <c r="AK29" s="3" t="n">
        <f aca="false">IF(AI29="","",ROUND(1-(AI29^2+(1-AI29)^2),3))</f>
        <v>0</v>
      </c>
      <c r="AM29" s="0" t="n">
        <v>1</v>
      </c>
      <c r="AN29" s="3" t="s">
        <v>147</v>
      </c>
      <c r="AO29" s="0" t="n">
        <v>1</v>
      </c>
      <c r="AP29" s="0" t="n">
        <v>0.333333333333333</v>
      </c>
      <c r="AQ29" s="0" t="n">
        <v>1</v>
      </c>
      <c r="AR29" s="0" t="n">
        <v>2</v>
      </c>
      <c r="AS29" s="0" t="n">
        <v>2</v>
      </c>
      <c r="AX29" s="3" t="s">
        <v>101</v>
      </c>
      <c r="AY29" s="3" t="s">
        <v>102</v>
      </c>
      <c r="BA29" s="0" t="n">
        <v>0</v>
      </c>
      <c r="BB29" s="0" t="n">
        <v>0</v>
      </c>
      <c r="BC29" s="0" t="n">
        <v>0</v>
      </c>
      <c r="BF29" s="3" t="n">
        <f aca="false">IF(OR(I29="",BC29=""),"",IF(BC29=1,(BD29-I29)*12+IF(BE29="",7,BE29)-IF(J29="",1,J29),M29))</f>
        <v>104</v>
      </c>
      <c r="BG29" s="0" t="n">
        <v>1</v>
      </c>
      <c r="BH29" s="0" t="n">
        <v>1500000</v>
      </c>
      <c r="BI29" s="3" t="s">
        <v>103</v>
      </c>
      <c r="BJ29" s="0" t="n">
        <v>2022</v>
      </c>
      <c r="BK29" s="0" t="n">
        <v>1</v>
      </c>
      <c r="BL29" s="3" t="n">
        <f aca="false">COUNTIFS(Investments_Clean!$A$2:$A$150,A29,Investments_Clean!$F$2:$F$150,"Accepted")</f>
        <v>1</v>
      </c>
      <c r="BM29" s="3" t="n">
        <f aca="false">IF(BL29=0,"",IF((COUNTIFS(Investments_Clean!$A$2:$A$150,A29,Investments_Clean!$D$2:$D$150,"VC/PE",Investments_Clean!$F$2:$F$150,"Accepted"))&gt;0,1,0))</f>
        <v>1</v>
      </c>
      <c r="BN29" s="3" t="n">
        <f aca="false">IF(BL29=0,"",IF((COUNTIFS(Investments_Clean!$A$2:$A$150,A29,Investments_Clean!$D$2:$D$150,"Angel",Investments_Clean!$F$2:$F$150,"Accepted"))&gt;0,1,0))</f>
        <v>0</v>
      </c>
      <c r="BO29" s="3" t="n">
        <f aca="false">IF(BL29=0,"",IF((COUNTIFS(Investments_Clean!$A$2:$A$150,A29,Investments_Clean!$D$2:$D$150,"Accelerator",Investments_Clean!$F$2:$F$150,"Accepted"))&gt;0,1,0))</f>
        <v>0</v>
      </c>
      <c r="BP29" s="3" t="n">
        <f aca="false">IF(BL29=0,"",IF((COUNTIFS(Investments_Clean!$A$2:$A$150,A29,Investments_Clean!$D$2:$D$150,"Corporate",Investments_Clean!$F$2:$F$150,"Accepted"))&gt;0,1,0))</f>
        <v>0</v>
      </c>
      <c r="BQ29" s="3" t="n">
        <f aca="false">IF(BL29=0,"",IF((COUNTIFS(Investments_Clean!$A$2:$A$150,A29,Investments_Clean!$D$2:$D$150,"Government",Investments_Clean!$F$2:$F$150,"Accepted"))&gt;0,1,0))</f>
        <v>0</v>
      </c>
      <c r="BR29" s="3" t="n">
        <f aca="false">IF(BL29=0,"",IF((COUNTIFS(Investments_Clean!$A$2:$A$150,A29,Investments_Clean!$D$2:$D$150,"Grant/Philanthropic",Investments_Clean!$F$2:$F$150,"Accepted")+COUNTIFS(Investments_Clean!$A$2:$A$150,A29,Investments_Clean!$D$2:$D$150,"DFI/Impact",Investments_Clean!$F$2:$F$150,"Accepted"))&gt;0,1,0))</f>
        <v>0</v>
      </c>
      <c r="CA29" s="0" t="n">
        <v>0</v>
      </c>
      <c r="CC29" s="0" t="str">
        <f aca="false">IF(I29="","",IFERROR(IF(INDEX(Macro_Lookup!$B$2:$B$31,MATCH(I29,Macro_Lookup!$A$2:$A$31,0))="","",INDEX(Macro_Lookup!$B$2:$B$31,MATCH(I29,Macro_Lookup!$A$2:$A$31,0))),""))</f>
        <v/>
      </c>
      <c r="CD29" s="0" t="str">
        <f aca="false">IF(I29="","",IFERROR(IF(INDEX(Macro_Lookup!$C$2:$C$31,MATCH(I29,Macro_Lookup!$A$2:$A$31,0))="","",INDEX(Macro_Lookup!$C$2:$C$31,MATCH(I29,Macro_Lookup!$A$2:$A$31,0))),""))</f>
        <v/>
      </c>
      <c r="CE29" s="0" t="str">
        <f aca="false">IF(BJ29="","",IFERROR(IF(INDEX(Macro_Lookup!$B$2:$B$31,MATCH(BJ29,Macro_Lookup!$A$2:$A$31,0))="","",INDEX(Macro_Lookup!$B$2:$B$31,MATCH(BJ29,Macro_Lookup!$A$2:$A$31,0))),""))</f>
        <v/>
      </c>
      <c r="CF29" s="0" t="str">
        <f aca="false">IF(BJ29="","",IFERROR(IF(INDEX(Macro_Lookup!$C$2:$C$31,MATCH(BJ29,Macro_Lookup!$A$2:$A$31,0))="","",INDEX(Macro_Lookup!$C$2:$C$31,MATCH(BJ29,Macro_Lookup!$A$2:$A$31,0))),""))</f>
        <v/>
      </c>
      <c r="CG29" s="0" t="n">
        <v>3</v>
      </c>
      <c r="CH29" s="3" t="s">
        <v>104</v>
      </c>
      <c r="CI29" s="3" t="s">
        <v>105</v>
      </c>
    </row>
    <row r="30" customFormat="false" ht="14.25" hidden="false" customHeight="false" outlineLevel="0" collapsed="false">
      <c r="A30" s="0" t="s">
        <v>233</v>
      </c>
      <c r="B30" s="0" t="s">
        <v>234</v>
      </c>
      <c r="C30" s="0" t="s">
        <v>89</v>
      </c>
      <c r="D30" s="0" t="s">
        <v>90</v>
      </c>
      <c r="E30" s="0" t="n">
        <v>0</v>
      </c>
      <c r="F30" s="0" t="s">
        <v>91</v>
      </c>
      <c r="I30" s="0" t="n">
        <v>2016</v>
      </c>
      <c r="K30" s="0" t="s">
        <v>92</v>
      </c>
      <c r="L30" s="2" t="n">
        <v>46295</v>
      </c>
      <c r="M30" s="3" t="n">
        <f aca="false">IF(I30="","",(YEAR(L30)-I30)*12+MONTH(L30)-IF(J30="",1,J30))</f>
        <v>128</v>
      </c>
      <c r="N30" s="3" t="n">
        <f aca="false">IF(M30="","",ROUND(M30/12,2))</f>
        <v>10.67</v>
      </c>
      <c r="O30" s="3" t="s">
        <v>235</v>
      </c>
      <c r="P30" s="3" t="s">
        <v>210</v>
      </c>
      <c r="Q30" s="3" t="s">
        <v>236</v>
      </c>
      <c r="R30" s="0" t="n">
        <v>1</v>
      </c>
      <c r="S30" s="0" t="n">
        <v>1</v>
      </c>
      <c r="T30" s="0" t="n">
        <v>0</v>
      </c>
      <c r="U30" s="0" t="n">
        <v>0</v>
      </c>
      <c r="V30" s="0" t="n">
        <v>0</v>
      </c>
      <c r="W30" s="0" t="n">
        <v>0</v>
      </c>
      <c r="X30" s="3" t="s">
        <v>201</v>
      </c>
      <c r="Y30" s="0" t="n">
        <v>3</v>
      </c>
      <c r="Z30" s="0" t="n">
        <v>1</v>
      </c>
      <c r="AF30" s="3" t="n">
        <f aca="false">IF(SUMIF(Founders_Clean!$A$2:$A$159,A30,Founders_Clean!$C$2:$C$159)=0,"",SUMIF(Founders_Clean!$A$2:$A$159,A30,Founders_Clean!$C$2:$C$159))</f>
        <v>4</v>
      </c>
      <c r="AG30" s="3" t="n">
        <f aca="false">IF(AF30="","",SUMIF(Founders_Clean!$A$2:$A$159,A30,Founders_Clean!$D$2:$D$159))</f>
        <v>4</v>
      </c>
      <c r="AH30" s="3" t="n">
        <f aca="false">IF(AF30="","",SUMIF(Founders_Clean!$A$2:$A$159,A30,Founders_Clean!$E$2:$E$159))</f>
        <v>0</v>
      </c>
      <c r="AI30" s="3" t="n">
        <f aca="false">IF(AF30="","",IF((AG30+AH30)=0,"",AH30/(AG30+AH30)))</f>
        <v>0</v>
      </c>
      <c r="AJ30" s="3" t="n">
        <f aca="false">IF(AI30="","",IF(AH30&gt;0,1,0))</f>
        <v>0</v>
      </c>
      <c r="AK30" s="3" t="n">
        <f aca="false">IF(AI30="","",ROUND(1-(AI30^2+(1-AI30)^2),3))</f>
        <v>0</v>
      </c>
      <c r="AX30" s="3" t="s">
        <v>101</v>
      </c>
      <c r="AY30" s="3" t="s">
        <v>102</v>
      </c>
      <c r="BA30" s="0" t="n">
        <v>0</v>
      </c>
      <c r="BB30" s="0" t="n">
        <v>0</v>
      </c>
      <c r="BC30" s="0" t="n">
        <v>0</v>
      </c>
      <c r="BF30" s="3" t="n">
        <f aca="false">IF(OR(I30="",BC30=""),"",IF(BC30=1,(BD30-I30)*12+IF(BE30="",7,BE30)-IF(J30="",1,J30),M30))</f>
        <v>128</v>
      </c>
      <c r="BG30" s="0" t="n">
        <v>1</v>
      </c>
      <c r="BH30" s="0" t="n">
        <v>11000000</v>
      </c>
      <c r="BI30" s="3" t="s">
        <v>103</v>
      </c>
      <c r="BJ30" s="0" t="n">
        <v>2022</v>
      </c>
      <c r="BK30" s="0" t="n">
        <v>1</v>
      </c>
      <c r="BL30" s="3" t="n">
        <f aca="false">COUNTIFS(Investments_Clean!$A$2:$A$150,A30,Investments_Clean!$F$2:$F$150,"Accepted")</f>
        <v>1</v>
      </c>
      <c r="BM30" s="3" t="n">
        <f aca="false">IF(BL30=0,"",IF((COUNTIFS(Investments_Clean!$A$2:$A$150,A30,Investments_Clean!$D$2:$D$150,"VC/PE",Investments_Clean!$F$2:$F$150,"Accepted"))&gt;0,1,0))</f>
        <v>0</v>
      </c>
      <c r="BN30" s="3" t="n">
        <f aca="false">IF(BL30=0,"",IF((COUNTIFS(Investments_Clean!$A$2:$A$150,A30,Investments_Clean!$D$2:$D$150,"Angel",Investments_Clean!$F$2:$F$150,"Accepted"))&gt;0,1,0))</f>
        <v>0</v>
      </c>
      <c r="BO30" s="3" t="n">
        <f aca="false">IF(BL30=0,"",IF((COUNTIFS(Investments_Clean!$A$2:$A$150,A30,Investments_Clean!$D$2:$D$150,"Accelerator",Investments_Clean!$F$2:$F$150,"Accepted"))&gt;0,1,0))</f>
        <v>0</v>
      </c>
      <c r="BP30" s="3" t="n">
        <f aca="false">IF(BL30=0,"",IF((COUNTIFS(Investments_Clean!$A$2:$A$150,A30,Investments_Clean!$D$2:$D$150,"Corporate",Investments_Clean!$F$2:$F$150,"Accepted"))&gt;0,1,0))</f>
        <v>1</v>
      </c>
      <c r="BQ30" s="3" t="n">
        <f aca="false">IF(BL30=0,"",IF((COUNTIFS(Investments_Clean!$A$2:$A$150,A30,Investments_Clean!$D$2:$D$150,"Government",Investments_Clean!$F$2:$F$150,"Accepted"))&gt;0,1,0))</f>
        <v>0</v>
      </c>
      <c r="BR30" s="3" t="n">
        <f aca="false">IF(BL30=0,"",IF((COUNTIFS(Investments_Clean!$A$2:$A$150,A30,Investments_Clean!$D$2:$D$150,"Grant/Philanthropic",Investments_Clean!$F$2:$F$150,"Accepted")+COUNTIFS(Investments_Clean!$A$2:$A$150,A30,Investments_Clean!$D$2:$D$150,"DFI/Impact",Investments_Clean!$F$2:$F$150,"Accepted"))&gt;0,1,0))</f>
        <v>0</v>
      </c>
      <c r="CA30" s="0" t="n">
        <v>0</v>
      </c>
      <c r="CC30" s="0" t="str">
        <f aca="false">IF(I30="","",IFERROR(IF(INDEX(Macro_Lookup!$B$2:$B$31,MATCH(I30,Macro_Lookup!$A$2:$A$31,0))="","",INDEX(Macro_Lookup!$B$2:$B$31,MATCH(I30,Macro_Lookup!$A$2:$A$31,0))),""))</f>
        <v/>
      </c>
      <c r="CD30" s="0" t="str">
        <f aca="false">IF(I30="","",IFERROR(IF(INDEX(Macro_Lookup!$C$2:$C$31,MATCH(I30,Macro_Lookup!$A$2:$A$31,0))="","",INDEX(Macro_Lookup!$C$2:$C$31,MATCH(I30,Macro_Lookup!$A$2:$A$31,0))),""))</f>
        <v/>
      </c>
      <c r="CE30" s="0" t="str">
        <f aca="false">IF(BJ30="","",IFERROR(IF(INDEX(Macro_Lookup!$B$2:$B$31,MATCH(BJ30,Macro_Lookup!$A$2:$A$31,0))="","",INDEX(Macro_Lookup!$B$2:$B$31,MATCH(BJ30,Macro_Lookup!$A$2:$A$31,0))),""))</f>
        <v/>
      </c>
      <c r="CF30" s="0" t="str">
        <f aca="false">IF(BJ30="","",IFERROR(IF(INDEX(Macro_Lookup!$C$2:$C$31,MATCH(BJ30,Macro_Lookup!$A$2:$A$31,0))="","",INDEX(Macro_Lookup!$C$2:$C$31,MATCH(BJ30,Macro_Lookup!$A$2:$A$31,0))),""))</f>
        <v/>
      </c>
      <c r="CG30" s="0" t="n">
        <v>8</v>
      </c>
      <c r="CH30" s="3" t="s">
        <v>104</v>
      </c>
      <c r="CI30" s="3" t="s">
        <v>105</v>
      </c>
    </row>
    <row r="31" customFormat="false" ht="14.25" hidden="false" customHeight="false" outlineLevel="0" collapsed="false">
      <c r="A31" s="0" t="s">
        <v>237</v>
      </c>
      <c r="B31" s="0" t="s">
        <v>238</v>
      </c>
      <c r="C31" s="0" t="s">
        <v>89</v>
      </c>
      <c r="D31" s="0" t="s">
        <v>90</v>
      </c>
      <c r="E31" s="0" t="n">
        <v>0</v>
      </c>
      <c r="F31" s="0" t="s">
        <v>91</v>
      </c>
      <c r="I31" s="0" t="n">
        <v>2017</v>
      </c>
      <c r="K31" s="0" t="s">
        <v>92</v>
      </c>
      <c r="L31" s="2" t="n">
        <v>46295</v>
      </c>
      <c r="M31" s="3" t="n">
        <f aca="false">IF(I31="","",(YEAR(L31)-I31)*12+MONTH(L31)-IF(J31="",1,J31))</f>
        <v>116</v>
      </c>
      <c r="N31" s="3" t="n">
        <f aca="false">IF(M31="","",ROUND(M31/12,2))</f>
        <v>9.67</v>
      </c>
      <c r="O31" s="3" t="s">
        <v>239</v>
      </c>
      <c r="P31" s="3" t="s">
        <v>210</v>
      </c>
      <c r="Q31" s="3" t="s">
        <v>240</v>
      </c>
      <c r="R31" s="0" t="n">
        <v>0</v>
      </c>
      <c r="S31" s="0" t="n">
        <v>0</v>
      </c>
      <c r="T31" s="0" t="n">
        <v>1</v>
      </c>
      <c r="U31" s="0" t="n">
        <v>0</v>
      </c>
      <c r="V31" s="0" t="n">
        <v>0</v>
      </c>
      <c r="W31" s="0" t="n">
        <v>0</v>
      </c>
      <c r="X31" s="3" t="s">
        <v>201</v>
      </c>
      <c r="Y31" s="0" t="n">
        <v>3</v>
      </c>
      <c r="Z31" s="0" t="n">
        <v>1</v>
      </c>
      <c r="AA31" s="0" t="n">
        <v>1</v>
      </c>
      <c r="AB31" s="3" t="s">
        <v>232</v>
      </c>
      <c r="AF31" s="3" t="n">
        <f aca="false">IF(SUMIF(Founders_Clean!$A$2:$A$159,A31,Founders_Clean!$C$2:$C$159)=0,"",SUMIF(Founders_Clean!$A$2:$A$159,A31,Founders_Clean!$C$2:$C$159))</f>
        <v>2</v>
      </c>
      <c r="AG31" s="3" t="n">
        <f aca="false">IF(AF31="","",SUMIF(Founders_Clean!$A$2:$A$159,A31,Founders_Clean!$D$2:$D$159))</f>
        <v>2</v>
      </c>
      <c r="AH31" s="3" t="n">
        <f aca="false">IF(AF31="","",SUMIF(Founders_Clean!$A$2:$A$159,A31,Founders_Clean!$E$2:$E$159))</f>
        <v>0</v>
      </c>
      <c r="AI31" s="3" t="n">
        <f aca="false">IF(AF31="","",IF((AG31+AH31)=0,"",AH31/(AG31+AH31)))</f>
        <v>0</v>
      </c>
      <c r="AJ31" s="3" t="n">
        <f aca="false">IF(AI31="","",IF(AH31&gt;0,1,0))</f>
        <v>0</v>
      </c>
      <c r="AK31" s="3" t="n">
        <f aca="false">IF(AI31="","",ROUND(1-(AI31^2+(1-AI31)^2),3))</f>
        <v>0</v>
      </c>
      <c r="AX31" s="3" t="s">
        <v>101</v>
      </c>
      <c r="AY31" s="3" t="s">
        <v>102</v>
      </c>
      <c r="BA31" s="0" t="n">
        <v>0</v>
      </c>
      <c r="BB31" s="0" t="n">
        <v>0</v>
      </c>
      <c r="BC31" s="0" t="n">
        <v>0</v>
      </c>
      <c r="BF31" s="3" t="n">
        <f aca="false">IF(OR(I31="",BC31=""),"",IF(BC31=1,(BD31-I31)*12+IF(BE31="",7,BE31)-IF(J31="",1,J31),M31))</f>
        <v>116</v>
      </c>
      <c r="BG31" s="0" t="n">
        <v>1</v>
      </c>
      <c r="BH31" s="0" t="n">
        <v>1000000</v>
      </c>
      <c r="BI31" s="3" t="s">
        <v>103</v>
      </c>
      <c r="BJ31" s="0" t="n">
        <v>2022</v>
      </c>
      <c r="BK31" s="0" t="n">
        <v>1</v>
      </c>
      <c r="BL31" s="3" t="n">
        <f aca="false">COUNTIFS(Investments_Clean!$A$2:$A$150,A31,Investments_Clean!$F$2:$F$150,"Accepted")</f>
        <v>1</v>
      </c>
      <c r="BM31" s="3" t="n">
        <f aca="false">IF(BL31=0,"",IF((COUNTIFS(Investments_Clean!$A$2:$A$150,A31,Investments_Clean!$D$2:$D$150,"VC/PE",Investments_Clean!$F$2:$F$150,"Accepted"))&gt;0,1,0))</f>
        <v>0</v>
      </c>
      <c r="BN31" s="3" t="n">
        <f aca="false">IF(BL31=0,"",IF((COUNTIFS(Investments_Clean!$A$2:$A$150,A31,Investments_Clean!$D$2:$D$150,"Angel",Investments_Clean!$F$2:$F$150,"Accepted"))&gt;0,1,0))</f>
        <v>0</v>
      </c>
      <c r="BO31" s="3" t="n">
        <f aca="false">IF(BL31=0,"",IF((COUNTIFS(Investments_Clean!$A$2:$A$150,A31,Investments_Clean!$D$2:$D$150,"Accelerator",Investments_Clean!$F$2:$F$150,"Accepted"))&gt;0,1,0))</f>
        <v>0</v>
      </c>
      <c r="BP31" s="3" t="n">
        <f aca="false">IF(BL31=0,"",IF((COUNTIFS(Investments_Clean!$A$2:$A$150,A31,Investments_Clean!$D$2:$D$150,"Corporate",Investments_Clean!$F$2:$F$150,"Accepted"))&gt;0,1,0))</f>
        <v>0</v>
      </c>
      <c r="BQ31" s="3" t="n">
        <f aca="false">IF(BL31=0,"",IF((COUNTIFS(Investments_Clean!$A$2:$A$150,A31,Investments_Clean!$D$2:$D$150,"Government",Investments_Clean!$F$2:$F$150,"Accepted"))&gt;0,1,0))</f>
        <v>1</v>
      </c>
      <c r="BR31" s="3" t="n">
        <f aca="false">IF(BL31=0,"",IF((COUNTIFS(Investments_Clean!$A$2:$A$150,A31,Investments_Clean!$D$2:$D$150,"Grant/Philanthropic",Investments_Clean!$F$2:$F$150,"Accepted")+COUNTIFS(Investments_Clean!$A$2:$A$150,A31,Investments_Clean!$D$2:$D$150,"DFI/Impact",Investments_Clean!$F$2:$F$150,"Accepted"))&gt;0,1,0))</f>
        <v>0</v>
      </c>
      <c r="CA31" s="0" t="n">
        <v>0</v>
      </c>
      <c r="CC31" s="0" t="str">
        <f aca="false">IF(I31="","",IFERROR(IF(INDEX(Macro_Lookup!$B$2:$B$31,MATCH(I31,Macro_Lookup!$A$2:$A$31,0))="","",INDEX(Macro_Lookup!$B$2:$B$31,MATCH(I31,Macro_Lookup!$A$2:$A$31,0))),""))</f>
        <v/>
      </c>
      <c r="CD31" s="0" t="str">
        <f aca="false">IF(I31="","",IFERROR(IF(INDEX(Macro_Lookup!$C$2:$C$31,MATCH(I31,Macro_Lookup!$A$2:$A$31,0))="","",INDEX(Macro_Lookup!$C$2:$C$31,MATCH(I31,Macro_Lookup!$A$2:$A$31,0))),""))</f>
        <v/>
      </c>
      <c r="CE31" s="0" t="str">
        <f aca="false">IF(BJ31="","",IFERROR(IF(INDEX(Macro_Lookup!$B$2:$B$31,MATCH(BJ31,Macro_Lookup!$A$2:$A$31,0))="","",INDEX(Macro_Lookup!$B$2:$B$31,MATCH(BJ31,Macro_Lookup!$A$2:$A$31,0))),""))</f>
        <v/>
      </c>
      <c r="CF31" s="0" t="str">
        <f aca="false">IF(BJ31="","",IFERROR(IF(INDEX(Macro_Lookup!$C$2:$C$31,MATCH(BJ31,Macro_Lookup!$A$2:$A$31,0))="","",INDEX(Macro_Lookup!$C$2:$C$31,MATCH(BJ31,Macro_Lookup!$A$2:$A$31,0))),""))</f>
        <v/>
      </c>
      <c r="CG31" s="0" t="n">
        <v>7</v>
      </c>
      <c r="CH31" s="3" t="s">
        <v>104</v>
      </c>
      <c r="CI31" s="3" t="s">
        <v>105</v>
      </c>
    </row>
    <row r="32" customFormat="false" ht="14.25" hidden="false" customHeight="false" outlineLevel="0" collapsed="false">
      <c r="A32" s="0" t="s">
        <v>241</v>
      </c>
      <c r="B32" s="0" t="s">
        <v>242</v>
      </c>
      <c r="C32" s="0" t="s">
        <v>89</v>
      </c>
      <c r="D32" s="0" t="s">
        <v>90</v>
      </c>
      <c r="E32" s="0" t="n">
        <v>0</v>
      </c>
      <c r="F32" s="0" t="s">
        <v>91</v>
      </c>
      <c r="G32" s="0" t="s">
        <v>168</v>
      </c>
      <c r="I32" s="0" t="n">
        <v>2013</v>
      </c>
      <c r="K32" s="0" t="s">
        <v>92</v>
      </c>
      <c r="L32" s="2" t="n">
        <v>46295</v>
      </c>
      <c r="M32" s="3" t="n">
        <f aca="false">IF(I32="","",(YEAR(L32)-I32)*12+MONTH(L32)-IF(J32="",1,J32))</f>
        <v>164</v>
      </c>
      <c r="N32" s="3" t="n">
        <f aca="false">IF(M32="","",ROUND(M32/12,2))</f>
        <v>13.67</v>
      </c>
      <c r="O32" s="3" t="s">
        <v>243</v>
      </c>
      <c r="P32" s="3" t="s">
        <v>210</v>
      </c>
      <c r="Q32" s="3" t="s">
        <v>244</v>
      </c>
      <c r="R32" s="0" t="n">
        <v>0</v>
      </c>
      <c r="S32" s="0" t="n">
        <v>0</v>
      </c>
      <c r="T32" s="0" t="n">
        <v>1</v>
      </c>
      <c r="U32" s="0" t="n">
        <v>0</v>
      </c>
      <c r="V32" s="0" t="n">
        <v>0</v>
      </c>
      <c r="W32" s="0" t="n">
        <v>0</v>
      </c>
      <c r="X32" s="3" t="s">
        <v>245</v>
      </c>
      <c r="Y32" s="0" t="n">
        <v>3</v>
      </c>
      <c r="Z32" s="0" t="n">
        <v>1</v>
      </c>
      <c r="AF32" s="3" t="n">
        <f aca="false">IF(SUMIF(Founders_Clean!$A$2:$A$159,A32,Founders_Clean!$C$2:$C$159)=0,"",SUMIF(Founders_Clean!$A$2:$A$159,A32,Founders_Clean!$C$2:$C$159))</f>
        <v>3</v>
      </c>
      <c r="AG32" s="3" t="n">
        <f aca="false">IF(AF32="","",SUMIF(Founders_Clean!$A$2:$A$159,A32,Founders_Clean!$D$2:$D$159))</f>
        <v>3</v>
      </c>
      <c r="AH32" s="3" t="n">
        <f aca="false">IF(AF32="","",SUMIF(Founders_Clean!$A$2:$A$159,A32,Founders_Clean!$E$2:$E$159))</f>
        <v>0</v>
      </c>
      <c r="AI32" s="3" t="n">
        <f aca="false">IF(AF32="","",IF((AG32+AH32)=0,"",AH32/(AG32+AH32)))</f>
        <v>0</v>
      </c>
      <c r="AJ32" s="3" t="n">
        <f aca="false">IF(AI32="","",IF(AH32&gt;0,1,0))</f>
        <v>0</v>
      </c>
      <c r="AK32" s="3" t="n">
        <f aca="false">IF(AI32="","",ROUND(1-(AI32^2+(1-AI32)^2),3))</f>
        <v>0</v>
      </c>
      <c r="AX32" s="3" t="s">
        <v>142</v>
      </c>
      <c r="AY32" s="3" t="s">
        <v>102</v>
      </c>
      <c r="AZ32" s="3" t="s">
        <v>246</v>
      </c>
      <c r="BA32" s="0" t="n">
        <v>1</v>
      </c>
      <c r="BB32" s="0" t="n">
        <v>0</v>
      </c>
      <c r="BC32" s="0" t="n">
        <v>1</v>
      </c>
      <c r="BD32" s="0" t="n">
        <v>2023</v>
      </c>
      <c r="BE32" s="0" t="n">
        <v>7</v>
      </c>
      <c r="BF32" s="3" t="n">
        <f aca="false">IF(OR(I32="",BC32=""),"",IF(BC32=1,(BD32-I32)*12+IF(BE32="",7,BE32)-IF(J32="",1,J32),M32))</f>
        <v>126</v>
      </c>
      <c r="BG32" s="0" t="n">
        <v>0</v>
      </c>
      <c r="BH32" s="0" t="n">
        <v>0</v>
      </c>
      <c r="BI32" s="3" t="s">
        <v>116</v>
      </c>
      <c r="BK32" s="0" t="n">
        <v>0</v>
      </c>
      <c r="BL32" s="3" t="n">
        <f aca="false">COUNTIFS(Investments_Clean!$A$2:$A$150,A32,Investments_Clean!$F$2:$F$150,"Accepted")</f>
        <v>1</v>
      </c>
      <c r="BM32" s="3" t="n">
        <f aca="false">IF(BL32=0,"",IF((COUNTIFS(Investments_Clean!$A$2:$A$150,A32,Investments_Clean!$D$2:$D$150,"VC/PE",Investments_Clean!$F$2:$F$150,"Accepted"))&gt;0,1,0))</f>
        <v>0</v>
      </c>
      <c r="BN32" s="3" t="n">
        <f aca="false">IF(BL32=0,"",IF((COUNTIFS(Investments_Clean!$A$2:$A$150,A32,Investments_Clean!$D$2:$D$150,"Angel",Investments_Clean!$F$2:$F$150,"Accepted"))&gt;0,1,0))</f>
        <v>0</v>
      </c>
      <c r="BO32" s="3" t="n">
        <f aca="false">IF(BL32=0,"",IF((COUNTIFS(Investments_Clean!$A$2:$A$150,A32,Investments_Clean!$D$2:$D$150,"Accelerator",Investments_Clean!$F$2:$F$150,"Accepted"))&gt;0,1,0))</f>
        <v>0</v>
      </c>
      <c r="BP32" s="3" t="n">
        <f aca="false">IF(BL32=0,"",IF((COUNTIFS(Investments_Clean!$A$2:$A$150,A32,Investments_Clean!$D$2:$D$150,"Corporate",Investments_Clean!$F$2:$F$150,"Accepted"))&gt;0,1,0))</f>
        <v>1</v>
      </c>
      <c r="BQ32" s="3" t="n">
        <f aca="false">IF(BL32=0,"",IF((COUNTIFS(Investments_Clean!$A$2:$A$150,A32,Investments_Clean!$D$2:$D$150,"Government",Investments_Clean!$F$2:$F$150,"Accepted"))&gt;0,1,0))</f>
        <v>0</v>
      </c>
      <c r="BR32" s="3" t="n">
        <f aca="false">IF(BL32=0,"",IF((COUNTIFS(Investments_Clean!$A$2:$A$150,A32,Investments_Clean!$D$2:$D$150,"Grant/Philanthropic",Investments_Clean!$F$2:$F$150,"Accepted")+COUNTIFS(Investments_Clean!$A$2:$A$150,A32,Investments_Clean!$D$2:$D$150,"DFI/Impact",Investments_Clean!$F$2:$F$150,"Accepted"))&gt;0,1,0))</f>
        <v>0</v>
      </c>
      <c r="CA32" s="0" t="n">
        <v>0</v>
      </c>
      <c r="CC32" s="0" t="str">
        <f aca="false">IF(I32="","",IFERROR(IF(INDEX(Macro_Lookup!$B$2:$B$31,MATCH(I32,Macro_Lookup!$A$2:$A$31,0))="","",INDEX(Macro_Lookup!$B$2:$B$31,MATCH(I32,Macro_Lookup!$A$2:$A$31,0))),""))</f>
        <v/>
      </c>
      <c r="CD32" s="0" t="str">
        <f aca="false">IF(I32="","",IFERROR(IF(INDEX(Macro_Lookup!$C$2:$C$31,MATCH(I32,Macro_Lookup!$A$2:$A$31,0))="","",INDEX(Macro_Lookup!$C$2:$C$31,MATCH(I32,Macro_Lookup!$A$2:$A$31,0))),""))</f>
        <v/>
      </c>
      <c r="CE32" s="0" t="str">
        <f aca="false">IF(BJ32="","",IFERROR(IF(INDEX(Macro_Lookup!$B$2:$B$31,MATCH(BJ32,Macro_Lookup!$A$2:$A$31,0))="","",INDEX(Macro_Lookup!$B$2:$B$31,MATCH(BJ32,Macro_Lookup!$A$2:$A$31,0))),""))</f>
        <v/>
      </c>
      <c r="CF32" s="0" t="str">
        <f aca="false">IF(BJ32="","",IFERROR(IF(INDEX(Macro_Lookup!$C$2:$C$31,MATCH(BJ32,Macro_Lookup!$A$2:$A$31,0))="","",INDEX(Macro_Lookup!$C$2:$C$31,MATCH(BJ32,Macro_Lookup!$A$2:$A$31,0))),""))</f>
        <v/>
      </c>
      <c r="CG32" s="0" t="n">
        <v>8</v>
      </c>
      <c r="CH32" s="3" t="s">
        <v>104</v>
      </c>
      <c r="CI32" s="3" t="s">
        <v>105</v>
      </c>
    </row>
    <row r="33" customFormat="false" ht="14.25" hidden="false" customHeight="false" outlineLevel="0" collapsed="false">
      <c r="A33" s="0" t="s">
        <v>247</v>
      </c>
      <c r="B33" s="0" t="s">
        <v>248</v>
      </c>
      <c r="C33" s="0" t="s">
        <v>89</v>
      </c>
      <c r="D33" s="0" t="s">
        <v>90</v>
      </c>
      <c r="E33" s="0" t="n">
        <v>0</v>
      </c>
      <c r="F33" s="0" t="s">
        <v>91</v>
      </c>
      <c r="I33" s="0" t="n">
        <v>2013</v>
      </c>
      <c r="K33" s="0" t="s">
        <v>92</v>
      </c>
      <c r="L33" s="2" t="n">
        <v>46295</v>
      </c>
      <c r="M33" s="3" t="n">
        <f aca="false">IF(I33="","",(YEAR(L33)-I33)*12+MONTH(L33)-IF(J33="",1,J33))</f>
        <v>164</v>
      </c>
      <c r="N33" s="3" t="n">
        <f aca="false">IF(M33="","",ROUND(M33/12,2))</f>
        <v>13.67</v>
      </c>
      <c r="O33" s="3" t="s">
        <v>243</v>
      </c>
      <c r="P33" s="3" t="s">
        <v>210</v>
      </c>
      <c r="Q33" s="3" t="s">
        <v>249</v>
      </c>
      <c r="R33" s="0" t="n">
        <v>0</v>
      </c>
      <c r="S33" s="0" t="n">
        <v>0</v>
      </c>
      <c r="T33" s="0" t="n">
        <v>1</v>
      </c>
      <c r="U33" s="0" t="n">
        <v>0</v>
      </c>
      <c r="V33" s="0" t="n">
        <v>0</v>
      </c>
      <c r="W33" s="0" t="n">
        <v>0</v>
      </c>
      <c r="X33" s="3" t="s">
        <v>201</v>
      </c>
      <c r="Y33" s="0" t="n">
        <v>3</v>
      </c>
      <c r="Z33" s="0" t="n">
        <v>1</v>
      </c>
      <c r="AF33" s="3" t="n">
        <f aca="false">IF(SUMIF(Founders_Clean!$A$2:$A$159,A33,Founders_Clean!$C$2:$C$159)=0,"",SUMIF(Founders_Clean!$A$2:$A$159,A33,Founders_Clean!$C$2:$C$159))</f>
        <v>2</v>
      </c>
      <c r="AG33" s="3" t="n">
        <f aca="false">IF(AF33="","",SUMIF(Founders_Clean!$A$2:$A$159,A33,Founders_Clean!$D$2:$D$159))</f>
        <v>1</v>
      </c>
      <c r="AH33" s="3" t="n">
        <f aca="false">IF(AF33="","",SUMIF(Founders_Clean!$A$2:$A$159,A33,Founders_Clean!$E$2:$E$159))</f>
        <v>1</v>
      </c>
      <c r="AI33" s="3" t="n">
        <f aca="false">IF(AF33="","",IF((AG33+AH33)=0,"",AH33/(AG33+AH33)))</f>
        <v>0.5</v>
      </c>
      <c r="AJ33" s="3" t="n">
        <f aca="false">IF(AI33="","",IF(AH33&gt;0,1,0))</f>
        <v>1</v>
      </c>
      <c r="AK33" s="3" t="n">
        <f aca="false">IF(AI33="","",ROUND(1-(AI33^2+(1-AI33)^2),3))</f>
        <v>0.5</v>
      </c>
      <c r="AX33" s="3" t="s">
        <v>101</v>
      </c>
      <c r="AY33" s="3" t="s">
        <v>102</v>
      </c>
      <c r="BA33" s="0" t="n">
        <v>1</v>
      </c>
      <c r="BB33" s="0" t="n">
        <v>0</v>
      </c>
      <c r="BC33" s="0" t="n">
        <v>0</v>
      </c>
      <c r="BF33" s="3" t="n">
        <f aca="false">IF(OR(I33="",BC33=""),"",IF(BC33=1,(BD33-I33)*12+IF(BE33="",7,BE33)-IF(J33="",1,J33),M33))</f>
        <v>164</v>
      </c>
      <c r="BK33" s="0" t="n">
        <v>1</v>
      </c>
      <c r="BL33" s="3" t="n">
        <f aca="false">COUNTIFS(Investments_Clean!$A$2:$A$150,A33,Investments_Clean!$F$2:$F$150,"Accepted")</f>
        <v>1</v>
      </c>
      <c r="BM33" s="3" t="n">
        <f aca="false">IF(BL33=0,"",IF((COUNTIFS(Investments_Clean!$A$2:$A$150,A33,Investments_Clean!$D$2:$D$150,"VC/PE",Investments_Clean!$F$2:$F$150,"Accepted"))&gt;0,1,0))</f>
        <v>0</v>
      </c>
      <c r="BN33" s="3" t="n">
        <f aca="false">IF(BL33=0,"",IF((COUNTIFS(Investments_Clean!$A$2:$A$150,A33,Investments_Clean!$D$2:$D$150,"Angel",Investments_Clean!$F$2:$F$150,"Accepted"))&gt;0,1,0))</f>
        <v>0</v>
      </c>
      <c r="BO33" s="3" t="n">
        <f aca="false">IF(BL33=0,"",IF((COUNTIFS(Investments_Clean!$A$2:$A$150,A33,Investments_Clean!$D$2:$D$150,"Accelerator",Investments_Clean!$F$2:$F$150,"Accepted"))&gt;0,1,0))</f>
        <v>0</v>
      </c>
      <c r="BP33" s="3" t="n">
        <f aca="false">IF(BL33=0,"",IF((COUNTIFS(Investments_Clean!$A$2:$A$150,A33,Investments_Clean!$D$2:$D$150,"Corporate",Investments_Clean!$F$2:$F$150,"Accepted"))&gt;0,1,0))</f>
        <v>1</v>
      </c>
      <c r="BQ33" s="3" t="n">
        <f aca="false">IF(BL33=0,"",IF((COUNTIFS(Investments_Clean!$A$2:$A$150,A33,Investments_Clean!$D$2:$D$150,"Government",Investments_Clean!$F$2:$F$150,"Accepted"))&gt;0,1,0))</f>
        <v>0</v>
      </c>
      <c r="BR33" s="3" t="n">
        <f aca="false">IF(BL33=0,"",IF((COUNTIFS(Investments_Clean!$A$2:$A$150,A33,Investments_Clean!$D$2:$D$150,"Grant/Philanthropic",Investments_Clean!$F$2:$F$150,"Accepted")+COUNTIFS(Investments_Clean!$A$2:$A$150,A33,Investments_Clean!$D$2:$D$150,"DFI/Impact",Investments_Clean!$F$2:$F$150,"Accepted"))&gt;0,1,0))</f>
        <v>0</v>
      </c>
      <c r="CA33" s="0" t="n">
        <v>0</v>
      </c>
      <c r="CC33" s="0" t="str">
        <f aca="false">IF(I33="","",IFERROR(IF(INDEX(Macro_Lookup!$B$2:$B$31,MATCH(I33,Macro_Lookup!$A$2:$A$31,0))="","",INDEX(Macro_Lookup!$B$2:$B$31,MATCH(I33,Macro_Lookup!$A$2:$A$31,0))),""))</f>
        <v/>
      </c>
      <c r="CD33" s="0" t="str">
        <f aca="false">IF(I33="","",IFERROR(IF(INDEX(Macro_Lookup!$C$2:$C$31,MATCH(I33,Macro_Lookup!$A$2:$A$31,0))="","",INDEX(Macro_Lookup!$C$2:$C$31,MATCH(I33,Macro_Lookup!$A$2:$A$31,0))),""))</f>
        <v/>
      </c>
      <c r="CE33" s="0" t="str">
        <f aca="false">IF(BJ33="","",IFERROR(IF(INDEX(Macro_Lookup!$B$2:$B$31,MATCH(BJ33,Macro_Lookup!$A$2:$A$31,0))="","",INDEX(Macro_Lookup!$B$2:$B$31,MATCH(BJ33,Macro_Lookup!$A$2:$A$31,0))),""))</f>
        <v/>
      </c>
      <c r="CF33" s="0" t="str">
        <f aca="false">IF(BJ33="","",IFERROR(IF(INDEX(Macro_Lookup!$C$2:$C$31,MATCH(BJ33,Macro_Lookup!$A$2:$A$31,0))="","",INDEX(Macro_Lookup!$C$2:$C$31,MATCH(BJ33,Macro_Lookup!$A$2:$A$31,0))),""))</f>
        <v/>
      </c>
      <c r="CG33" s="0" t="n">
        <v>8</v>
      </c>
      <c r="CH33" s="3" t="s">
        <v>104</v>
      </c>
      <c r="CI33" s="3" t="s">
        <v>105</v>
      </c>
    </row>
    <row r="34" customFormat="false" ht="14.25" hidden="false" customHeight="false" outlineLevel="0" collapsed="false">
      <c r="A34" s="0" t="s">
        <v>250</v>
      </c>
      <c r="B34" s="0" t="s">
        <v>251</v>
      </c>
      <c r="C34" s="0" t="s">
        <v>89</v>
      </c>
      <c r="D34" s="0" t="s">
        <v>90</v>
      </c>
      <c r="E34" s="0" t="n">
        <v>0</v>
      </c>
      <c r="F34" s="0" t="s">
        <v>91</v>
      </c>
      <c r="I34" s="0" t="n">
        <v>2017</v>
      </c>
      <c r="K34" s="0" t="s">
        <v>92</v>
      </c>
      <c r="L34" s="2" t="n">
        <v>46295</v>
      </c>
      <c r="M34" s="3" t="n">
        <f aca="false">IF(I34="","",(YEAR(L34)-I34)*12+MONTH(L34)-IF(J34="",1,J34))</f>
        <v>116</v>
      </c>
      <c r="N34" s="3" t="n">
        <f aca="false">IF(M34="","",ROUND(M34/12,2))</f>
        <v>9.67</v>
      </c>
      <c r="O34" s="3" t="s">
        <v>252</v>
      </c>
      <c r="P34" s="3" t="s">
        <v>210</v>
      </c>
      <c r="Q34" s="3" t="s">
        <v>253</v>
      </c>
      <c r="R34" s="0" t="n">
        <v>0</v>
      </c>
      <c r="S34" s="0" t="n">
        <v>0</v>
      </c>
      <c r="T34" s="0" t="n">
        <v>1</v>
      </c>
      <c r="U34" s="0" t="n">
        <v>0</v>
      </c>
      <c r="V34" s="0" t="n">
        <v>0</v>
      </c>
      <c r="W34" s="0" t="n">
        <v>0</v>
      </c>
      <c r="X34" s="3" t="s">
        <v>201</v>
      </c>
      <c r="Y34" s="0" t="n">
        <v>3</v>
      </c>
      <c r="Z34" s="0" t="n">
        <v>1</v>
      </c>
      <c r="AF34" s="3" t="n">
        <f aca="false">IF(SUMIF(Founders_Clean!$A$2:$A$159,A34,Founders_Clean!$C$2:$C$159)=0,"",SUMIF(Founders_Clean!$A$2:$A$159,A34,Founders_Clean!$C$2:$C$159))</f>
        <v>1</v>
      </c>
      <c r="AG34" s="3" t="n">
        <f aca="false">IF(AF34="","",SUMIF(Founders_Clean!$A$2:$A$159,A34,Founders_Clean!$D$2:$D$159))</f>
        <v>1</v>
      </c>
      <c r="AH34" s="3" t="n">
        <f aca="false">IF(AF34="","",SUMIF(Founders_Clean!$A$2:$A$159,A34,Founders_Clean!$E$2:$E$159))</f>
        <v>0</v>
      </c>
      <c r="AI34" s="3" t="n">
        <f aca="false">IF(AF34="","",IF((AG34+AH34)=0,"",AH34/(AG34+AH34)))</f>
        <v>0</v>
      </c>
      <c r="AJ34" s="3" t="n">
        <f aca="false">IF(AI34="","",IF(AH34&gt;0,1,0))</f>
        <v>0</v>
      </c>
      <c r="AK34" s="3" t="n">
        <f aca="false">IF(AI34="","",ROUND(1-(AI34^2+(1-AI34)^2),3))</f>
        <v>0</v>
      </c>
      <c r="AM34" s="0" t="n">
        <v>1</v>
      </c>
      <c r="AN34" s="3" t="s">
        <v>147</v>
      </c>
      <c r="AO34" s="0" t="n">
        <v>1</v>
      </c>
      <c r="AP34" s="0" t="n">
        <v>1</v>
      </c>
      <c r="AQ34" s="0" t="n">
        <v>1</v>
      </c>
      <c r="AR34" s="0" t="n">
        <v>9</v>
      </c>
      <c r="AS34" s="0" t="n">
        <v>9</v>
      </c>
      <c r="AX34" s="3" t="s">
        <v>101</v>
      </c>
      <c r="AY34" s="3" t="s">
        <v>102</v>
      </c>
      <c r="BA34" s="0" t="n">
        <v>0</v>
      </c>
      <c r="BB34" s="0" t="n">
        <v>0</v>
      </c>
      <c r="BC34" s="0" t="n">
        <v>0</v>
      </c>
      <c r="BF34" s="3" t="n">
        <f aca="false">IF(OR(I34="",BC34=""),"",IF(BC34=1,(BD34-I34)*12+IF(BE34="",7,BE34)-IF(J34="",1,J34),M34))</f>
        <v>116</v>
      </c>
      <c r="BG34" s="0" t="n">
        <v>1</v>
      </c>
      <c r="BH34" s="0" t="n">
        <v>4600000</v>
      </c>
      <c r="BI34" s="3" t="s">
        <v>103</v>
      </c>
      <c r="BJ34" s="0" t="n">
        <v>2022</v>
      </c>
      <c r="BK34" s="0" t="n">
        <v>1</v>
      </c>
      <c r="BL34" s="3" t="n">
        <f aca="false">COUNTIFS(Investments_Clean!$A$2:$A$150,A34,Investments_Clean!$F$2:$F$150,"Accepted")</f>
        <v>1</v>
      </c>
      <c r="BM34" s="3" t="n">
        <f aca="false">IF(BL34=0,"",IF((COUNTIFS(Investments_Clean!$A$2:$A$150,A34,Investments_Clean!$D$2:$D$150,"VC/PE",Investments_Clean!$F$2:$F$150,"Accepted"))&gt;0,1,0))</f>
        <v>1</v>
      </c>
      <c r="BN34" s="3" t="n">
        <f aca="false">IF(BL34=0,"",IF((COUNTIFS(Investments_Clean!$A$2:$A$150,A34,Investments_Clean!$D$2:$D$150,"Angel",Investments_Clean!$F$2:$F$150,"Accepted"))&gt;0,1,0))</f>
        <v>0</v>
      </c>
      <c r="BO34" s="3" t="n">
        <f aca="false">IF(BL34=0,"",IF((COUNTIFS(Investments_Clean!$A$2:$A$150,A34,Investments_Clean!$D$2:$D$150,"Accelerator",Investments_Clean!$F$2:$F$150,"Accepted"))&gt;0,1,0))</f>
        <v>0</v>
      </c>
      <c r="BP34" s="3" t="n">
        <f aca="false">IF(BL34=0,"",IF((COUNTIFS(Investments_Clean!$A$2:$A$150,A34,Investments_Clean!$D$2:$D$150,"Corporate",Investments_Clean!$F$2:$F$150,"Accepted"))&gt;0,1,0))</f>
        <v>0</v>
      </c>
      <c r="BQ34" s="3" t="n">
        <f aca="false">IF(BL34=0,"",IF((COUNTIFS(Investments_Clean!$A$2:$A$150,A34,Investments_Clean!$D$2:$D$150,"Government",Investments_Clean!$F$2:$F$150,"Accepted"))&gt;0,1,0))</f>
        <v>0</v>
      </c>
      <c r="BR34" s="3" t="n">
        <f aca="false">IF(BL34=0,"",IF((COUNTIFS(Investments_Clean!$A$2:$A$150,A34,Investments_Clean!$D$2:$D$150,"Grant/Philanthropic",Investments_Clean!$F$2:$F$150,"Accepted")+COUNTIFS(Investments_Clean!$A$2:$A$150,A34,Investments_Clean!$D$2:$D$150,"DFI/Impact",Investments_Clean!$F$2:$F$150,"Accepted"))&gt;0,1,0))</f>
        <v>0</v>
      </c>
      <c r="CA34" s="0" t="n">
        <v>0</v>
      </c>
      <c r="CC34" s="0" t="str">
        <f aca="false">IF(I34="","",IFERROR(IF(INDEX(Macro_Lookup!$B$2:$B$31,MATCH(I34,Macro_Lookup!$A$2:$A$31,0))="","",INDEX(Macro_Lookup!$B$2:$B$31,MATCH(I34,Macro_Lookup!$A$2:$A$31,0))),""))</f>
        <v/>
      </c>
      <c r="CD34" s="0" t="str">
        <f aca="false">IF(I34="","",IFERROR(IF(INDEX(Macro_Lookup!$C$2:$C$31,MATCH(I34,Macro_Lookup!$A$2:$A$31,0))="","",INDEX(Macro_Lookup!$C$2:$C$31,MATCH(I34,Macro_Lookup!$A$2:$A$31,0))),""))</f>
        <v/>
      </c>
      <c r="CE34" s="0" t="str">
        <f aca="false">IF(BJ34="","",IFERROR(IF(INDEX(Macro_Lookup!$B$2:$B$31,MATCH(BJ34,Macro_Lookup!$A$2:$A$31,0))="","",INDEX(Macro_Lookup!$B$2:$B$31,MATCH(BJ34,Macro_Lookup!$A$2:$A$31,0))),""))</f>
        <v/>
      </c>
      <c r="CF34" s="0" t="str">
        <f aca="false">IF(BJ34="","",IFERROR(IF(INDEX(Macro_Lookup!$C$2:$C$31,MATCH(BJ34,Macro_Lookup!$A$2:$A$31,0))="","",INDEX(Macro_Lookup!$C$2:$C$31,MATCH(BJ34,Macro_Lookup!$A$2:$A$31,0))),""))</f>
        <v/>
      </c>
      <c r="CG34" s="0" t="n">
        <v>4</v>
      </c>
      <c r="CH34" s="3" t="s">
        <v>104</v>
      </c>
      <c r="CI34" s="3" t="s">
        <v>105</v>
      </c>
    </row>
    <row r="35" customFormat="false" ht="14.25" hidden="false" customHeight="false" outlineLevel="0" collapsed="false">
      <c r="A35" s="0" t="s">
        <v>254</v>
      </c>
      <c r="B35" s="0" t="s">
        <v>255</v>
      </c>
      <c r="C35" s="0" t="s">
        <v>89</v>
      </c>
      <c r="D35" s="0" t="s">
        <v>90</v>
      </c>
      <c r="E35" s="0" t="n">
        <v>0</v>
      </c>
      <c r="F35" s="0" t="s">
        <v>91</v>
      </c>
      <c r="I35" s="0" t="n">
        <v>2014</v>
      </c>
      <c r="K35" s="0" t="s">
        <v>92</v>
      </c>
      <c r="L35" s="2" t="n">
        <v>46295</v>
      </c>
      <c r="M35" s="3" t="n">
        <f aca="false">IF(I35="","",(YEAR(L35)-I35)*12+MONTH(L35)-IF(J35="",1,J35))</f>
        <v>152</v>
      </c>
      <c r="N35" s="3" t="n">
        <f aca="false">IF(M35="","",ROUND(M35/12,2))</f>
        <v>12.67</v>
      </c>
      <c r="O35" s="3" t="s">
        <v>252</v>
      </c>
      <c r="P35" s="3" t="s">
        <v>210</v>
      </c>
      <c r="Q35" s="3" t="s">
        <v>253</v>
      </c>
      <c r="R35" s="0" t="n">
        <v>0</v>
      </c>
      <c r="S35" s="0" t="n">
        <v>0</v>
      </c>
      <c r="T35" s="0" t="n">
        <v>1</v>
      </c>
      <c r="U35" s="0" t="n">
        <v>0</v>
      </c>
      <c r="V35" s="0" t="n">
        <v>0</v>
      </c>
      <c r="W35" s="0" t="n">
        <v>0</v>
      </c>
      <c r="X35" s="3" t="s">
        <v>201</v>
      </c>
      <c r="Y35" s="0" t="n">
        <v>3</v>
      </c>
      <c r="Z35" s="0" t="n">
        <v>1</v>
      </c>
      <c r="AF35" s="3" t="n">
        <f aca="false">IF(SUMIF(Founders_Clean!$A$2:$A$159,A35,Founders_Clean!$C$2:$C$159)=0,"",SUMIF(Founders_Clean!$A$2:$A$159,A35,Founders_Clean!$C$2:$C$159))</f>
        <v>2</v>
      </c>
      <c r="AG35" s="3" t="n">
        <f aca="false">IF(AF35="","",SUMIF(Founders_Clean!$A$2:$A$159,A35,Founders_Clean!$D$2:$D$159))</f>
        <v>1</v>
      </c>
      <c r="AH35" s="3" t="n">
        <f aca="false">IF(AF35="","",SUMIF(Founders_Clean!$A$2:$A$159,A35,Founders_Clean!$E$2:$E$159))</f>
        <v>1</v>
      </c>
      <c r="AI35" s="3" t="n">
        <f aca="false">IF(AF35="","",IF((AG35+AH35)=0,"",AH35/(AG35+AH35)))</f>
        <v>0.5</v>
      </c>
      <c r="AJ35" s="3" t="n">
        <f aca="false">IF(AI35="","",IF(AH35&gt;0,1,0))</f>
        <v>1</v>
      </c>
      <c r="AK35" s="3" t="n">
        <f aca="false">IF(AI35="","",ROUND(1-(AI35^2+(1-AI35)^2),3))</f>
        <v>0.5</v>
      </c>
      <c r="AM35" s="0" t="n">
        <v>1</v>
      </c>
      <c r="AN35" s="3" t="s">
        <v>147</v>
      </c>
      <c r="AO35" s="0" t="n">
        <v>0</v>
      </c>
      <c r="AP35" s="0" t="n">
        <v>0</v>
      </c>
      <c r="AQ35" s="0" t="n">
        <v>0</v>
      </c>
      <c r="AR35" s="0" t="n">
        <v>10</v>
      </c>
      <c r="AS35" s="0" t="n">
        <v>10</v>
      </c>
      <c r="AX35" s="3" t="s">
        <v>101</v>
      </c>
      <c r="AY35" s="3" t="s">
        <v>102</v>
      </c>
      <c r="BA35" s="0" t="n">
        <v>0</v>
      </c>
      <c r="BB35" s="0" t="n">
        <v>0</v>
      </c>
      <c r="BC35" s="0" t="n">
        <v>0</v>
      </c>
      <c r="BF35" s="3" t="n">
        <f aca="false">IF(OR(I35="",BC35=""),"",IF(BC35=1,(BD35-I35)*12+IF(BE35="",7,BE35)-IF(J35="",1,J35),M35))</f>
        <v>152</v>
      </c>
      <c r="BG35" s="0" t="n">
        <v>1</v>
      </c>
      <c r="BH35" s="0" t="n">
        <v>500000</v>
      </c>
      <c r="BI35" s="3" t="s">
        <v>103</v>
      </c>
      <c r="BJ35" s="0" t="n">
        <v>2022</v>
      </c>
      <c r="BK35" s="0" t="n">
        <v>1</v>
      </c>
      <c r="BL35" s="3" t="n">
        <f aca="false">COUNTIFS(Investments_Clean!$A$2:$A$150,A35,Investments_Clean!$F$2:$F$150,"Accepted")</f>
        <v>1</v>
      </c>
      <c r="BM35" s="3" t="n">
        <f aca="false">IF(BL35=0,"",IF((COUNTIFS(Investments_Clean!$A$2:$A$150,A35,Investments_Clean!$D$2:$D$150,"VC/PE",Investments_Clean!$F$2:$F$150,"Accepted"))&gt;0,1,0))</f>
        <v>0</v>
      </c>
      <c r="BN35" s="3" t="n">
        <f aca="false">IF(BL35=0,"",IF((COUNTIFS(Investments_Clean!$A$2:$A$150,A35,Investments_Clean!$D$2:$D$150,"Angel",Investments_Clean!$F$2:$F$150,"Accepted"))&gt;0,1,0))</f>
        <v>0</v>
      </c>
      <c r="BO35" s="3" t="n">
        <f aca="false">IF(BL35=0,"",IF((COUNTIFS(Investments_Clean!$A$2:$A$150,A35,Investments_Clean!$D$2:$D$150,"Accelerator",Investments_Clean!$F$2:$F$150,"Accepted"))&gt;0,1,0))</f>
        <v>0</v>
      </c>
      <c r="BP35" s="3" t="n">
        <f aca="false">IF(BL35=0,"",IF((COUNTIFS(Investments_Clean!$A$2:$A$150,A35,Investments_Clean!$D$2:$D$150,"Corporate",Investments_Clean!$F$2:$F$150,"Accepted"))&gt;0,1,0))</f>
        <v>0</v>
      </c>
      <c r="BQ35" s="3" t="n">
        <f aca="false">IF(BL35=0,"",IF((COUNTIFS(Investments_Clean!$A$2:$A$150,A35,Investments_Clean!$D$2:$D$150,"Government",Investments_Clean!$F$2:$F$150,"Accepted"))&gt;0,1,0))</f>
        <v>1</v>
      </c>
      <c r="BR35" s="3" t="n">
        <f aca="false">IF(BL35=0,"",IF((COUNTIFS(Investments_Clean!$A$2:$A$150,A35,Investments_Clean!$D$2:$D$150,"Grant/Philanthropic",Investments_Clean!$F$2:$F$150,"Accepted")+COUNTIFS(Investments_Clean!$A$2:$A$150,A35,Investments_Clean!$D$2:$D$150,"DFI/Impact",Investments_Clean!$F$2:$F$150,"Accepted"))&gt;0,1,0))</f>
        <v>0</v>
      </c>
      <c r="CA35" s="0" t="n">
        <v>0</v>
      </c>
      <c r="CC35" s="0" t="str">
        <f aca="false">IF(I35="","",IFERROR(IF(INDEX(Macro_Lookup!$B$2:$B$31,MATCH(I35,Macro_Lookup!$A$2:$A$31,0))="","",INDEX(Macro_Lookup!$B$2:$B$31,MATCH(I35,Macro_Lookup!$A$2:$A$31,0))),""))</f>
        <v/>
      </c>
      <c r="CD35" s="0" t="str">
        <f aca="false">IF(I35="","",IFERROR(IF(INDEX(Macro_Lookup!$C$2:$C$31,MATCH(I35,Macro_Lookup!$A$2:$A$31,0))="","",INDEX(Macro_Lookup!$C$2:$C$31,MATCH(I35,Macro_Lookup!$A$2:$A$31,0))),""))</f>
        <v/>
      </c>
      <c r="CE35" s="0" t="str">
        <f aca="false">IF(BJ35="","",IFERROR(IF(INDEX(Macro_Lookup!$B$2:$B$31,MATCH(BJ35,Macro_Lookup!$A$2:$A$31,0))="","",INDEX(Macro_Lookup!$B$2:$B$31,MATCH(BJ35,Macro_Lookup!$A$2:$A$31,0))),""))</f>
        <v/>
      </c>
      <c r="CF35" s="0" t="str">
        <f aca="false">IF(BJ35="","",IFERROR(IF(INDEX(Macro_Lookup!$C$2:$C$31,MATCH(BJ35,Macro_Lookup!$A$2:$A$31,0))="","",INDEX(Macro_Lookup!$C$2:$C$31,MATCH(BJ35,Macro_Lookup!$A$2:$A$31,0))),""))</f>
        <v/>
      </c>
      <c r="CG35" s="0" t="n">
        <v>4</v>
      </c>
      <c r="CH35" s="3" t="s">
        <v>104</v>
      </c>
      <c r="CI35" s="3" t="s">
        <v>105</v>
      </c>
    </row>
    <row r="36" customFormat="false" ht="14.25" hidden="false" customHeight="false" outlineLevel="0" collapsed="false">
      <c r="A36" s="0" t="s">
        <v>256</v>
      </c>
      <c r="B36" s="0" t="s">
        <v>257</v>
      </c>
      <c r="C36" s="0" t="s">
        <v>89</v>
      </c>
      <c r="D36" s="0" t="s">
        <v>90</v>
      </c>
      <c r="E36" s="0" t="n">
        <v>0</v>
      </c>
      <c r="F36" s="0" t="s">
        <v>91</v>
      </c>
      <c r="I36" s="0" t="n">
        <v>2016</v>
      </c>
      <c r="K36" s="0" t="s">
        <v>92</v>
      </c>
      <c r="L36" s="2" t="n">
        <v>46295</v>
      </c>
      <c r="M36" s="3" t="n">
        <f aca="false">IF(I36="","",(YEAR(L36)-I36)*12+MONTH(L36)-IF(J36="",1,J36))</f>
        <v>128</v>
      </c>
      <c r="N36" s="3" t="n">
        <f aca="false">IF(M36="","",ROUND(M36/12,2))</f>
        <v>10.67</v>
      </c>
      <c r="O36" s="3" t="s">
        <v>258</v>
      </c>
      <c r="P36" s="3" t="s">
        <v>259</v>
      </c>
      <c r="Q36" s="3" t="s">
        <v>260</v>
      </c>
      <c r="R36" s="0" t="n">
        <v>0</v>
      </c>
      <c r="S36" s="0" t="n">
        <v>0</v>
      </c>
      <c r="T36" s="0" t="n">
        <v>1</v>
      </c>
      <c r="U36" s="0" t="n">
        <v>0</v>
      </c>
      <c r="V36" s="0" t="n">
        <v>0</v>
      </c>
      <c r="W36" s="0" t="n">
        <v>0</v>
      </c>
      <c r="X36" s="3" t="s">
        <v>261</v>
      </c>
      <c r="AF36" s="3" t="n">
        <f aca="false">IF(SUMIF(Founders_Clean!$A$2:$A$159,A36,Founders_Clean!$C$2:$C$159)=0,"",SUMIF(Founders_Clean!$A$2:$A$159,A36,Founders_Clean!$C$2:$C$159))</f>
        <v>1</v>
      </c>
      <c r="AG36" s="3" t="n">
        <f aca="false">IF(AF36="","",SUMIF(Founders_Clean!$A$2:$A$159,A36,Founders_Clean!$D$2:$D$159))</f>
        <v>1</v>
      </c>
      <c r="AH36" s="3" t="n">
        <f aca="false">IF(AF36="","",SUMIF(Founders_Clean!$A$2:$A$159,A36,Founders_Clean!$E$2:$E$159))</f>
        <v>0</v>
      </c>
      <c r="AI36" s="3" t="n">
        <f aca="false">IF(AF36="","",IF((AG36+AH36)=0,"",AH36/(AG36+AH36)))</f>
        <v>0</v>
      </c>
      <c r="AJ36" s="3" t="n">
        <f aca="false">IF(AI36="","",IF(AH36&gt;0,1,0))</f>
        <v>0</v>
      </c>
      <c r="AK36" s="3" t="n">
        <f aca="false">IF(AI36="","",ROUND(1-(AI36^2+(1-AI36)^2),3))</f>
        <v>0</v>
      </c>
      <c r="AX36" s="3" t="s">
        <v>262</v>
      </c>
      <c r="AY36" s="3" t="s">
        <v>263</v>
      </c>
      <c r="AZ36" s="3" t="s">
        <v>264</v>
      </c>
      <c r="BA36" s="0" t="n">
        <v>1</v>
      </c>
      <c r="BB36" s="0" t="n">
        <v>0</v>
      </c>
      <c r="BF36" s="0" t="str">
        <f aca="false">IF(OR(I36="",BC36=""),"",IF(BC36=1,(BD36-I36)*12+IF(BE36="",7,BE36)-IF(J36="",1,J36),M36))</f>
        <v/>
      </c>
      <c r="BK36" s="0" t="n">
        <v>1</v>
      </c>
      <c r="BL36" s="3" t="n">
        <f aca="false">COUNTIFS(Investments_Clean!$A$2:$A$150,A36,Investments_Clean!$F$2:$F$150,"Accepted")</f>
        <v>3</v>
      </c>
      <c r="BM36" s="3" t="n">
        <f aca="false">IF(BL36=0,"",IF((COUNTIFS(Investments_Clean!$A$2:$A$150,A36,Investments_Clean!$D$2:$D$150,"VC/PE",Investments_Clean!$F$2:$F$150,"Accepted"))&gt;0,1,0))</f>
        <v>0</v>
      </c>
      <c r="BN36" s="3" t="n">
        <f aca="false">IF(BL36=0,"",IF((COUNTIFS(Investments_Clean!$A$2:$A$150,A36,Investments_Clean!$D$2:$D$150,"Angel",Investments_Clean!$F$2:$F$150,"Accepted"))&gt;0,1,0))</f>
        <v>0</v>
      </c>
      <c r="BO36" s="3" t="n">
        <f aca="false">IF(BL36=0,"",IF((COUNTIFS(Investments_Clean!$A$2:$A$150,A36,Investments_Clean!$D$2:$D$150,"Accelerator",Investments_Clean!$F$2:$F$150,"Accepted"))&gt;0,1,0))</f>
        <v>0</v>
      </c>
      <c r="BP36" s="3" t="n">
        <f aca="false">IF(BL36=0,"",IF((COUNTIFS(Investments_Clean!$A$2:$A$150,A36,Investments_Clean!$D$2:$D$150,"Corporate",Investments_Clean!$F$2:$F$150,"Accepted"))&gt;0,1,0))</f>
        <v>1</v>
      </c>
      <c r="BQ36" s="3" t="n">
        <f aca="false">IF(BL36=0,"",IF((COUNTIFS(Investments_Clean!$A$2:$A$150,A36,Investments_Clean!$D$2:$D$150,"Government",Investments_Clean!$F$2:$F$150,"Accepted"))&gt;0,1,0))</f>
        <v>0</v>
      </c>
      <c r="BR36" s="3" t="n">
        <f aca="false">IF(BL36=0,"",IF((COUNTIFS(Investments_Clean!$A$2:$A$150,A36,Investments_Clean!$D$2:$D$150,"Grant/Philanthropic",Investments_Clean!$F$2:$F$150,"Accepted")+COUNTIFS(Investments_Clean!$A$2:$A$150,A36,Investments_Clean!$D$2:$D$150,"DFI/Impact",Investments_Clean!$F$2:$F$150,"Accepted"))&gt;0,1,0))</f>
        <v>0</v>
      </c>
      <c r="CA36" s="0" t="n">
        <v>0</v>
      </c>
      <c r="CC36" s="0" t="str">
        <f aca="false">IF(I36="","",IFERROR(IF(INDEX(Macro_Lookup!$B$2:$B$31,MATCH(I36,Macro_Lookup!$A$2:$A$31,0))="","",INDEX(Macro_Lookup!$B$2:$B$31,MATCH(I36,Macro_Lookup!$A$2:$A$31,0))),""))</f>
        <v/>
      </c>
      <c r="CD36" s="0" t="str">
        <f aca="false">IF(I36="","",IFERROR(IF(INDEX(Macro_Lookup!$C$2:$C$31,MATCH(I36,Macro_Lookup!$A$2:$A$31,0))="","",INDEX(Macro_Lookup!$C$2:$C$31,MATCH(I36,Macro_Lookup!$A$2:$A$31,0))),""))</f>
        <v/>
      </c>
      <c r="CE36" s="0" t="str">
        <f aca="false">IF(BJ36="","",IFERROR(IF(INDEX(Macro_Lookup!$B$2:$B$31,MATCH(BJ36,Macro_Lookup!$A$2:$A$31,0))="","",INDEX(Macro_Lookup!$B$2:$B$31,MATCH(BJ36,Macro_Lookup!$A$2:$A$31,0))),""))</f>
        <v/>
      </c>
      <c r="CF36" s="0" t="str">
        <f aca="false">IF(BJ36="","",IFERROR(IF(INDEX(Macro_Lookup!$C$2:$C$31,MATCH(BJ36,Macro_Lookup!$A$2:$A$31,0))="","",INDEX(Macro_Lookup!$C$2:$C$31,MATCH(BJ36,Macro_Lookup!$A$2:$A$31,0))),""))</f>
        <v/>
      </c>
      <c r="CG36" s="0" t="n">
        <v>8</v>
      </c>
      <c r="CH36" s="3" t="s">
        <v>104</v>
      </c>
      <c r="CI36" s="3" t="s">
        <v>105</v>
      </c>
    </row>
    <row r="37" customFormat="false" ht="14.25" hidden="false" customHeight="false" outlineLevel="0" collapsed="false">
      <c r="A37" s="0" t="s">
        <v>265</v>
      </c>
      <c r="B37" s="0" t="s">
        <v>266</v>
      </c>
      <c r="C37" s="0" t="s">
        <v>89</v>
      </c>
      <c r="D37" s="0" t="s">
        <v>90</v>
      </c>
      <c r="E37" s="0" t="n">
        <v>0</v>
      </c>
      <c r="F37" s="0" t="s">
        <v>91</v>
      </c>
      <c r="I37" s="0" t="n">
        <v>2015</v>
      </c>
      <c r="K37" s="0" t="s">
        <v>92</v>
      </c>
      <c r="L37" s="2" t="n">
        <v>46295</v>
      </c>
      <c r="M37" s="3" t="n">
        <f aca="false">IF(I37="","",(YEAR(L37)-I37)*12+MONTH(L37)-IF(J37="",1,J37))</f>
        <v>140</v>
      </c>
      <c r="N37" s="3" t="n">
        <f aca="false">IF(M37="","",ROUND(M37/12,2))</f>
        <v>11.67</v>
      </c>
      <c r="O37" s="3" t="s">
        <v>267</v>
      </c>
      <c r="P37" s="3" t="s">
        <v>267</v>
      </c>
      <c r="Q37" s="3" t="s">
        <v>268</v>
      </c>
      <c r="R37" s="0" t="n">
        <v>0</v>
      </c>
      <c r="S37" s="0" t="n">
        <v>1</v>
      </c>
      <c r="T37" s="0" t="n">
        <v>0</v>
      </c>
      <c r="U37" s="0" t="n">
        <v>1</v>
      </c>
      <c r="V37" s="0" t="n">
        <v>0</v>
      </c>
      <c r="W37" s="0" t="n">
        <v>0</v>
      </c>
      <c r="X37" s="3" t="s">
        <v>201</v>
      </c>
      <c r="Y37" s="0" t="n">
        <v>3</v>
      </c>
      <c r="Z37" s="0" t="n">
        <v>1</v>
      </c>
      <c r="AA37" s="0" t="n">
        <v>1</v>
      </c>
      <c r="AB37" s="3" t="s">
        <v>269</v>
      </c>
      <c r="AF37" s="3" t="n">
        <f aca="false">IF(SUMIF(Founders_Clean!$A$2:$A$159,A37,Founders_Clean!$C$2:$C$159)=0,"",SUMIF(Founders_Clean!$A$2:$A$159,A37,Founders_Clean!$C$2:$C$159))</f>
        <v>1</v>
      </c>
      <c r="AG37" s="3" t="n">
        <f aca="false">IF(AF37="","",SUMIF(Founders_Clean!$A$2:$A$159,A37,Founders_Clean!$D$2:$D$159))</f>
        <v>1</v>
      </c>
      <c r="AH37" s="3" t="n">
        <f aca="false">IF(AF37="","",SUMIF(Founders_Clean!$A$2:$A$159,A37,Founders_Clean!$E$2:$E$159))</f>
        <v>0</v>
      </c>
      <c r="AI37" s="3" t="n">
        <f aca="false">IF(AF37="","",IF((AG37+AH37)=0,"",AH37/(AG37+AH37)))</f>
        <v>0</v>
      </c>
      <c r="AJ37" s="3" t="n">
        <f aca="false">IF(AI37="","",IF(AH37&gt;0,1,0))</f>
        <v>0</v>
      </c>
      <c r="AK37" s="3" t="n">
        <f aca="false">IF(AI37="","",ROUND(1-(AI37^2+(1-AI37)^2),3))</f>
        <v>0</v>
      </c>
      <c r="AM37" s="0" t="n">
        <v>1</v>
      </c>
      <c r="AN37" s="3" t="s">
        <v>147</v>
      </c>
      <c r="AO37" s="0" t="n">
        <v>0</v>
      </c>
      <c r="AP37" s="0" t="n">
        <v>0</v>
      </c>
      <c r="AQ37" s="0" t="n">
        <v>0</v>
      </c>
      <c r="AR37" s="0" t="n">
        <v>0</v>
      </c>
      <c r="AS37" s="0" t="n">
        <v>0</v>
      </c>
      <c r="AX37" s="3" t="s">
        <v>101</v>
      </c>
      <c r="AY37" s="3" t="s">
        <v>102</v>
      </c>
      <c r="BA37" s="0" t="n">
        <v>0</v>
      </c>
      <c r="BB37" s="0" t="n">
        <v>0</v>
      </c>
      <c r="BC37" s="0" t="n">
        <v>0</v>
      </c>
      <c r="BF37" s="3" t="n">
        <f aca="false">IF(OR(I37="",BC37=""),"",IF(BC37=1,(BD37-I37)*12+IF(BE37="",7,BE37)-IF(J37="",1,J37),M37))</f>
        <v>140</v>
      </c>
      <c r="BG37" s="0" t="n">
        <v>1</v>
      </c>
      <c r="BH37" s="0" t="n">
        <v>5500000</v>
      </c>
      <c r="BI37" s="3" t="s">
        <v>103</v>
      </c>
      <c r="BJ37" s="0" t="n">
        <v>2023</v>
      </c>
      <c r="BK37" s="0" t="n">
        <v>1</v>
      </c>
      <c r="BL37" s="3" t="n">
        <f aca="false">COUNTIFS(Investments_Clean!$A$2:$A$150,A37,Investments_Clean!$F$2:$F$150,"Accepted")</f>
        <v>1</v>
      </c>
      <c r="BM37" s="3" t="n">
        <f aca="false">IF(BL37=0,"",IF((COUNTIFS(Investments_Clean!$A$2:$A$150,A37,Investments_Clean!$D$2:$D$150,"VC/PE",Investments_Clean!$F$2:$F$150,"Accepted"))&gt;0,1,0))</f>
        <v>1</v>
      </c>
      <c r="BN37" s="3" t="n">
        <f aca="false">IF(BL37=0,"",IF((COUNTIFS(Investments_Clean!$A$2:$A$150,A37,Investments_Clean!$D$2:$D$150,"Angel",Investments_Clean!$F$2:$F$150,"Accepted"))&gt;0,1,0))</f>
        <v>0</v>
      </c>
      <c r="BO37" s="3" t="n">
        <f aca="false">IF(BL37=0,"",IF((COUNTIFS(Investments_Clean!$A$2:$A$150,A37,Investments_Clean!$D$2:$D$150,"Accelerator",Investments_Clean!$F$2:$F$150,"Accepted"))&gt;0,1,0))</f>
        <v>0</v>
      </c>
      <c r="BP37" s="3" t="n">
        <f aca="false">IF(BL37=0,"",IF((COUNTIFS(Investments_Clean!$A$2:$A$150,A37,Investments_Clean!$D$2:$D$150,"Corporate",Investments_Clean!$F$2:$F$150,"Accepted"))&gt;0,1,0))</f>
        <v>0</v>
      </c>
      <c r="BQ37" s="3" t="n">
        <f aca="false">IF(BL37=0,"",IF((COUNTIFS(Investments_Clean!$A$2:$A$150,A37,Investments_Clean!$D$2:$D$150,"Government",Investments_Clean!$F$2:$F$150,"Accepted"))&gt;0,1,0))</f>
        <v>0</v>
      </c>
      <c r="BR37" s="3" t="n">
        <f aca="false">IF(BL37=0,"",IF((COUNTIFS(Investments_Clean!$A$2:$A$150,A37,Investments_Clean!$D$2:$D$150,"Grant/Philanthropic",Investments_Clean!$F$2:$F$150,"Accepted")+COUNTIFS(Investments_Clean!$A$2:$A$150,A37,Investments_Clean!$D$2:$D$150,"DFI/Impact",Investments_Clean!$F$2:$F$150,"Accepted"))&gt;0,1,0))</f>
        <v>0</v>
      </c>
      <c r="CA37" s="0" t="n">
        <v>0</v>
      </c>
      <c r="CC37" s="0" t="str">
        <f aca="false">IF(I37="","",IFERROR(IF(INDEX(Macro_Lookup!$B$2:$B$31,MATCH(I37,Macro_Lookup!$A$2:$A$31,0))="","",INDEX(Macro_Lookup!$B$2:$B$31,MATCH(I37,Macro_Lookup!$A$2:$A$31,0))),""))</f>
        <v/>
      </c>
      <c r="CD37" s="0" t="str">
        <f aca="false">IF(I37="","",IFERROR(IF(INDEX(Macro_Lookup!$C$2:$C$31,MATCH(I37,Macro_Lookup!$A$2:$A$31,0))="","",INDEX(Macro_Lookup!$C$2:$C$31,MATCH(I37,Macro_Lookup!$A$2:$A$31,0))),""))</f>
        <v/>
      </c>
      <c r="CE37" s="0" t="str">
        <f aca="false">IF(BJ37="","",IFERROR(IF(INDEX(Macro_Lookup!$B$2:$B$31,MATCH(BJ37,Macro_Lookup!$A$2:$A$31,0))="","",INDEX(Macro_Lookup!$B$2:$B$31,MATCH(BJ37,Macro_Lookup!$A$2:$A$31,0))),""))</f>
        <v/>
      </c>
      <c r="CF37" s="0" t="str">
        <f aca="false">IF(BJ37="","",IFERROR(IF(INDEX(Macro_Lookup!$C$2:$C$31,MATCH(BJ37,Macro_Lookup!$A$2:$A$31,0))="","",INDEX(Macro_Lookup!$C$2:$C$31,MATCH(BJ37,Macro_Lookup!$A$2:$A$31,0))),""))</f>
        <v/>
      </c>
      <c r="CG37" s="0" t="n">
        <v>3</v>
      </c>
      <c r="CH37" s="3" t="s">
        <v>104</v>
      </c>
      <c r="CI37" s="3" t="s">
        <v>105</v>
      </c>
    </row>
    <row r="38" customFormat="false" ht="14.25" hidden="false" customHeight="false" outlineLevel="0" collapsed="false">
      <c r="A38" s="0" t="s">
        <v>270</v>
      </c>
      <c r="B38" s="0" t="s">
        <v>271</v>
      </c>
      <c r="C38" s="0" t="s">
        <v>89</v>
      </c>
      <c r="D38" s="0" t="s">
        <v>90</v>
      </c>
      <c r="E38" s="0" t="n">
        <v>0</v>
      </c>
      <c r="F38" s="0" t="s">
        <v>91</v>
      </c>
      <c r="I38" s="0" t="n">
        <v>2019</v>
      </c>
      <c r="K38" s="0" t="s">
        <v>92</v>
      </c>
      <c r="L38" s="2" t="n">
        <v>46295</v>
      </c>
      <c r="M38" s="3" t="n">
        <f aca="false">IF(I38="","",(YEAR(L38)-I38)*12+MONTH(L38)-IF(J38="",1,J38))</f>
        <v>92</v>
      </c>
      <c r="N38" s="3" t="n">
        <f aca="false">IF(M38="","",ROUND(M38/12,2))</f>
        <v>7.67</v>
      </c>
      <c r="O38" s="3" t="s">
        <v>267</v>
      </c>
      <c r="P38" s="3" t="s">
        <v>267</v>
      </c>
      <c r="Q38" s="3" t="s">
        <v>268</v>
      </c>
      <c r="R38" s="0" t="n">
        <v>0</v>
      </c>
      <c r="S38" s="0" t="n">
        <v>1</v>
      </c>
      <c r="T38" s="0" t="n">
        <v>0</v>
      </c>
      <c r="U38" s="0" t="n">
        <v>1</v>
      </c>
      <c r="V38" s="0" t="n">
        <v>0</v>
      </c>
      <c r="W38" s="0" t="n">
        <v>0</v>
      </c>
      <c r="X38" s="3" t="s">
        <v>201</v>
      </c>
      <c r="Y38" s="0" t="n">
        <v>3</v>
      </c>
      <c r="Z38" s="0" t="n">
        <v>1</v>
      </c>
      <c r="AF38" s="3" t="n">
        <f aca="false">IF(SUMIF(Founders_Clean!$A$2:$A$159,A38,Founders_Clean!$C$2:$C$159)=0,"",SUMIF(Founders_Clean!$A$2:$A$159,A38,Founders_Clean!$C$2:$C$159))</f>
        <v>2</v>
      </c>
      <c r="AG38" s="3" t="n">
        <f aca="false">IF(AF38="","",SUMIF(Founders_Clean!$A$2:$A$159,A38,Founders_Clean!$D$2:$D$159))</f>
        <v>2</v>
      </c>
      <c r="AH38" s="3" t="n">
        <f aca="false">IF(AF38="","",SUMIF(Founders_Clean!$A$2:$A$159,A38,Founders_Clean!$E$2:$E$159))</f>
        <v>0</v>
      </c>
      <c r="AI38" s="3" t="n">
        <f aca="false">IF(AF38="","",IF((AG38+AH38)=0,"",AH38/(AG38+AH38)))</f>
        <v>0</v>
      </c>
      <c r="AJ38" s="3" t="n">
        <f aca="false">IF(AI38="","",IF(AH38&gt;0,1,0))</f>
        <v>0</v>
      </c>
      <c r="AK38" s="3" t="n">
        <f aca="false">IF(AI38="","",ROUND(1-(AI38^2+(1-AI38)^2),3))</f>
        <v>0</v>
      </c>
      <c r="AM38" s="0" t="n">
        <v>1</v>
      </c>
      <c r="AN38" s="3" t="s">
        <v>147</v>
      </c>
      <c r="AO38" s="0" t="n">
        <v>0</v>
      </c>
      <c r="AP38" s="0" t="n">
        <v>0</v>
      </c>
      <c r="AQ38" s="0" t="n">
        <v>0</v>
      </c>
      <c r="AR38" s="0" t="n">
        <v>10</v>
      </c>
      <c r="AS38" s="0" t="n">
        <v>9.5</v>
      </c>
      <c r="AX38" s="3" t="s">
        <v>101</v>
      </c>
      <c r="AY38" s="3" t="s">
        <v>102</v>
      </c>
      <c r="BA38" s="0" t="n">
        <v>0</v>
      </c>
      <c r="BB38" s="0" t="n">
        <v>0</v>
      </c>
      <c r="BC38" s="0" t="n">
        <v>0</v>
      </c>
      <c r="BF38" s="3" t="n">
        <f aca="false">IF(OR(I38="",BC38=""),"",IF(BC38=1,(BD38-I38)*12+IF(BE38="",7,BE38)-IF(J38="",1,J38),M38))</f>
        <v>92</v>
      </c>
      <c r="BG38" s="0" t="n">
        <v>1</v>
      </c>
      <c r="BH38" s="0" t="n">
        <v>4000000</v>
      </c>
      <c r="BI38" s="3" t="s">
        <v>103</v>
      </c>
      <c r="BJ38" s="0" t="n">
        <v>2022</v>
      </c>
      <c r="BK38" s="0" t="n">
        <v>1</v>
      </c>
      <c r="BL38" s="3" t="n">
        <f aca="false">COUNTIFS(Investments_Clean!$A$2:$A$150,A38,Investments_Clean!$F$2:$F$150,"Accepted")</f>
        <v>1</v>
      </c>
      <c r="BM38" s="3" t="n">
        <f aca="false">IF(BL38=0,"",IF((COUNTIFS(Investments_Clean!$A$2:$A$150,A38,Investments_Clean!$D$2:$D$150,"VC/PE",Investments_Clean!$F$2:$F$150,"Accepted"))&gt;0,1,0))</f>
        <v>1</v>
      </c>
      <c r="BN38" s="3" t="n">
        <f aca="false">IF(BL38=0,"",IF((COUNTIFS(Investments_Clean!$A$2:$A$150,A38,Investments_Clean!$D$2:$D$150,"Angel",Investments_Clean!$F$2:$F$150,"Accepted"))&gt;0,1,0))</f>
        <v>0</v>
      </c>
      <c r="BO38" s="3" t="n">
        <f aca="false">IF(BL38=0,"",IF((COUNTIFS(Investments_Clean!$A$2:$A$150,A38,Investments_Clean!$D$2:$D$150,"Accelerator",Investments_Clean!$F$2:$F$150,"Accepted"))&gt;0,1,0))</f>
        <v>0</v>
      </c>
      <c r="BP38" s="3" t="n">
        <f aca="false">IF(BL38=0,"",IF((COUNTIFS(Investments_Clean!$A$2:$A$150,A38,Investments_Clean!$D$2:$D$150,"Corporate",Investments_Clean!$F$2:$F$150,"Accepted"))&gt;0,1,0))</f>
        <v>0</v>
      </c>
      <c r="BQ38" s="3" t="n">
        <f aca="false">IF(BL38=0,"",IF((COUNTIFS(Investments_Clean!$A$2:$A$150,A38,Investments_Clean!$D$2:$D$150,"Government",Investments_Clean!$F$2:$F$150,"Accepted"))&gt;0,1,0))</f>
        <v>0</v>
      </c>
      <c r="BR38" s="3" t="n">
        <f aca="false">IF(BL38=0,"",IF((COUNTIFS(Investments_Clean!$A$2:$A$150,A38,Investments_Clean!$D$2:$D$150,"Grant/Philanthropic",Investments_Clean!$F$2:$F$150,"Accepted")+COUNTIFS(Investments_Clean!$A$2:$A$150,A38,Investments_Clean!$D$2:$D$150,"DFI/Impact",Investments_Clean!$F$2:$F$150,"Accepted"))&gt;0,1,0))</f>
        <v>0</v>
      </c>
      <c r="CA38" s="0" t="n">
        <v>0</v>
      </c>
      <c r="CC38" s="0" t="str">
        <f aca="false">IF(I38="","",IFERROR(IF(INDEX(Macro_Lookup!$B$2:$B$31,MATCH(I38,Macro_Lookup!$A$2:$A$31,0))="","",INDEX(Macro_Lookup!$B$2:$B$31,MATCH(I38,Macro_Lookup!$A$2:$A$31,0))),""))</f>
        <v/>
      </c>
      <c r="CD38" s="0" t="str">
        <f aca="false">IF(I38="","",IFERROR(IF(INDEX(Macro_Lookup!$C$2:$C$31,MATCH(I38,Macro_Lookup!$A$2:$A$31,0))="","",INDEX(Macro_Lookup!$C$2:$C$31,MATCH(I38,Macro_Lookup!$A$2:$A$31,0))),""))</f>
        <v/>
      </c>
      <c r="CE38" s="0" t="str">
        <f aca="false">IF(BJ38="","",IFERROR(IF(INDEX(Macro_Lookup!$B$2:$B$31,MATCH(BJ38,Macro_Lookup!$A$2:$A$31,0))="","",INDEX(Macro_Lookup!$B$2:$B$31,MATCH(BJ38,Macro_Lookup!$A$2:$A$31,0))),""))</f>
        <v/>
      </c>
      <c r="CF38" s="0" t="str">
        <f aca="false">IF(BJ38="","",IFERROR(IF(INDEX(Macro_Lookup!$C$2:$C$31,MATCH(BJ38,Macro_Lookup!$A$2:$A$31,0))="","",INDEX(Macro_Lookup!$C$2:$C$31,MATCH(BJ38,Macro_Lookup!$A$2:$A$31,0))),""))</f>
        <v/>
      </c>
      <c r="CG38" s="0" t="n">
        <v>4</v>
      </c>
      <c r="CH38" s="3" t="s">
        <v>104</v>
      </c>
      <c r="CI38" s="3" t="s">
        <v>105</v>
      </c>
    </row>
    <row r="39" customFormat="false" ht="14.25" hidden="false" customHeight="false" outlineLevel="0" collapsed="false">
      <c r="A39" s="0" t="s">
        <v>272</v>
      </c>
      <c r="B39" s="0" t="s">
        <v>273</v>
      </c>
      <c r="C39" s="0" t="s">
        <v>89</v>
      </c>
      <c r="D39" s="0" t="s">
        <v>90</v>
      </c>
      <c r="E39" s="0" t="n">
        <v>0</v>
      </c>
      <c r="F39" s="0" t="s">
        <v>91</v>
      </c>
      <c r="G39" s="0" t="s">
        <v>270</v>
      </c>
      <c r="I39" s="0" t="n">
        <v>2016</v>
      </c>
      <c r="K39" s="0" t="s">
        <v>92</v>
      </c>
      <c r="L39" s="2" t="n">
        <v>46295</v>
      </c>
      <c r="M39" s="3" t="n">
        <f aca="false">IF(I39="","",(YEAR(L39)-I39)*12+MONTH(L39)-IF(J39="",1,J39))</f>
        <v>128</v>
      </c>
      <c r="N39" s="3" t="n">
        <f aca="false">IF(M39="","",ROUND(M39/12,2))</f>
        <v>10.67</v>
      </c>
      <c r="O39" s="3" t="s">
        <v>267</v>
      </c>
      <c r="P39" s="3" t="s">
        <v>267</v>
      </c>
      <c r="Q39" s="3" t="s">
        <v>274</v>
      </c>
      <c r="R39" s="0" t="n">
        <v>0</v>
      </c>
      <c r="S39" s="0" t="n">
        <v>1</v>
      </c>
      <c r="T39" s="0" t="n">
        <v>1</v>
      </c>
      <c r="U39" s="0" t="n">
        <v>0</v>
      </c>
      <c r="V39" s="0" t="n">
        <v>0</v>
      </c>
      <c r="W39" s="0" t="n">
        <v>0</v>
      </c>
      <c r="X39" s="3" t="s">
        <v>138</v>
      </c>
      <c r="Y39" s="0" t="n">
        <v>3</v>
      </c>
      <c r="Z39" s="0" t="n">
        <v>1</v>
      </c>
      <c r="AF39" s="3" t="n">
        <f aca="false">IF(SUMIF(Founders_Clean!$A$2:$A$159,A39,Founders_Clean!$C$2:$C$159)=0,"",SUMIF(Founders_Clean!$A$2:$A$159,A39,Founders_Clean!$C$2:$C$159))</f>
        <v>2</v>
      </c>
      <c r="AG39" s="3" t="n">
        <f aca="false">IF(AF39="","",SUMIF(Founders_Clean!$A$2:$A$159,A39,Founders_Clean!$D$2:$D$159))</f>
        <v>2</v>
      </c>
      <c r="AH39" s="3" t="n">
        <f aca="false">IF(AF39="","",SUMIF(Founders_Clean!$A$2:$A$159,A39,Founders_Clean!$E$2:$E$159))</f>
        <v>0</v>
      </c>
      <c r="AI39" s="3" t="n">
        <f aca="false">IF(AF39="","",IF((AG39+AH39)=0,"",AH39/(AG39+AH39)))</f>
        <v>0</v>
      </c>
      <c r="AJ39" s="3" t="n">
        <f aca="false">IF(AI39="","",IF(AH39&gt;0,1,0))</f>
        <v>0</v>
      </c>
      <c r="AK39" s="3" t="n">
        <f aca="false">IF(AI39="","",ROUND(1-(AI39^2+(1-AI39)^2),3))</f>
        <v>0</v>
      </c>
      <c r="AX39" s="3" t="s">
        <v>138</v>
      </c>
      <c r="AY39" s="3" t="s">
        <v>102</v>
      </c>
      <c r="BA39" s="0" t="n">
        <v>1</v>
      </c>
      <c r="BB39" s="0" t="n">
        <v>0</v>
      </c>
      <c r="BC39" s="0" t="n">
        <v>0</v>
      </c>
      <c r="BF39" s="3" t="n">
        <f aca="false">IF(OR(I39="",BC39=""),"",IF(BC39=1,(BD39-I39)*12+IF(BE39="",7,BE39)-IF(J39="",1,J39),M39))</f>
        <v>128</v>
      </c>
      <c r="BL39" s="3" t="n">
        <f aca="false">COUNTIFS(Investments_Clean!$A$2:$A$150,A39,Investments_Clean!$F$2:$F$150,"Accepted")</f>
        <v>0</v>
      </c>
      <c r="BM39" s="0" t="str">
        <f aca="false">IF(BL39=0,"",IF((COUNTIFS(Investments_Clean!$A$2:$A$150,A39,Investments_Clean!$D$2:$D$150,"VC/PE",Investments_Clean!$F$2:$F$150,"Accepted"))&gt;0,1,0))</f>
        <v/>
      </c>
      <c r="BN39" s="0" t="str">
        <f aca="false">IF(BL39=0,"",IF((COUNTIFS(Investments_Clean!$A$2:$A$150,A39,Investments_Clean!$D$2:$D$150,"Angel",Investments_Clean!$F$2:$F$150,"Accepted"))&gt;0,1,0))</f>
        <v/>
      </c>
      <c r="BO39" s="0" t="str">
        <f aca="false">IF(BL39=0,"",IF((COUNTIFS(Investments_Clean!$A$2:$A$150,A39,Investments_Clean!$D$2:$D$150,"Accelerator",Investments_Clean!$F$2:$F$150,"Accepted"))&gt;0,1,0))</f>
        <v/>
      </c>
      <c r="BP39" s="0" t="str">
        <f aca="false">IF(BL39=0,"",IF((COUNTIFS(Investments_Clean!$A$2:$A$150,A39,Investments_Clean!$D$2:$D$150,"Corporate",Investments_Clean!$F$2:$F$150,"Accepted"))&gt;0,1,0))</f>
        <v/>
      </c>
      <c r="BQ39" s="0" t="str">
        <f aca="false">IF(BL39=0,"",IF((COUNTIFS(Investments_Clean!$A$2:$A$150,A39,Investments_Clean!$D$2:$D$150,"Government",Investments_Clean!$F$2:$F$150,"Accepted"))&gt;0,1,0))</f>
        <v/>
      </c>
      <c r="BR39" s="0" t="str">
        <f aca="false">IF(BL39=0,"",IF((COUNTIFS(Investments_Clean!$A$2:$A$150,A39,Investments_Clean!$D$2:$D$150,"Grant/Philanthropic",Investments_Clean!$F$2:$F$150,"Accepted")+COUNTIFS(Investments_Clean!$A$2:$A$150,A39,Investments_Clean!$D$2:$D$150,"DFI/Impact",Investments_Clean!$F$2:$F$150,"Accepted"))&gt;0,1,0))</f>
        <v/>
      </c>
      <c r="CA39" s="0" t="n">
        <v>0</v>
      </c>
      <c r="CC39" s="0" t="str">
        <f aca="false">IF(I39="","",IFERROR(IF(INDEX(Macro_Lookup!$B$2:$B$31,MATCH(I39,Macro_Lookup!$A$2:$A$31,0))="","",INDEX(Macro_Lookup!$B$2:$B$31,MATCH(I39,Macro_Lookup!$A$2:$A$31,0))),""))</f>
        <v/>
      </c>
      <c r="CD39" s="0" t="str">
        <f aca="false">IF(I39="","",IFERROR(IF(INDEX(Macro_Lookup!$C$2:$C$31,MATCH(I39,Macro_Lookup!$A$2:$A$31,0))="","",INDEX(Macro_Lookup!$C$2:$C$31,MATCH(I39,Macro_Lookup!$A$2:$A$31,0))),""))</f>
        <v/>
      </c>
      <c r="CE39" s="0" t="str">
        <f aca="false">IF(BJ39="","",IFERROR(IF(INDEX(Macro_Lookup!$B$2:$B$31,MATCH(BJ39,Macro_Lookup!$A$2:$A$31,0))="","",INDEX(Macro_Lookup!$B$2:$B$31,MATCH(BJ39,Macro_Lookup!$A$2:$A$31,0))),""))</f>
        <v/>
      </c>
      <c r="CF39" s="0" t="str">
        <f aca="false">IF(BJ39="","",IFERROR(IF(INDEX(Macro_Lookup!$C$2:$C$31,MATCH(BJ39,Macro_Lookup!$A$2:$A$31,0))="","",INDEX(Macro_Lookup!$C$2:$C$31,MATCH(BJ39,Macro_Lookup!$A$2:$A$31,0))),""))</f>
        <v/>
      </c>
      <c r="CG39" s="0" t="n">
        <v>8</v>
      </c>
      <c r="CH39" s="3" t="s">
        <v>104</v>
      </c>
      <c r="CI39" s="3" t="s">
        <v>105</v>
      </c>
    </row>
    <row r="40" customFormat="false" ht="14.25" hidden="false" customHeight="false" outlineLevel="0" collapsed="false">
      <c r="A40" s="0" t="s">
        <v>275</v>
      </c>
      <c r="B40" s="0" t="s">
        <v>276</v>
      </c>
      <c r="C40" s="0" t="s">
        <v>89</v>
      </c>
      <c r="D40" s="0" t="s">
        <v>90</v>
      </c>
      <c r="E40" s="0" t="n">
        <v>0</v>
      </c>
      <c r="F40" s="0" t="s">
        <v>91</v>
      </c>
      <c r="I40" s="0" t="n">
        <v>2019</v>
      </c>
      <c r="K40" s="0" t="s">
        <v>92</v>
      </c>
      <c r="L40" s="2" t="n">
        <v>46295</v>
      </c>
      <c r="M40" s="3" t="n">
        <f aca="false">IF(I40="","",(YEAR(L40)-I40)*12+MONTH(L40)-IF(J40="",1,J40))</f>
        <v>92</v>
      </c>
      <c r="N40" s="3" t="n">
        <f aca="false">IF(M40="","",ROUND(M40/12,2))</f>
        <v>7.67</v>
      </c>
      <c r="O40" s="3" t="s">
        <v>267</v>
      </c>
      <c r="P40" s="3" t="s">
        <v>267</v>
      </c>
      <c r="Q40" s="3" t="s">
        <v>277</v>
      </c>
      <c r="R40" s="0" t="n">
        <v>1</v>
      </c>
      <c r="S40" s="0" t="n">
        <v>1</v>
      </c>
      <c r="T40" s="0" t="n">
        <v>0</v>
      </c>
      <c r="U40" s="0" t="n">
        <v>1</v>
      </c>
      <c r="V40" s="0" t="n">
        <v>0</v>
      </c>
      <c r="W40" s="0" t="n">
        <v>0</v>
      </c>
      <c r="X40" s="3" t="s">
        <v>201</v>
      </c>
      <c r="Y40" s="0" t="n">
        <v>3</v>
      </c>
      <c r="Z40" s="0" t="n">
        <v>1</v>
      </c>
      <c r="AA40" s="0" t="n">
        <v>1</v>
      </c>
      <c r="AB40" s="3" t="s">
        <v>278</v>
      </c>
      <c r="AF40" s="3" t="n">
        <f aca="false">IF(SUMIF(Founders_Clean!$A$2:$A$159,A40,Founders_Clean!$C$2:$C$159)=0,"",SUMIF(Founders_Clean!$A$2:$A$159,A40,Founders_Clean!$C$2:$C$159))</f>
        <v>1</v>
      </c>
      <c r="AG40" s="3" t="n">
        <f aca="false">IF(AF40="","",SUMIF(Founders_Clean!$A$2:$A$159,A40,Founders_Clean!$D$2:$D$159))</f>
        <v>1</v>
      </c>
      <c r="AH40" s="3" t="n">
        <f aca="false">IF(AF40="","",SUMIF(Founders_Clean!$A$2:$A$159,A40,Founders_Clean!$E$2:$E$159))</f>
        <v>0</v>
      </c>
      <c r="AI40" s="3" t="n">
        <f aca="false">IF(AF40="","",IF((AG40+AH40)=0,"",AH40/(AG40+AH40)))</f>
        <v>0</v>
      </c>
      <c r="AJ40" s="3" t="n">
        <f aca="false">IF(AI40="","",IF(AH40&gt;0,1,0))</f>
        <v>0</v>
      </c>
      <c r="AK40" s="3" t="n">
        <f aca="false">IF(AI40="","",ROUND(1-(AI40^2+(1-AI40)^2),3))</f>
        <v>0</v>
      </c>
      <c r="AX40" s="3" t="s">
        <v>101</v>
      </c>
      <c r="AY40" s="3" t="s">
        <v>102</v>
      </c>
      <c r="BA40" s="0" t="n">
        <v>0</v>
      </c>
      <c r="BB40" s="0" t="n">
        <v>0</v>
      </c>
      <c r="BC40" s="0" t="n">
        <v>0</v>
      </c>
      <c r="BF40" s="3" t="n">
        <f aca="false">IF(OR(I40="",BC40=""),"",IF(BC40=1,(BD40-I40)*12+IF(BE40="",7,BE40)-IF(J40="",1,J40),M40))</f>
        <v>92</v>
      </c>
      <c r="BG40" s="0" t="n">
        <v>1</v>
      </c>
      <c r="BH40" s="0" t="n">
        <v>180000</v>
      </c>
      <c r="BI40" s="3" t="s">
        <v>103</v>
      </c>
      <c r="BJ40" s="0" t="n">
        <v>2021</v>
      </c>
      <c r="BK40" s="0" t="n">
        <v>1</v>
      </c>
      <c r="BL40" s="3" t="n">
        <f aca="false">COUNTIFS(Investments_Clean!$A$2:$A$150,A40,Investments_Clean!$F$2:$F$150,"Accepted")</f>
        <v>1</v>
      </c>
      <c r="BM40" s="3" t="n">
        <f aca="false">IF(BL40=0,"",IF((COUNTIFS(Investments_Clean!$A$2:$A$150,A40,Investments_Clean!$D$2:$D$150,"VC/PE",Investments_Clean!$F$2:$F$150,"Accepted"))&gt;0,1,0))</f>
        <v>0</v>
      </c>
      <c r="BN40" s="3" t="n">
        <f aca="false">IF(BL40=0,"",IF((COUNTIFS(Investments_Clean!$A$2:$A$150,A40,Investments_Clean!$D$2:$D$150,"Angel",Investments_Clean!$F$2:$F$150,"Accepted"))&gt;0,1,0))</f>
        <v>0</v>
      </c>
      <c r="BO40" s="3" t="n">
        <f aca="false">IF(BL40=0,"",IF((COUNTIFS(Investments_Clean!$A$2:$A$150,A40,Investments_Clean!$D$2:$D$150,"Accelerator",Investments_Clean!$F$2:$F$150,"Accepted"))&gt;0,1,0))</f>
        <v>0</v>
      </c>
      <c r="BP40" s="3" t="n">
        <f aca="false">IF(BL40=0,"",IF((COUNTIFS(Investments_Clean!$A$2:$A$150,A40,Investments_Clean!$D$2:$D$150,"Corporate",Investments_Clean!$F$2:$F$150,"Accepted"))&gt;0,1,0))</f>
        <v>1</v>
      </c>
      <c r="BQ40" s="3" t="n">
        <f aca="false">IF(BL40=0,"",IF((COUNTIFS(Investments_Clean!$A$2:$A$150,A40,Investments_Clean!$D$2:$D$150,"Government",Investments_Clean!$F$2:$F$150,"Accepted"))&gt;0,1,0))</f>
        <v>0</v>
      </c>
      <c r="BR40" s="3" t="n">
        <f aca="false">IF(BL40=0,"",IF((COUNTIFS(Investments_Clean!$A$2:$A$150,A40,Investments_Clean!$D$2:$D$150,"Grant/Philanthropic",Investments_Clean!$F$2:$F$150,"Accepted")+COUNTIFS(Investments_Clean!$A$2:$A$150,A40,Investments_Clean!$D$2:$D$150,"DFI/Impact",Investments_Clean!$F$2:$F$150,"Accepted"))&gt;0,1,0))</f>
        <v>0</v>
      </c>
      <c r="CA40" s="0" t="n">
        <v>0</v>
      </c>
      <c r="CC40" s="0" t="str">
        <f aca="false">IF(I40="","",IFERROR(IF(INDEX(Macro_Lookup!$B$2:$B$31,MATCH(I40,Macro_Lookup!$A$2:$A$31,0))="","",INDEX(Macro_Lookup!$B$2:$B$31,MATCH(I40,Macro_Lookup!$A$2:$A$31,0))),""))</f>
        <v/>
      </c>
      <c r="CD40" s="0" t="str">
        <f aca="false">IF(I40="","",IFERROR(IF(INDEX(Macro_Lookup!$C$2:$C$31,MATCH(I40,Macro_Lookup!$A$2:$A$31,0))="","",INDEX(Macro_Lookup!$C$2:$C$31,MATCH(I40,Macro_Lookup!$A$2:$A$31,0))),""))</f>
        <v/>
      </c>
      <c r="CE40" s="0" t="str">
        <f aca="false">IF(BJ40="","",IFERROR(IF(INDEX(Macro_Lookup!$B$2:$B$31,MATCH(BJ40,Macro_Lookup!$A$2:$A$31,0))="","",INDEX(Macro_Lookup!$B$2:$B$31,MATCH(BJ40,Macro_Lookup!$A$2:$A$31,0))),""))</f>
        <v/>
      </c>
      <c r="CF40" s="0" t="str">
        <f aca="false">IF(BJ40="","",IFERROR(IF(INDEX(Macro_Lookup!$C$2:$C$31,MATCH(BJ40,Macro_Lookup!$A$2:$A$31,0))="","",INDEX(Macro_Lookup!$C$2:$C$31,MATCH(BJ40,Macro_Lookup!$A$2:$A$31,0))),""))</f>
        <v/>
      </c>
      <c r="CG40" s="0" t="n">
        <v>7</v>
      </c>
      <c r="CH40" s="3" t="s">
        <v>104</v>
      </c>
      <c r="CI40" s="3" t="s">
        <v>105</v>
      </c>
    </row>
    <row r="41" customFormat="false" ht="14.25" hidden="false" customHeight="false" outlineLevel="0" collapsed="false">
      <c r="A41" s="0" t="s">
        <v>279</v>
      </c>
      <c r="B41" s="0" t="s">
        <v>280</v>
      </c>
      <c r="C41" s="0" t="s">
        <v>89</v>
      </c>
      <c r="D41" s="0" t="s">
        <v>90</v>
      </c>
      <c r="E41" s="0" t="n">
        <v>0</v>
      </c>
      <c r="F41" s="0" t="s">
        <v>91</v>
      </c>
      <c r="K41" s="0" t="s">
        <v>109</v>
      </c>
      <c r="L41" s="2" t="n">
        <v>46295</v>
      </c>
      <c r="M41" s="0" t="str">
        <f aca="false">IF(I41="","",(YEAR(L41)-I41)*12+MONTH(L41)-IF(J41="",1,J41))</f>
        <v/>
      </c>
      <c r="N41" s="0" t="str">
        <f aca="false">IF(M41="","",ROUND(M41/12,2))</f>
        <v/>
      </c>
      <c r="O41" s="3" t="s">
        <v>267</v>
      </c>
      <c r="P41" s="3" t="s">
        <v>267</v>
      </c>
      <c r="Q41" s="3" t="s">
        <v>281</v>
      </c>
      <c r="R41" s="0" t="n">
        <v>0</v>
      </c>
      <c r="S41" s="0" t="n">
        <v>1</v>
      </c>
      <c r="T41" s="0" t="n">
        <v>0</v>
      </c>
      <c r="U41" s="0" t="n">
        <v>0</v>
      </c>
      <c r="V41" s="0" t="n">
        <v>0</v>
      </c>
      <c r="W41" s="0" t="n">
        <v>0</v>
      </c>
      <c r="X41" s="3" t="s">
        <v>282</v>
      </c>
      <c r="AF41" s="3" t="n">
        <f aca="false">IF(SUMIF(Founders_Clean!$A$2:$A$159,A41,Founders_Clean!$C$2:$C$159)=0,"",SUMIF(Founders_Clean!$A$2:$A$159,A41,Founders_Clean!$C$2:$C$159))</f>
        <v>1</v>
      </c>
      <c r="AG41" s="3" t="n">
        <f aca="false">IF(AF41="","",SUMIF(Founders_Clean!$A$2:$A$159,A41,Founders_Clean!$D$2:$D$159))</f>
        <v>1</v>
      </c>
      <c r="AH41" s="3" t="n">
        <f aca="false">IF(AF41="","",SUMIF(Founders_Clean!$A$2:$A$159,A41,Founders_Clean!$E$2:$E$159))</f>
        <v>0</v>
      </c>
      <c r="AI41" s="3" t="n">
        <f aca="false">IF(AF41="","",IF((AG41+AH41)=0,"",AH41/(AG41+AH41)))</f>
        <v>0</v>
      </c>
      <c r="AJ41" s="3" t="n">
        <f aca="false">IF(AI41="","",IF(AH41&gt;0,1,0))</f>
        <v>0</v>
      </c>
      <c r="AK41" s="3" t="n">
        <f aca="false">IF(AI41="","",ROUND(1-(AI41^2+(1-AI41)^2),3))</f>
        <v>0</v>
      </c>
      <c r="AX41" s="3" t="s">
        <v>262</v>
      </c>
      <c r="AY41" s="3" t="s">
        <v>263</v>
      </c>
      <c r="AZ41" s="3" t="s">
        <v>283</v>
      </c>
      <c r="BB41" s="0" t="n">
        <v>0</v>
      </c>
      <c r="BF41" s="0" t="str">
        <f aca="false">IF(OR(I41="",BC41=""),"",IF(BC41=1,(BD41-I41)*12+IF(BE41="",7,BE41)-IF(J41="",1,J41),M41))</f>
        <v/>
      </c>
      <c r="BL41" s="3" t="n">
        <f aca="false">COUNTIFS(Investments_Clean!$A$2:$A$150,A41,Investments_Clean!$F$2:$F$150,"Accepted")</f>
        <v>0</v>
      </c>
      <c r="BM41" s="0" t="str">
        <f aca="false">IF(BL41=0,"",IF((COUNTIFS(Investments_Clean!$A$2:$A$150,A41,Investments_Clean!$D$2:$D$150,"VC/PE",Investments_Clean!$F$2:$F$150,"Accepted"))&gt;0,1,0))</f>
        <v/>
      </c>
      <c r="BN41" s="0" t="str">
        <f aca="false">IF(BL41=0,"",IF((COUNTIFS(Investments_Clean!$A$2:$A$150,A41,Investments_Clean!$D$2:$D$150,"Angel",Investments_Clean!$F$2:$F$150,"Accepted"))&gt;0,1,0))</f>
        <v/>
      </c>
      <c r="BO41" s="0" t="str">
        <f aca="false">IF(BL41=0,"",IF((COUNTIFS(Investments_Clean!$A$2:$A$150,A41,Investments_Clean!$D$2:$D$150,"Accelerator",Investments_Clean!$F$2:$F$150,"Accepted"))&gt;0,1,0))</f>
        <v/>
      </c>
      <c r="BP41" s="0" t="str">
        <f aca="false">IF(BL41=0,"",IF((COUNTIFS(Investments_Clean!$A$2:$A$150,A41,Investments_Clean!$D$2:$D$150,"Corporate",Investments_Clean!$F$2:$F$150,"Accepted"))&gt;0,1,0))</f>
        <v/>
      </c>
      <c r="BQ41" s="0" t="str">
        <f aca="false">IF(BL41=0,"",IF((COUNTIFS(Investments_Clean!$A$2:$A$150,A41,Investments_Clean!$D$2:$D$150,"Government",Investments_Clean!$F$2:$F$150,"Accepted"))&gt;0,1,0))</f>
        <v/>
      </c>
      <c r="BR41" s="0" t="str">
        <f aca="false">IF(BL41=0,"",IF((COUNTIFS(Investments_Clean!$A$2:$A$150,A41,Investments_Clean!$D$2:$D$150,"Grant/Philanthropic",Investments_Clean!$F$2:$F$150,"Accepted")+COUNTIFS(Investments_Clean!$A$2:$A$150,A41,Investments_Clean!$D$2:$D$150,"DFI/Impact",Investments_Clean!$F$2:$F$150,"Accepted"))&gt;0,1,0))</f>
        <v/>
      </c>
      <c r="CA41" s="0" t="n">
        <v>0</v>
      </c>
      <c r="CC41" s="0" t="str">
        <f aca="false">IF(I41="","",IFERROR(IF(INDEX(Macro_Lookup!$B$2:$B$31,MATCH(I41,Macro_Lookup!$A$2:$A$31,0))="","",INDEX(Macro_Lookup!$B$2:$B$31,MATCH(I41,Macro_Lookup!$A$2:$A$31,0))),""))</f>
        <v/>
      </c>
      <c r="CD41" s="0" t="str">
        <f aca="false">IF(I41="","",IFERROR(IF(INDEX(Macro_Lookup!$C$2:$C$31,MATCH(I41,Macro_Lookup!$A$2:$A$31,0))="","",INDEX(Macro_Lookup!$C$2:$C$31,MATCH(I41,Macro_Lookup!$A$2:$A$31,0))),""))</f>
        <v/>
      </c>
      <c r="CE41" s="0" t="str">
        <f aca="false">IF(BJ41="","",IFERROR(IF(INDEX(Macro_Lookup!$B$2:$B$31,MATCH(BJ41,Macro_Lookup!$A$2:$A$31,0))="","",INDEX(Macro_Lookup!$B$2:$B$31,MATCH(BJ41,Macro_Lookup!$A$2:$A$31,0))),""))</f>
        <v/>
      </c>
      <c r="CF41" s="0" t="str">
        <f aca="false">IF(BJ41="","",IFERROR(IF(INDEX(Macro_Lookup!$C$2:$C$31,MATCH(BJ41,Macro_Lookup!$A$2:$A$31,0))="","",INDEX(Macro_Lookup!$C$2:$C$31,MATCH(BJ41,Macro_Lookup!$A$2:$A$31,0))),""))</f>
        <v/>
      </c>
      <c r="CG41" s="0" t="n">
        <v>8</v>
      </c>
      <c r="CH41" s="3" t="s">
        <v>104</v>
      </c>
      <c r="CI41" s="3" t="s">
        <v>105</v>
      </c>
    </row>
    <row r="42" customFormat="false" ht="14.25" hidden="false" customHeight="false" outlineLevel="0" collapsed="false">
      <c r="A42" s="0" t="s">
        <v>284</v>
      </c>
      <c r="B42" s="0" t="s">
        <v>285</v>
      </c>
      <c r="C42" s="0" t="s">
        <v>89</v>
      </c>
      <c r="D42" s="0" t="s">
        <v>90</v>
      </c>
      <c r="E42" s="0" t="n">
        <v>0</v>
      </c>
      <c r="F42" s="0" t="s">
        <v>91</v>
      </c>
      <c r="I42" s="0" t="n">
        <v>2018</v>
      </c>
      <c r="K42" s="0" t="s">
        <v>92</v>
      </c>
      <c r="L42" s="2" t="n">
        <v>46295</v>
      </c>
      <c r="M42" s="3" t="n">
        <f aca="false">IF(I42="","",(YEAR(L42)-I42)*12+MONTH(L42)-IF(J42="",1,J42))</f>
        <v>104</v>
      </c>
      <c r="N42" s="3" t="n">
        <f aca="false">IF(M42="","",ROUND(M42/12,2))</f>
        <v>8.67</v>
      </c>
      <c r="O42" s="3" t="s">
        <v>267</v>
      </c>
      <c r="P42" s="3" t="s">
        <v>267</v>
      </c>
      <c r="Q42" s="3" t="s">
        <v>286</v>
      </c>
      <c r="R42" s="0" t="n">
        <v>1</v>
      </c>
      <c r="S42" s="0" t="n">
        <v>1</v>
      </c>
      <c r="T42" s="0" t="n">
        <v>0</v>
      </c>
      <c r="U42" s="0" t="n">
        <v>0</v>
      </c>
      <c r="V42" s="0" t="n">
        <v>0</v>
      </c>
      <c r="W42" s="0" t="n">
        <v>0</v>
      </c>
      <c r="X42" s="3" t="s">
        <v>287</v>
      </c>
      <c r="Y42" s="0" t="n">
        <v>3</v>
      </c>
      <c r="Z42" s="0" t="n">
        <v>1</v>
      </c>
      <c r="AA42" s="0" t="n">
        <v>1</v>
      </c>
      <c r="AB42" s="3" t="s">
        <v>288</v>
      </c>
      <c r="AF42" s="3" t="n">
        <f aca="false">IF(SUMIF(Founders_Clean!$A$2:$A$159,A42,Founders_Clean!$C$2:$C$159)=0,"",SUMIF(Founders_Clean!$A$2:$A$159,A42,Founders_Clean!$C$2:$C$159))</f>
        <v>3</v>
      </c>
      <c r="AG42" s="3" t="n">
        <f aca="false">IF(AF42="","",SUMIF(Founders_Clean!$A$2:$A$159,A42,Founders_Clean!$D$2:$D$159))</f>
        <v>3</v>
      </c>
      <c r="AH42" s="3" t="n">
        <f aca="false">IF(AF42="","",SUMIF(Founders_Clean!$A$2:$A$159,A42,Founders_Clean!$E$2:$E$159))</f>
        <v>0</v>
      </c>
      <c r="AI42" s="3" t="n">
        <f aca="false">IF(AF42="","",IF((AG42+AH42)=0,"",AH42/(AG42+AH42)))</f>
        <v>0</v>
      </c>
      <c r="AJ42" s="3" t="n">
        <f aca="false">IF(AI42="","",IF(AH42&gt;0,1,0))</f>
        <v>0</v>
      </c>
      <c r="AK42" s="3" t="n">
        <f aca="false">IF(AI42="","",ROUND(1-(AI42^2+(1-AI42)^2),3))</f>
        <v>0</v>
      </c>
      <c r="AL42" s="0" t="n">
        <v>27.5</v>
      </c>
      <c r="AX42" s="3" t="s">
        <v>101</v>
      </c>
      <c r="AY42" s="3" t="s">
        <v>102</v>
      </c>
      <c r="BA42" s="0" t="n">
        <v>0</v>
      </c>
      <c r="BB42" s="0" t="n">
        <v>0</v>
      </c>
      <c r="BC42" s="0" t="n">
        <v>0</v>
      </c>
      <c r="BF42" s="3" t="n">
        <f aca="false">IF(OR(I42="",BC42=""),"",IF(BC42=1,(BD42-I42)*12+IF(BE42="",7,BE42)-IF(J42="",1,J42),M42))</f>
        <v>104</v>
      </c>
      <c r="BG42" s="0" t="n">
        <v>1</v>
      </c>
      <c r="BH42" s="0" t="n">
        <v>200000</v>
      </c>
      <c r="BI42" s="3" t="s">
        <v>149</v>
      </c>
      <c r="BJ42" s="0" t="n">
        <v>2021</v>
      </c>
      <c r="BK42" s="0" t="n">
        <v>1</v>
      </c>
      <c r="BL42" s="3" t="n">
        <f aca="false">COUNTIFS(Investments_Clean!$A$2:$A$150,A42,Investments_Clean!$F$2:$F$150,"Accepted")</f>
        <v>3</v>
      </c>
      <c r="BM42" s="3" t="n">
        <f aca="false">IF(BL42=0,"",IF((COUNTIFS(Investments_Clean!$A$2:$A$150,A42,Investments_Clean!$D$2:$D$150,"VC/PE",Investments_Clean!$F$2:$F$150,"Accepted"))&gt;0,1,0))</f>
        <v>0</v>
      </c>
      <c r="BN42" s="3" t="n">
        <f aca="false">IF(BL42=0,"",IF((COUNTIFS(Investments_Clean!$A$2:$A$150,A42,Investments_Clean!$D$2:$D$150,"Angel",Investments_Clean!$F$2:$F$150,"Accepted"))&gt;0,1,0))</f>
        <v>1</v>
      </c>
      <c r="BO42" s="3" t="n">
        <f aca="false">IF(BL42=0,"",IF((COUNTIFS(Investments_Clean!$A$2:$A$150,A42,Investments_Clean!$D$2:$D$150,"Accelerator",Investments_Clean!$F$2:$F$150,"Accepted"))&gt;0,1,0))</f>
        <v>1</v>
      </c>
      <c r="BP42" s="3" t="n">
        <f aca="false">IF(BL42=0,"",IF((COUNTIFS(Investments_Clean!$A$2:$A$150,A42,Investments_Clean!$D$2:$D$150,"Corporate",Investments_Clean!$F$2:$F$150,"Accepted"))&gt;0,1,0))</f>
        <v>0</v>
      </c>
      <c r="BQ42" s="3" t="n">
        <f aca="false">IF(BL42=0,"",IF((COUNTIFS(Investments_Clean!$A$2:$A$150,A42,Investments_Clean!$D$2:$D$150,"Government",Investments_Clean!$F$2:$F$150,"Accepted"))&gt;0,1,0))</f>
        <v>0</v>
      </c>
      <c r="BR42" s="3" t="n">
        <f aca="false">IF(BL42=0,"",IF((COUNTIFS(Investments_Clean!$A$2:$A$150,A42,Investments_Clean!$D$2:$D$150,"Grant/Philanthropic",Investments_Clean!$F$2:$F$150,"Accepted")+COUNTIFS(Investments_Clean!$A$2:$A$150,A42,Investments_Clean!$D$2:$D$150,"DFI/Impact",Investments_Clean!$F$2:$F$150,"Accepted"))&gt;0,1,0))</f>
        <v>0</v>
      </c>
      <c r="CA42" s="0" t="n">
        <v>0</v>
      </c>
      <c r="CC42" s="0" t="str">
        <f aca="false">IF(I42="","",IFERROR(IF(INDEX(Macro_Lookup!$B$2:$B$31,MATCH(I42,Macro_Lookup!$A$2:$A$31,0))="","",INDEX(Macro_Lookup!$B$2:$B$31,MATCH(I42,Macro_Lookup!$A$2:$A$31,0))),""))</f>
        <v/>
      </c>
      <c r="CD42" s="0" t="str">
        <f aca="false">IF(I42="","",IFERROR(IF(INDEX(Macro_Lookup!$C$2:$C$31,MATCH(I42,Macro_Lookup!$A$2:$A$31,0))="","",INDEX(Macro_Lookup!$C$2:$C$31,MATCH(I42,Macro_Lookup!$A$2:$A$31,0))),""))</f>
        <v/>
      </c>
      <c r="CE42" s="0" t="str">
        <f aca="false">IF(BJ42="","",IFERROR(IF(INDEX(Macro_Lookup!$B$2:$B$31,MATCH(BJ42,Macro_Lookup!$A$2:$A$31,0))="","",INDEX(Macro_Lookup!$B$2:$B$31,MATCH(BJ42,Macro_Lookup!$A$2:$A$31,0))),""))</f>
        <v/>
      </c>
      <c r="CF42" s="0" t="str">
        <f aca="false">IF(BJ42="","",IFERROR(IF(INDEX(Macro_Lookup!$C$2:$C$31,MATCH(BJ42,Macro_Lookup!$A$2:$A$31,0))="","",INDEX(Macro_Lookup!$C$2:$C$31,MATCH(BJ42,Macro_Lookup!$A$2:$A$31,0))),""))</f>
        <v/>
      </c>
      <c r="CG42" s="0" t="n">
        <v>7</v>
      </c>
      <c r="CH42" s="3" t="s">
        <v>104</v>
      </c>
      <c r="CI42" s="3" t="s">
        <v>105</v>
      </c>
    </row>
    <row r="43" customFormat="false" ht="14.25" hidden="false" customHeight="false" outlineLevel="0" collapsed="false">
      <c r="A43" s="0" t="s">
        <v>289</v>
      </c>
      <c r="B43" s="0" t="s">
        <v>290</v>
      </c>
      <c r="C43" s="0" t="s">
        <v>89</v>
      </c>
      <c r="D43" s="0" t="s">
        <v>90</v>
      </c>
      <c r="E43" s="0" t="n">
        <v>0</v>
      </c>
      <c r="F43" s="0" t="s">
        <v>91</v>
      </c>
      <c r="I43" s="0" t="n">
        <v>2020</v>
      </c>
      <c r="K43" s="0" t="s">
        <v>92</v>
      </c>
      <c r="L43" s="2" t="n">
        <v>46295</v>
      </c>
      <c r="M43" s="3" t="n">
        <f aca="false">IF(I43="","",(YEAR(L43)-I43)*12+MONTH(L43)-IF(J43="",1,J43))</f>
        <v>80</v>
      </c>
      <c r="N43" s="3" t="n">
        <f aca="false">IF(M43="","",ROUND(M43/12,2))</f>
        <v>6.67</v>
      </c>
      <c r="O43" s="3" t="s">
        <v>267</v>
      </c>
      <c r="P43" s="3" t="s">
        <v>267</v>
      </c>
      <c r="Q43" s="3" t="s">
        <v>291</v>
      </c>
      <c r="R43" s="0" t="n">
        <v>0</v>
      </c>
      <c r="S43" s="0" t="n">
        <v>1</v>
      </c>
      <c r="T43" s="0" t="n">
        <v>0</v>
      </c>
      <c r="U43" s="0" t="n">
        <v>1</v>
      </c>
      <c r="V43" s="0" t="n">
        <v>0</v>
      </c>
      <c r="W43" s="0" t="n">
        <v>0</v>
      </c>
      <c r="X43" s="3" t="s">
        <v>287</v>
      </c>
      <c r="Y43" s="0" t="n">
        <v>3</v>
      </c>
      <c r="Z43" s="0" t="n">
        <v>1</v>
      </c>
      <c r="AA43" s="0" t="n">
        <v>1</v>
      </c>
      <c r="AB43" s="3" t="s">
        <v>292</v>
      </c>
      <c r="AC43" s="0" t="n">
        <v>1</v>
      </c>
      <c r="AD43" s="0" t="n">
        <v>100000</v>
      </c>
      <c r="AE43" s="3" t="s">
        <v>293</v>
      </c>
      <c r="AF43" s="3" t="n">
        <f aca="false">IF(SUMIF(Founders_Clean!$A$2:$A$159,A43,Founders_Clean!$C$2:$C$159)=0,"",SUMIF(Founders_Clean!$A$2:$A$159,A43,Founders_Clean!$C$2:$C$159))</f>
        <v>2</v>
      </c>
      <c r="AG43" s="3" t="n">
        <f aca="false">IF(AF43="","",SUMIF(Founders_Clean!$A$2:$A$159,A43,Founders_Clean!$D$2:$D$159))</f>
        <v>1</v>
      </c>
      <c r="AH43" s="3" t="n">
        <f aca="false">IF(AF43="","",SUMIF(Founders_Clean!$A$2:$A$159,A43,Founders_Clean!$E$2:$E$159))</f>
        <v>1</v>
      </c>
      <c r="AI43" s="3" t="n">
        <f aca="false">IF(AF43="","",IF((AG43+AH43)=0,"",AH43/(AG43+AH43)))</f>
        <v>0.5</v>
      </c>
      <c r="AJ43" s="3" t="n">
        <f aca="false">IF(AI43="","",IF(AH43&gt;0,1,0))</f>
        <v>1</v>
      </c>
      <c r="AK43" s="3" t="n">
        <f aca="false">IF(AI43="","",ROUND(1-(AI43^2+(1-AI43)^2),3))</f>
        <v>0.5</v>
      </c>
      <c r="AL43" s="0" t="n">
        <v>25</v>
      </c>
      <c r="AX43" s="3" t="s">
        <v>101</v>
      </c>
      <c r="AY43" s="3" t="s">
        <v>263</v>
      </c>
      <c r="AZ43" s="3" t="s">
        <v>294</v>
      </c>
      <c r="BA43" s="0" t="n">
        <v>0</v>
      </c>
      <c r="BB43" s="0" t="n">
        <v>0</v>
      </c>
      <c r="BC43" s="0" t="n">
        <v>0</v>
      </c>
      <c r="BF43" s="3" t="n">
        <f aca="false">IF(OR(I43="",BC43=""),"",IF(BC43=1,(BD43-I43)*12+IF(BE43="",7,BE43)-IF(J43="",1,J43),M43))</f>
        <v>80</v>
      </c>
      <c r="BG43" s="0" t="n">
        <v>1</v>
      </c>
      <c r="BH43" s="0" t="n">
        <v>450000</v>
      </c>
      <c r="BI43" s="3" t="s">
        <v>149</v>
      </c>
      <c r="BJ43" s="0" t="n">
        <v>2024</v>
      </c>
      <c r="BK43" s="0" t="n">
        <v>1</v>
      </c>
      <c r="BL43" s="3" t="n">
        <f aca="false">COUNTIFS(Investments_Clean!$A$2:$A$150,A43,Investments_Clean!$F$2:$F$150,"Accepted")</f>
        <v>6</v>
      </c>
      <c r="BM43" s="3" t="n">
        <f aca="false">IF(BL43=0,"",IF((COUNTIFS(Investments_Clean!$A$2:$A$150,A43,Investments_Clean!$D$2:$D$150,"VC/PE",Investments_Clean!$F$2:$F$150,"Accepted"))&gt;0,1,0))</f>
        <v>1</v>
      </c>
      <c r="BN43" s="3" t="n">
        <f aca="false">IF(BL43=0,"",IF((COUNTIFS(Investments_Clean!$A$2:$A$150,A43,Investments_Clean!$D$2:$D$150,"Angel",Investments_Clean!$F$2:$F$150,"Accepted"))&gt;0,1,0))</f>
        <v>1</v>
      </c>
      <c r="BO43" s="3" t="n">
        <f aca="false">IF(BL43=0,"",IF((COUNTIFS(Investments_Clean!$A$2:$A$150,A43,Investments_Clean!$D$2:$D$150,"Accelerator",Investments_Clean!$F$2:$F$150,"Accepted"))&gt;0,1,0))</f>
        <v>1</v>
      </c>
      <c r="BP43" s="3" t="n">
        <f aca="false">IF(BL43=0,"",IF((COUNTIFS(Investments_Clean!$A$2:$A$150,A43,Investments_Clean!$D$2:$D$150,"Corporate",Investments_Clean!$F$2:$F$150,"Accepted"))&gt;0,1,0))</f>
        <v>0</v>
      </c>
      <c r="BQ43" s="3" t="n">
        <f aca="false">IF(BL43=0,"",IF((COUNTIFS(Investments_Clean!$A$2:$A$150,A43,Investments_Clean!$D$2:$D$150,"Government",Investments_Clean!$F$2:$F$150,"Accepted"))&gt;0,1,0))</f>
        <v>0</v>
      </c>
      <c r="BR43" s="3" t="n">
        <f aca="false">IF(BL43=0,"",IF((COUNTIFS(Investments_Clean!$A$2:$A$150,A43,Investments_Clean!$D$2:$D$150,"Grant/Philanthropic",Investments_Clean!$F$2:$F$150,"Accepted")+COUNTIFS(Investments_Clean!$A$2:$A$150,A43,Investments_Clean!$D$2:$D$150,"DFI/Impact",Investments_Clean!$F$2:$F$150,"Accepted"))&gt;0,1,0))</f>
        <v>1</v>
      </c>
      <c r="CA43" s="0" t="n">
        <v>0</v>
      </c>
      <c r="CC43" s="0" t="str">
        <f aca="false">IF(I43="","",IFERROR(IF(INDEX(Macro_Lookup!$B$2:$B$31,MATCH(I43,Macro_Lookup!$A$2:$A$31,0))="","",INDEX(Macro_Lookup!$B$2:$B$31,MATCH(I43,Macro_Lookup!$A$2:$A$31,0))),""))</f>
        <v/>
      </c>
      <c r="CD43" s="0" t="str">
        <f aca="false">IF(I43="","",IFERROR(IF(INDEX(Macro_Lookup!$C$2:$C$31,MATCH(I43,Macro_Lookup!$A$2:$A$31,0))="","",INDEX(Macro_Lookup!$C$2:$C$31,MATCH(I43,Macro_Lookup!$A$2:$A$31,0))),""))</f>
        <v/>
      </c>
      <c r="CE43" s="0" t="str">
        <f aca="false">IF(BJ43="","",IFERROR(IF(INDEX(Macro_Lookup!$B$2:$B$31,MATCH(BJ43,Macro_Lookup!$A$2:$A$31,0))="","",INDEX(Macro_Lookup!$B$2:$B$31,MATCH(BJ43,Macro_Lookup!$A$2:$A$31,0))),""))</f>
        <v/>
      </c>
      <c r="CF43" s="0" t="str">
        <f aca="false">IF(BJ43="","",IFERROR(IF(INDEX(Macro_Lookup!$C$2:$C$31,MATCH(BJ43,Macro_Lookup!$A$2:$A$31,0))="","",INDEX(Macro_Lookup!$C$2:$C$31,MATCH(BJ43,Macro_Lookup!$A$2:$A$31,0))),""))</f>
        <v/>
      </c>
      <c r="CG43" s="0" t="n">
        <v>6</v>
      </c>
      <c r="CH43" s="3" t="s">
        <v>104</v>
      </c>
      <c r="CI43" s="3" t="s">
        <v>105</v>
      </c>
    </row>
    <row r="44" customFormat="false" ht="14.25" hidden="false" customHeight="false" outlineLevel="0" collapsed="false">
      <c r="A44" s="0" t="s">
        <v>295</v>
      </c>
      <c r="B44" s="0" t="s">
        <v>296</v>
      </c>
      <c r="C44" s="0" t="s">
        <v>89</v>
      </c>
      <c r="D44" s="0" t="s">
        <v>90</v>
      </c>
      <c r="E44" s="0" t="n">
        <v>0</v>
      </c>
      <c r="F44" s="0" t="s">
        <v>91</v>
      </c>
      <c r="I44" s="0" t="n">
        <v>2019</v>
      </c>
      <c r="K44" s="0" t="s">
        <v>92</v>
      </c>
      <c r="L44" s="2" t="n">
        <v>46295</v>
      </c>
      <c r="M44" s="3" t="n">
        <f aca="false">IF(I44="","",(YEAR(L44)-I44)*12+MONTH(L44)-IF(J44="",1,J44))</f>
        <v>92</v>
      </c>
      <c r="N44" s="3" t="n">
        <f aca="false">IF(M44="","",ROUND(M44/12,2))</f>
        <v>7.67</v>
      </c>
      <c r="O44" s="3" t="s">
        <v>267</v>
      </c>
      <c r="P44" s="3" t="s">
        <v>267</v>
      </c>
      <c r="Q44" s="3" t="s">
        <v>297</v>
      </c>
      <c r="R44" s="0" t="n">
        <v>0</v>
      </c>
      <c r="S44" s="0" t="n">
        <v>1</v>
      </c>
      <c r="T44" s="0" t="n">
        <v>1</v>
      </c>
      <c r="U44" s="0" t="n">
        <v>0</v>
      </c>
      <c r="V44" s="0" t="n">
        <v>0</v>
      </c>
      <c r="W44" s="0" t="n">
        <v>0</v>
      </c>
      <c r="X44" s="3" t="s">
        <v>287</v>
      </c>
      <c r="Y44" s="0" t="n">
        <v>3</v>
      </c>
      <c r="Z44" s="0" t="n">
        <v>1</v>
      </c>
      <c r="AA44" s="0" t="n">
        <v>1</v>
      </c>
      <c r="AB44" s="3" t="s">
        <v>298</v>
      </c>
      <c r="AF44" s="3" t="n">
        <f aca="false">IF(SUMIF(Founders_Clean!$A$2:$A$159,A44,Founders_Clean!$C$2:$C$159)=0,"",SUMIF(Founders_Clean!$A$2:$A$159,A44,Founders_Clean!$C$2:$C$159))</f>
        <v>1</v>
      </c>
      <c r="AG44" s="3" t="n">
        <f aca="false">IF(AF44="","",SUMIF(Founders_Clean!$A$2:$A$159,A44,Founders_Clean!$D$2:$D$159))</f>
        <v>1</v>
      </c>
      <c r="AH44" s="3" t="n">
        <f aca="false">IF(AF44="","",SUMIF(Founders_Clean!$A$2:$A$159,A44,Founders_Clean!$E$2:$E$159))</f>
        <v>0</v>
      </c>
      <c r="AI44" s="3" t="n">
        <f aca="false">IF(AF44="","",IF((AG44+AH44)=0,"",AH44/(AG44+AH44)))</f>
        <v>0</v>
      </c>
      <c r="AJ44" s="3" t="n">
        <f aca="false">IF(AI44="","",IF(AH44&gt;0,1,0))</f>
        <v>0</v>
      </c>
      <c r="AK44" s="3" t="n">
        <f aca="false">IF(AI44="","",ROUND(1-(AI44^2+(1-AI44)^2),3))</f>
        <v>0</v>
      </c>
      <c r="AL44" s="0" t="n">
        <v>15</v>
      </c>
      <c r="AX44" s="3" t="s">
        <v>101</v>
      </c>
      <c r="AY44" s="3" t="s">
        <v>102</v>
      </c>
      <c r="BA44" s="0" t="n">
        <v>0</v>
      </c>
      <c r="BB44" s="0" t="n">
        <v>0</v>
      </c>
      <c r="BC44" s="0" t="n">
        <v>0</v>
      </c>
      <c r="BF44" s="3" t="n">
        <f aca="false">IF(OR(I44="",BC44=""),"",IF(BC44=1,(BD44-I44)*12+IF(BE44="",7,BE44)-IF(J44="",1,J44),M44))</f>
        <v>92</v>
      </c>
      <c r="BG44" s="0" t="n">
        <v>1</v>
      </c>
      <c r="BI44" s="3" t="s">
        <v>109</v>
      </c>
      <c r="BJ44" s="0" t="n">
        <v>2021</v>
      </c>
      <c r="BK44" s="0" t="n">
        <v>1</v>
      </c>
      <c r="BL44" s="3" t="n">
        <f aca="false">COUNTIFS(Investments_Clean!$A$2:$A$150,A44,Investments_Clean!$F$2:$F$150,"Accepted")</f>
        <v>1</v>
      </c>
      <c r="BM44" s="3" t="n">
        <f aca="false">IF(BL44=0,"",IF((COUNTIFS(Investments_Clean!$A$2:$A$150,A44,Investments_Clean!$D$2:$D$150,"VC/PE",Investments_Clean!$F$2:$F$150,"Accepted"))&gt;0,1,0))</f>
        <v>0</v>
      </c>
      <c r="BN44" s="3" t="n">
        <f aca="false">IF(BL44=0,"",IF((COUNTIFS(Investments_Clean!$A$2:$A$150,A44,Investments_Clean!$D$2:$D$150,"Angel",Investments_Clean!$F$2:$F$150,"Accepted"))&gt;0,1,0))</f>
        <v>0</v>
      </c>
      <c r="BO44" s="3" t="n">
        <f aca="false">IF(BL44=0,"",IF((COUNTIFS(Investments_Clean!$A$2:$A$150,A44,Investments_Clean!$D$2:$D$150,"Accelerator",Investments_Clean!$F$2:$F$150,"Accepted"))&gt;0,1,0))</f>
        <v>0</v>
      </c>
      <c r="BP44" s="3" t="n">
        <f aca="false">IF(BL44=0,"",IF((COUNTIFS(Investments_Clean!$A$2:$A$150,A44,Investments_Clean!$D$2:$D$150,"Corporate",Investments_Clean!$F$2:$F$150,"Accepted"))&gt;0,1,0))</f>
        <v>0</v>
      </c>
      <c r="BQ44" s="3" t="n">
        <f aca="false">IF(BL44=0,"",IF((COUNTIFS(Investments_Clean!$A$2:$A$150,A44,Investments_Clean!$D$2:$D$150,"Government",Investments_Clean!$F$2:$F$150,"Accepted"))&gt;0,1,0))</f>
        <v>1</v>
      </c>
      <c r="BR44" s="3" t="n">
        <f aca="false">IF(BL44=0,"",IF((COUNTIFS(Investments_Clean!$A$2:$A$150,A44,Investments_Clean!$D$2:$D$150,"Grant/Philanthropic",Investments_Clean!$F$2:$F$150,"Accepted")+COUNTIFS(Investments_Clean!$A$2:$A$150,A44,Investments_Clean!$D$2:$D$150,"DFI/Impact",Investments_Clean!$F$2:$F$150,"Accepted"))&gt;0,1,0))</f>
        <v>0</v>
      </c>
      <c r="CA44" s="0" t="n">
        <v>0</v>
      </c>
      <c r="CC44" s="0" t="str">
        <f aca="false">IF(I44="","",IFERROR(IF(INDEX(Macro_Lookup!$B$2:$B$31,MATCH(I44,Macro_Lookup!$A$2:$A$31,0))="","",INDEX(Macro_Lookup!$B$2:$B$31,MATCH(I44,Macro_Lookup!$A$2:$A$31,0))),""))</f>
        <v/>
      </c>
      <c r="CD44" s="0" t="str">
        <f aca="false">IF(I44="","",IFERROR(IF(INDEX(Macro_Lookup!$C$2:$C$31,MATCH(I44,Macro_Lookup!$A$2:$A$31,0))="","",INDEX(Macro_Lookup!$C$2:$C$31,MATCH(I44,Macro_Lookup!$A$2:$A$31,0))),""))</f>
        <v/>
      </c>
      <c r="CE44" s="0" t="str">
        <f aca="false">IF(BJ44="","",IFERROR(IF(INDEX(Macro_Lookup!$B$2:$B$31,MATCH(BJ44,Macro_Lookup!$A$2:$A$31,0))="","",INDEX(Macro_Lookup!$B$2:$B$31,MATCH(BJ44,Macro_Lookup!$A$2:$A$31,0))),""))</f>
        <v/>
      </c>
      <c r="CF44" s="0" t="str">
        <f aca="false">IF(BJ44="","",IFERROR(IF(INDEX(Macro_Lookup!$C$2:$C$31,MATCH(BJ44,Macro_Lookup!$A$2:$A$31,0))="","",INDEX(Macro_Lookup!$C$2:$C$31,MATCH(BJ44,Macro_Lookup!$A$2:$A$31,0))),""))</f>
        <v/>
      </c>
      <c r="CG44" s="0" t="n">
        <v>7</v>
      </c>
      <c r="CH44" s="3" t="s">
        <v>104</v>
      </c>
      <c r="CI44" s="3" t="s">
        <v>105</v>
      </c>
    </row>
    <row r="45" customFormat="false" ht="14.25" hidden="false" customHeight="false" outlineLevel="0" collapsed="false">
      <c r="A45" s="0" t="s">
        <v>299</v>
      </c>
      <c r="B45" s="0" t="s">
        <v>300</v>
      </c>
      <c r="C45" s="0" t="s">
        <v>89</v>
      </c>
      <c r="D45" s="0" t="s">
        <v>90</v>
      </c>
      <c r="E45" s="0" t="n">
        <v>0</v>
      </c>
      <c r="F45" s="0" t="s">
        <v>91</v>
      </c>
      <c r="I45" s="0" t="n">
        <v>2019</v>
      </c>
      <c r="K45" s="0" t="s">
        <v>92</v>
      </c>
      <c r="L45" s="2" t="n">
        <v>46295</v>
      </c>
      <c r="M45" s="3" t="n">
        <f aca="false">IF(I45="","",(YEAR(L45)-I45)*12+MONTH(L45)-IF(J45="",1,J45))</f>
        <v>92</v>
      </c>
      <c r="N45" s="3" t="n">
        <f aca="false">IF(M45="","",ROUND(M45/12,2))</f>
        <v>7.67</v>
      </c>
      <c r="O45" s="3" t="s">
        <v>267</v>
      </c>
      <c r="P45" s="3" t="s">
        <v>267</v>
      </c>
      <c r="Q45" s="3" t="s">
        <v>301</v>
      </c>
      <c r="R45" s="0" t="n">
        <v>0</v>
      </c>
      <c r="S45" s="0" t="n">
        <v>1</v>
      </c>
      <c r="T45" s="0" t="n">
        <v>0</v>
      </c>
      <c r="U45" s="0" t="n">
        <v>1</v>
      </c>
      <c r="V45" s="0" t="n">
        <v>0</v>
      </c>
      <c r="W45" s="0" t="n">
        <v>0</v>
      </c>
      <c r="X45" s="3" t="s">
        <v>287</v>
      </c>
      <c r="Y45" s="0" t="n">
        <v>3</v>
      </c>
      <c r="Z45" s="0" t="n">
        <v>1</v>
      </c>
      <c r="AF45" s="3" t="n">
        <f aca="false">IF(SUMIF(Founders_Clean!$A$2:$A$159,A45,Founders_Clean!$C$2:$C$159)=0,"",SUMIF(Founders_Clean!$A$2:$A$159,A45,Founders_Clean!$C$2:$C$159))</f>
        <v>1</v>
      </c>
      <c r="AG45" s="3" t="n">
        <f aca="false">IF(AF45="","",SUMIF(Founders_Clean!$A$2:$A$159,A45,Founders_Clean!$D$2:$D$159))</f>
        <v>1</v>
      </c>
      <c r="AH45" s="3" t="n">
        <f aca="false">IF(AF45="","",SUMIF(Founders_Clean!$A$2:$A$159,A45,Founders_Clean!$E$2:$E$159))</f>
        <v>0</v>
      </c>
      <c r="AI45" s="3" t="n">
        <f aca="false">IF(AF45="","",IF((AG45+AH45)=0,"",AH45/(AG45+AH45)))</f>
        <v>0</v>
      </c>
      <c r="AJ45" s="3" t="n">
        <f aca="false">IF(AI45="","",IF(AH45&gt;0,1,0))</f>
        <v>0</v>
      </c>
      <c r="AK45" s="3" t="n">
        <f aca="false">IF(AI45="","",ROUND(1-(AI45^2+(1-AI45)^2),3))</f>
        <v>0</v>
      </c>
      <c r="AL45" s="0" t="n">
        <v>17.5</v>
      </c>
      <c r="AM45" s="0" t="n">
        <v>2</v>
      </c>
      <c r="AN45" s="3" t="s">
        <v>98</v>
      </c>
      <c r="AO45" s="0" t="n">
        <v>1</v>
      </c>
      <c r="AP45" s="0" t="n">
        <v>1</v>
      </c>
      <c r="AQ45" s="0" t="n">
        <v>0</v>
      </c>
      <c r="AX45" s="3" t="s">
        <v>101</v>
      </c>
      <c r="AY45" s="3" t="s">
        <v>102</v>
      </c>
      <c r="BA45" s="0" t="n">
        <v>0</v>
      </c>
      <c r="BB45" s="0" t="n">
        <v>0</v>
      </c>
      <c r="BC45" s="0" t="n">
        <v>0</v>
      </c>
      <c r="BF45" s="3" t="n">
        <f aca="false">IF(OR(I45="",BC45=""),"",IF(BC45=1,(BD45-I45)*12+IF(BE45="",7,BE45)-IF(J45="",1,J45),M45))</f>
        <v>92</v>
      </c>
      <c r="BL45" s="3" t="n">
        <f aca="false">COUNTIFS(Investments_Clean!$A$2:$A$150,A45,Investments_Clean!$F$2:$F$150,"Accepted")</f>
        <v>0</v>
      </c>
      <c r="BM45" s="0" t="str">
        <f aca="false">IF(BL45=0,"",IF((COUNTIFS(Investments_Clean!$A$2:$A$150,A45,Investments_Clean!$D$2:$D$150,"VC/PE",Investments_Clean!$F$2:$F$150,"Accepted"))&gt;0,1,0))</f>
        <v/>
      </c>
      <c r="BN45" s="0" t="str">
        <f aca="false">IF(BL45=0,"",IF((COUNTIFS(Investments_Clean!$A$2:$A$150,A45,Investments_Clean!$D$2:$D$150,"Angel",Investments_Clean!$F$2:$F$150,"Accepted"))&gt;0,1,0))</f>
        <v/>
      </c>
      <c r="BO45" s="0" t="str">
        <f aca="false">IF(BL45=0,"",IF((COUNTIFS(Investments_Clean!$A$2:$A$150,A45,Investments_Clean!$D$2:$D$150,"Accelerator",Investments_Clean!$F$2:$F$150,"Accepted"))&gt;0,1,0))</f>
        <v/>
      </c>
      <c r="BP45" s="0" t="str">
        <f aca="false">IF(BL45=0,"",IF((COUNTIFS(Investments_Clean!$A$2:$A$150,A45,Investments_Clean!$D$2:$D$150,"Corporate",Investments_Clean!$F$2:$F$150,"Accepted"))&gt;0,1,0))</f>
        <v/>
      </c>
      <c r="BQ45" s="0" t="str">
        <f aca="false">IF(BL45=0,"",IF((COUNTIFS(Investments_Clean!$A$2:$A$150,A45,Investments_Clean!$D$2:$D$150,"Government",Investments_Clean!$F$2:$F$150,"Accepted"))&gt;0,1,0))</f>
        <v/>
      </c>
      <c r="BR45" s="0" t="str">
        <f aca="false">IF(BL45=0,"",IF((COUNTIFS(Investments_Clean!$A$2:$A$150,A45,Investments_Clean!$D$2:$D$150,"Grant/Philanthropic",Investments_Clean!$F$2:$F$150,"Accepted")+COUNTIFS(Investments_Clean!$A$2:$A$150,A45,Investments_Clean!$D$2:$D$150,"DFI/Impact",Investments_Clean!$F$2:$F$150,"Accepted"))&gt;0,1,0))</f>
        <v/>
      </c>
      <c r="CA45" s="0" t="n">
        <v>0</v>
      </c>
      <c r="CC45" s="0" t="str">
        <f aca="false">IF(I45="","",IFERROR(IF(INDEX(Macro_Lookup!$B$2:$B$31,MATCH(I45,Macro_Lookup!$A$2:$A$31,0))="","",INDEX(Macro_Lookup!$B$2:$B$31,MATCH(I45,Macro_Lookup!$A$2:$A$31,0))),""))</f>
        <v/>
      </c>
      <c r="CD45" s="0" t="str">
        <f aca="false">IF(I45="","",IFERROR(IF(INDEX(Macro_Lookup!$C$2:$C$31,MATCH(I45,Macro_Lookup!$A$2:$A$31,0))="","",INDEX(Macro_Lookup!$C$2:$C$31,MATCH(I45,Macro_Lookup!$A$2:$A$31,0))),""))</f>
        <v/>
      </c>
      <c r="CE45" s="0" t="str">
        <f aca="false">IF(BJ45="","",IFERROR(IF(INDEX(Macro_Lookup!$B$2:$B$31,MATCH(BJ45,Macro_Lookup!$A$2:$A$31,0))="","",INDEX(Macro_Lookup!$B$2:$B$31,MATCH(BJ45,Macro_Lookup!$A$2:$A$31,0))),""))</f>
        <v/>
      </c>
      <c r="CF45" s="0" t="str">
        <f aca="false">IF(BJ45="","",IFERROR(IF(INDEX(Macro_Lookup!$C$2:$C$31,MATCH(BJ45,Macro_Lookup!$A$2:$A$31,0))="","",INDEX(Macro_Lookup!$C$2:$C$31,MATCH(BJ45,Macro_Lookup!$A$2:$A$31,0))),""))</f>
        <v/>
      </c>
      <c r="CG45" s="0" t="n">
        <v>5</v>
      </c>
      <c r="CH45" s="3" t="s">
        <v>104</v>
      </c>
      <c r="CI45" s="3" t="s">
        <v>105</v>
      </c>
    </row>
    <row r="46" customFormat="false" ht="14.25" hidden="false" customHeight="false" outlineLevel="0" collapsed="false">
      <c r="A46" s="0" t="s">
        <v>302</v>
      </c>
      <c r="B46" s="0" t="s">
        <v>303</v>
      </c>
      <c r="C46" s="0" t="s">
        <v>89</v>
      </c>
      <c r="D46" s="0" t="s">
        <v>90</v>
      </c>
      <c r="E46" s="0" t="n">
        <v>0</v>
      </c>
      <c r="F46" s="0" t="s">
        <v>91</v>
      </c>
      <c r="I46" s="0" t="n">
        <v>2018</v>
      </c>
      <c r="K46" s="0" t="s">
        <v>92</v>
      </c>
      <c r="L46" s="2" t="n">
        <v>46295</v>
      </c>
      <c r="M46" s="3" t="n">
        <f aca="false">IF(I46="","",(YEAR(L46)-I46)*12+MONTH(L46)-IF(J46="",1,J46))</f>
        <v>104</v>
      </c>
      <c r="N46" s="3" t="n">
        <f aca="false">IF(M46="","",ROUND(M46/12,2))</f>
        <v>8.67</v>
      </c>
      <c r="O46" s="3" t="s">
        <v>267</v>
      </c>
      <c r="P46" s="3" t="s">
        <v>267</v>
      </c>
      <c r="Q46" s="3" t="s">
        <v>304</v>
      </c>
      <c r="R46" s="0" t="n">
        <v>0</v>
      </c>
      <c r="S46" s="0" t="n">
        <v>1</v>
      </c>
      <c r="T46" s="0" t="n">
        <v>0</v>
      </c>
      <c r="U46" s="0" t="n">
        <v>0</v>
      </c>
      <c r="V46" s="0" t="n">
        <v>0</v>
      </c>
      <c r="W46" s="0" t="n">
        <v>0</v>
      </c>
      <c r="X46" s="3" t="s">
        <v>287</v>
      </c>
      <c r="Y46" s="0" t="n">
        <v>3</v>
      </c>
      <c r="Z46" s="0" t="n">
        <v>1</v>
      </c>
      <c r="AA46" s="0" t="n">
        <v>1</v>
      </c>
      <c r="AB46" s="3" t="s">
        <v>305</v>
      </c>
      <c r="AC46" s="0" t="n">
        <v>1</v>
      </c>
      <c r="AE46" s="3" t="s">
        <v>306</v>
      </c>
      <c r="AF46" s="3" t="n">
        <f aca="false">IF(SUMIF(Founders_Clean!$A$2:$A$159,A46,Founders_Clean!$C$2:$C$159)=0,"",SUMIF(Founders_Clean!$A$2:$A$159,A46,Founders_Clean!$C$2:$C$159))</f>
        <v>1</v>
      </c>
      <c r="AG46" s="3" t="n">
        <f aca="false">IF(AF46="","",SUMIF(Founders_Clean!$A$2:$A$159,A46,Founders_Clean!$D$2:$D$159))</f>
        <v>1</v>
      </c>
      <c r="AH46" s="3" t="n">
        <f aca="false">IF(AF46="","",SUMIF(Founders_Clean!$A$2:$A$159,A46,Founders_Clean!$E$2:$E$159))</f>
        <v>0</v>
      </c>
      <c r="AI46" s="3" t="n">
        <f aca="false">IF(AF46="","",IF((AG46+AH46)=0,"",AH46/(AG46+AH46)))</f>
        <v>0</v>
      </c>
      <c r="AJ46" s="3" t="n">
        <f aca="false">IF(AI46="","",IF(AH46&gt;0,1,0))</f>
        <v>0</v>
      </c>
      <c r="AK46" s="3" t="n">
        <f aca="false">IF(AI46="","",ROUND(1-(AI46^2+(1-AI46)^2),3))</f>
        <v>0</v>
      </c>
      <c r="AL46" s="0" t="n">
        <v>15</v>
      </c>
      <c r="AM46" s="0" t="n">
        <v>1</v>
      </c>
      <c r="AN46" s="3" t="s">
        <v>147</v>
      </c>
      <c r="AO46" s="0" t="n">
        <v>1</v>
      </c>
      <c r="AP46" s="0" t="n">
        <v>1</v>
      </c>
      <c r="AQ46" s="0" t="n">
        <v>0</v>
      </c>
      <c r="AX46" s="3" t="s">
        <v>101</v>
      </c>
      <c r="AY46" s="3" t="s">
        <v>102</v>
      </c>
      <c r="BA46" s="0" t="n">
        <v>0</v>
      </c>
      <c r="BB46" s="0" t="n">
        <v>0</v>
      </c>
      <c r="BC46" s="0" t="n">
        <v>0</v>
      </c>
      <c r="BF46" s="3" t="n">
        <f aca="false">IF(OR(I46="",BC46=""),"",IF(BC46=1,(BD46-I46)*12+IF(BE46="",7,BE46)-IF(J46="",1,J46),M46))</f>
        <v>104</v>
      </c>
      <c r="BG46" s="0" t="n">
        <v>1</v>
      </c>
      <c r="BI46" s="3" t="s">
        <v>109</v>
      </c>
      <c r="BJ46" s="0" t="n">
        <v>2020</v>
      </c>
      <c r="BK46" s="0" t="n">
        <v>1</v>
      </c>
      <c r="BL46" s="3" t="n">
        <f aca="false">COUNTIFS(Investments_Clean!$A$2:$A$150,A46,Investments_Clean!$F$2:$F$150,"Accepted")</f>
        <v>3</v>
      </c>
      <c r="BM46" s="3" t="n">
        <f aca="false">IF(BL46=0,"",IF((COUNTIFS(Investments_Clean!$A$2:$A$150,A46,Investments_Clean!$D$2:$D$150,"VC/PE",Investments_Clean!$F$2:$F$150,"Accepted"))&gt;0,1,0))</f>
        <v>0</v>
      </c>
      <c r="BN46" s="3" t="n">
        <f aca="false">IF(BL46=0,"",IF((COUNTIFS(Investments_Clean!$A$2:$A$150,A46,Investments_Clean!$D$2:$D$150,"Angel",Investments_Clean!$F$2:$F$150,"Accepted"))&gt;0,1,0))</f>
        <v>0</v>
      </c>
      <c r="BO46" s="3" t="n">
        <f aca="false">IF(BL46=0,"",IF((COUNTIFS(Investments_Clean!$A$2:$A$150,A46,Investments_Clean!$D$2:$D$150,"Accelerator",Investments_Clean!$F$2:$F$150,"Accepted"))&gt;0,1,0))</f>
        <v>1</v>
      </c>
      <c r="BP46" s="3" t="n">
        <f aca="false">IF(BL46=0,"",IF((COUNTIFS(Investments_Clean!$A$2:$A$150,A46,Investments_Clean!$D$2:$D$150,"Corporate",Investments_Clean!$F$2:$F$150,"Accepted"))&gt;0,1,0))</f>
        <v>0</v>
      </c>
      <c r="BQ46" s="3" t="n">
        <f aca="false">IF(BL46=0,"",IF((COUNTIFS(Investments_Clean!$A$2:$A$150,A46,Investments_Clean!$D$2:$D$150,"Government",Investments_Clean!$F$2:$F$150,"Accepted"))&gt;0,1,0))</f>
        <v>1</v>
      </c>
      <c r="BR46" s="3" t="n">
        <f aca="false">IF(BL46=0,"",IF((COUNTIFS(Investments_Clean!$A$2:$A$150,A46,Investments_Clean!$D$2:$D$150,"Grant/Philanthropic",Investments_Clean!$F$2:$F$150,"Accepted")+COUNTIFS(Investments_Clean!$A$2:$A$150,A46,Investments_Clean!$D$2:$D$150,"DFI/Impact",Investments_Clean!$F$2:$F$150,"Accepted"))&gt;0,1,0))</f>
        <v>1</v>
      </c>
      <c r="CA46" s="0" t="n">
        <v>0</v>
      </c>
      <c r="CC46" s="0" t="str">
        <f aca="false">IF(I46="","",IFERROR(IF(INDEX(Macro_Lookup!$B$2:$B$31,MATCH(I46,Macro_Lookup!$A$2:$A$31,0))="","",INDEX(Macro_Lookup!$B$2:$B$31,MATCH(I46,Macro_Lookup!$A$2:$A$31,0))),""))</f>
        <v/>
      </c>
      <c r="CD46" s="0" t="str">
        <f aca="false">IF(I46="","",IFERROR(IF(INDEX(Macro_Lookup!$C$2:$C$31,MATCH(I46,Macro_Lookup!$A$2:$A$31,0))="","",INDEX(Macro_Lookup!$C$2:$C$31,MATCH(I46,Macro_Lookup!$A$2:$A$31,0))),""))</f>
        <v/>
      </c>
      <c r="CE46" s="0" t="str">
        <f aca="false">IF(BJ46="","",IFERROR(IF(INDEX(Macro_Lookup!$B$2:$B$31,MATCH(BJ46,Macro_Lookup!$A$2:$A$31,0))="","",INDEX(Macro_Lookup!$B$2:$B$31,MATCH(BJ46,Macro_Lookup!$A$2:$A$31,0))),""))</f>
        <v/>
      </c>
      <c r="CF46" s="0" t="str">
        <f aca="false">IF(BJ46="","",IFERROR(IF(INDEX(Macro_Lookup!$C$2:$C$31,MATCH(BJ46,Macro_Lookup!$A$2:$A$31,0))="","",INDEX(Macro_Lookup!$C$2:$C$31,MATCH(BJ46,Macro_Lookup!$A$2:$A$31,0))),""))</f>
        <v/>
      </c>
      <c r="CG46" s="0" t="n">
        <v>3</v>
      </c>
      <c r="CH46" s="3" t="s">
        <v>104</v>
      </c>
      <c r="CI46" s="3" t="s">
        <v>105</v>
      </c>
    </row>
    <row r="47" customFormat="false" ht="14.25" hidden="false" customHeight="false" outlineLevel="0" collapsed="false">
      <c r="A47" s="0" t="s">
        <v>307</v>
      </c>
      <c r="B47" s="0" t="s">
        <v>308</v>
      </c>
      <c r="C47" s="0" t="s">
        <v>89</v>
      </c>
      <c r="D47" s="0" t="s">
        <v>90</v>
      </c>
      <c r="E47" s="0" t="n">
        <v>0</v>
      </c>
      <c r="F47" s="0" t="s">
        <v>91</v>
      </c>
      <c r="I47" s="0" t="n">
        <v>2014</v>
      </c>
      <c r="K47" s="0" t="s">
        <v>92</v>
      </c>
      <c r="L47" s="2" t="n">
        <v>46295</v>
      </c>
      <c r="M47" s="3" t="n">
        <f aca="false">IF(I47="","",(YEAR(L47)-I47)*12+MONTH(L47)-IF(J47="",1,J47))</f>
        <v>152</v>
      </c>
      <c r="N47" s="3" t="n">
        <f aca="false">IF(M47="","",ROUND(M47/12,2))</f>
        <v>12.67</v>
      </c>
      <c r="O47" s="3" t="s">
        <v>267</v>
      </c>
      <c r="P47" s="3" t="s">
        <v>267</v>
      </c>
      <c r="Q47" s="3" t="s">
        <v>309</v>
      </c>
      <c r="R47" s="0" t="n">
        <v>0</v>
      </c>
      <c r="S47" s="0" t="n">
        <v>1</v>
      </c>
      <c r="T47" s="0" t="n">
        <v>0</v>
      </c>
      <c r="U47" s="0" t="n">
        <v>0</v>
      </c>
      <c r="V47" s="0" t="n">
        <v>0</v>
      </c>
      <c r="W47" s="0" t="n">
        <v>0</v>
      </c>
      <c r="X47" s="3" t="s">
        <v>287</v>
      </c>
      <c r="Y47" s="0" t="n">
        <v>3</v>
      </c>
      <c r="Z47" s="0" t="n">
        <v>1</v>
      </c>
      <c r="AF47" s="3" t="n">
        <f aca="false">IF(SUMIF(Founders_Clean!$A$2:$A$159,A47,Founders_Clean!$C$2:$C$159)=0,"",SUMIF(Founders_Clean!$A$2:$A$159,A47,Founders_Clean!$C$2:$C$159))</f>
        <v>1</v>
      </c>
      <c r="AG47" s="3" t="n">
        <f aca="false">IF(AF47="","",SUMIF(Founders_Clean!$A$2:$A$159,A47,Founders_Clean!$D$2:$D$159))</f>
        <v>1</v>
      </c>
      <c r="AH47" s="3" t="n">
        <f aca="false">IF(AF47="","",SUMIF(Founders_Clean!$A$2:$A$159,A47,Founders_Clean!$E$2:$E$159))</f>
        <v>0</v>
      </c>
      <c r="AI47" s="3" t="n">
        <f aca="false">IF(AF47="","",IF((AG47+AH47)=0,"",AH47/(AG47+AH47)))</f>
        <v>0</v>
      </c>
      <c r="AJ47" s="3" t="n">
        <f aca="false">IF(AI47="","",IF(AH47&gt;0,1,0))</f>
        <v>0</v>
      </c>
      <c r="AK47" s="3" t="n">
        <f aca="false">IF(AI47="","",ROUND(1-(AI47^2+(1-AI47)^2),3))</f>
        <v>0</v>
      </c>
      <c r="AL47" s="0" t="n">
        <v>12.5</v>
      </c>
      <c r="AX47" s="3" t="s">
        <v>101</v>
      </c>
      <c r="AY47" s="3" t="s">
        <v>102</v>
      </c>
      <c r="BA47" s="0" t="n">
        <v>0</v>
      </c>
      <c r="BB47" s="0" t="n">
        <v>0</v>
      </c>
      <c r="BC47" s="0" t="n">
        <v>0</v>
      </c>
      <c r="BF47" s="3" t="n">
        <f aca="false">IF(OR(I47="",BC47=""),"",IF(BC47=1,(BD47-I47)*12+IF(BE47="",7,BE47)-IF(J47="",1,J47),M47))</f>
        <v>152</v>
      </c>
      <c r="BL47" s="3" t="n">
        <f aca="false">COUNTIFS(Investments_Clean!$A$2:$A$150,A47,Investments_Clean!$F$2:$F$150,"Accepted")</f>
        <v>0</v>
      </c>
      <c r="BM47" s="0" t="str">
        <f aca="false">IF(BL47=0,"",IF((COUNTIFS(Investments_Clean!$A$2:$A$150,A47,Investments_Clean!$D$2:$D$150,"VC/PE",Investments_Clean!$F$2:$F$150,"Accepted"))&gt;0,1,0))</f>
        <v/>
      </c>
      <c r="BN47" s="0" t="str">
        <f aca="false">IF(BL47=0,"",IF((COUNTIFS(Investments_Clean!$A$2:$A$150,A47,Investments_Clean!$D$2:$D$150,"Angel",Investments_Clean!$F$2:$F$150,"Accepted"))&gt;0,1,0))</f>
        <v/>
      </c>
      <c r="BO47" s="0" t="str">
        <f aca="false">IF(BL47=0,"",IF((COUNTIFS(Investments_Clean!$A$2:$A$150,A47,Investments_Clean!$D$2:$D$150,"Accelerator",Investments_Clean!$F$2:$F$150,"Accepted"))&gt;0,1,0))</f>
        <v/>
      </c>
      <c r="BP47" s="0" t="str">
        <f aca="false">IF(BL47=0,"",IF((COUNTIFS(Investments_Clean!$A$2:$A$150,A47,Investments_Clean!$D$2:$D$150,"Corporate",Investments_Clean!$F$2:$F$150,"Accepted"))&gt;0,1,0))</f>
        <v/>
      </c>
      <c r="BQ47" s="0" t="str">
        <f aca="false">IF(BL47=0,"",IF((COUNTIFS(Investments_Clean!$A$2:$A$150,A47,Investments_Clean!$D$2:$D$150,"Government",Investments_Clean!$F$2:$F$150,"Accepted"))&gt;0,1,0))</f>
        <v/>
      </c>
      <c r="BR47" s="0" t="str">
        <f aca="false">IF(BL47=0,"",IF((COUNTIFS(Investments_Clean!$A$2:$A$150,A47,Investments_Clean!$D$2:$D$150,"Grant/Philanthropic",Investments_Clean!$F$2:$F$150,"Accepted")+COUNTIFS(Investments_Clean!$A$2:$A$150,A47,Investments_Clean!$D$2:$D$150,"DFI/Impact",Investments_Clean!$F$2:$F$150,"Accepted"))&gt;0,1,0))</f>
        <v/>
      </c>
      <c r="BV47" s="0" t="n">
        <v>65000</v>
      </c>
      <c r="CA47" s="0" t="n">
        <v>1</v>
      </c>
      <c r="CC47" s="0" t="str">
        <f aca="false">IF(I47="","",IFERROR(IF(INDEX(Macro_Lookup!$B$2:$B$31,MATCH(I47,Macro_Lookup!$A$2:$A$31,0))="","",INDEX(Macro_Lookup!$B$2:$B$31,MATCH(I47,Macro_Lookup!$A$2:$A$31,0))),""))</f>
        <v/>
      </c>
      <c r="CD47" s="0" t="str">
        <f aca="false">IF(I47="","",IFERROR(IF(INDEX(Macro_Lookup!$C$2:$C$31,MATCH(I47,Macro_Lookup!$A$2:$A$31,0))="","",INDEX(Macro_Lookup!$C$2:$C$31,MATCH(I47,Macro_Lookup!$A$2:$A$31,0))),""))</f>
        <v/>
      </c>
      <c r="CE47" s="0" t="str">
        <f aca="false">IF(BJ47="","",IFERROR(IF(INDEX(Macro_Lookup!$B$2:$B$31,MATCH(BJ47,Macro_Lookup!$A$2:$A$31,0))="","",INDEX(Macro_Lookup!$B$2:$B$31,MATCH(BJ47,Macro_Lookup!$A$2:$A$31,0))),""))</f>
        <v/>
      </c>
      <c r="CF47" s="0" t="str">
        <f aca="false">IF(BJ47="","",IFERROR(IF(INDEX(Macro_Lookup!$C$2:$C$31,MATCH(BJ47,Macro_Lookup!$A$2:$A$31,0))="","",INDEX(Macro_Lookup!$C$2:$C$31,MATCH(BJ47,Macro_Lookup!$A$2:$A$31,0))),""))</f>
        <v/>
      </c>
      <c r="CG47" s="0" t="n">
        <v>8</v>
      </c>
      <c r="CH47" s="3" t="s">
        <v>104</v>
      </c>
      <c r="CI47" s="3" t="s">
        <v>105</v>
      </c>
    </row>
    <row r="48" customFormat="false" ht="14.25" hidden="false" customHeight="false" outlineLevel="0" collapsed="false">
      <c r="A48" s="0" t="s">
        <v>310</v>
      </c>
      <c r="B48" s="0" t="s">
        <v>311</v>
      </c>
      <c r="C48" s="0" t="s">
        <v>89</v>
      </c>
      <c r="D48" s="0" t="s">
        <v>90</v>
      </c>
      <c r="E48" s="0" t="n">
        <v>0</v>
      </c>
      <c r="F48" s="0" t="s">
        <v>91</v>
      </c>
      <c r="I48" s="0" t="n">
        <v>2015</v>
      </c>
      <c r="K48" s="0" t="s">
        <v>92</v>
      </c>
      <c r="L48" s="2" t="n">
        <v>46295</v>
      </c>
      <c r="M48" s="3" t="n">
        <f aca="false">IF(I48="","",(YEAR(L48)-I48)*12+MONTH(L48)-IF(J48="",1,J48))</f>
        <v>140</v>
      </c>
      <c r="N48" s="3" t="n">
        <f aca="false">IF(M48="","",ROUND(M48/12,2))</f>
        <v>11.67</v>
      </c>
      <c r="O48" s="3" t="s">
        <v>267</v>
      </c>
      <c r="P48" s="3" t="s">
        <v>267</v>
      </c>
      <c r="Q48" s="3" t="s">
        <v>312</v>
      </c>
      <c r="R48" s="0" t="n">
        <v>0</v>
      </c>
      <c r="S48" s="0" t="n">
        <v>1</v>
      </c>
      <c r="T48" s="0" t="n">
        <v>1</v>
      </c>
      <c r="U48" s="0" t="n">
        <v>0</v>
      </c>
      <c r="V48" s="0" t="n">
        <v>0</v>
      </c>
      <c r="W48" s="0" t="n">
        <v>0</v>
      </c>
      <c r="X48" s="3" t="s">
        <v>287</v>
      </c>
      <c r="Y48" s="0" t="n">
        <v>3</v>
      </c>
      <c r="Z48" s="0" t="n">
        <v>1</v>
      </c>
      <c r="AA48" s="0" t="n">
        <v>1</v>
      </c>
      <c r="AB48" s="3" t="s">
        <v>313</v>
      </c>
      <c r="AF48" s="3" t="n">
        <f aca="false">IF(SUMIF(Founders_Clean!$A$2:$A$159,A48,Founders_Clean!$C$2:$C$159)=0,"",SUMIF(Founders_Clean!$A$2:$A$159,A48,Founders_Clean!$C$2:$C$159))</f>
        <v>1</v>
      </c>
      <c r="AG48" s="3" t="n">
        <f aca="false">IF(AF48="","",SUMIF(Founders_Clean!$A$2:$A$159,A48,Founders_Clean!$D$2:$D$159))</f>
        <v>1</v>
      </c>
      <c r="AH48" s="3" t="n">
        <f aca="false">IF(AF48="","",SUMIF(Founders_Clean!$A$2:$A$159,A48,Founders_Clean!$E$2:$E$159))</f>
        <v>0</v>
      </c>
      <c r="AI48" s="3" t="n">
        <f aca="false">IF(AF48="","",IF((AG48+AH48)=0,"",AH48/(AG48+AH48)))</f>
        <v>0</v>
      </c>
      <c r="AJ48" s="3" t="n">
        <f aca="false">IF(AI48="","",IF(AH48&gt;0,1,0))</f>
        <v>0</v>
      </c>
      <c r="AK48" s="3" t="n">
        <f aca="false">IF(AI48="","",ROUND(1-(AI48^2+(1-AI48)^2),3))</f>
        <v>0</v>
      </c>
      <c r="AL48" s="0" t="n">
        <v>12.5</v>
      </c>
      <c r="AM48" s="0" t="n">
        <v>0</v>
      </c>
      <c r="AN48" s="3" t="s">
        <v>136</v>
      </c>
      <c r="AO48" s="0" t="n">
        <v>1</v>
      </c>
      <c r="AP48" s="0" t="n">
        <v>1</v>
      </c>
      <c r="AQ48" s="0" t="n">
        <v>0</v>
      </c>
      <c r="AX48" s="3" t="s">
        <v>101</v>
      </c>
      <c r="AY48" s="3" t="s">
        <v>102</v>
      </c>
      <c r="BA48" s="0" t="n">
        <v>0</v>
      </c>
      <c r="BB48" s="0" t="n">
        <v>0</v>
      </c>
      <c r="BC48" s="0" t="n">
        <v>0</v>
      </c>
      <c r="BF48" s="3" t="n">
        <f aca="false">IF(OR(I48="",BC48=""),"",IF(BC48=1,(BD48-I48)*12+IF(BE48="",7,BE48)-IF(J48="",1,J48),M48))</f>
        <v>140</v>
      </c>
      <c r="BK48" s="0" t="n">
        <v>1</v>
      </c>
      <c r="BL48" s="3" t="n">
        <f aca="false">COUNTIFS(Investments_Clean!$A$2:$A$150,A48,Investments_Clean!$F$2:$F$150,"Accepted")</f>
        <v>1</v>
      </c>
      <c r="BM48" s="3" t="n">
        <f aca="false">IF(BL48=0,"",IF((COUNTIFS(Investments_Clean!$A$2:$A$150,A48,Investments_Clean!$D$2:$D$150,"VC/PE",Investments_Clean!$F$2:$F$150,"Accepted"))&gt;0,1,0))</f>
        <v>0</v>
      </c>
      <c r="BN48" s="3" t="n">
        <f aca="false">IF(BL48=0,"",IF((COUNTIFS(Investments_Clean!$A$2:$A$150,A48,Investments_Clean!$D$2:$D$150,"Angel",Investments_Clean!$F$2:$F$150,"Accepted"))&gt;0,1,0))</f>
        <v>0</v>
      </c>
      <c r="BO48" s="3" t="n">
        <f aca="false">IF(BL48=0,"",IF((COUNTIFS(Investments_Clean!$A$2:$A$150,A48,Investments_Clean!$D$2:$D$150,"Accelerator",Investments_Clean!$F$2:$F$150,"Accepted"))&gt;0,1,0))</f>
        <v>1</v>
      </c>
      <c r="BP48" s="3" t="n">
        <f aca="false">IF(BL48=0,"",IF((COUNTIFS(Investments_Clean!$A$2:$A$150,A48,Investments_Clean!$D$2:$D$150,"Corporate",Investments_Clean!$F$2:$F$150,"Accepted"))&gt;0,1,0))</f>
        <v>0</v>
      </c>
      <c r="BQ48" s="3" t="n">
        <f aca="false">IF(BL48=0,"",IF((COUNTIFS(Investments_Clean!$A$2:$A$150,A48,Investments_Clean!$D$2:$D$150,"Government",Investments_Clean!$F$2:$F$150,"Accepted"))&gt;0,1,0))</f>
        <v>0</v>
      </c>
      <c r="BR48" s="3" t="n">
        <f aca="false">IF(BL48=0,"",IF((COUNTIFS(Investments_Clean!$A$2:$A$150,A48,Investments_Clean!$D$2:$D$150,"Grant/Philanthropic",Investments_Clean!$F$2:$F$150,"Accepted")+COUNTIFS(Investments_Clean!$A$2:$A$150,A48,Investments_Clean!$D$2:$D$150,"DFI/Impact",Investments_Clean!$F$2:$F$150,"Accepted"))&gt;0,1,0))</f>
        <v>0</v>
      </c>
      <c r="CA48" s="0" t="n">
        <v>0</v>
      </c>
      <c r="CC48" s="0" t="str">
        <f aca="false">IF(I48="","",IFERROR(IF(INDEX(Macro_Lookup!$B$2:$B$31,MATCH(I48,Macro_Lookup!$A$2:$A$31,0))="","",INDEX(Macro_Lookup!$B$2:$B$31,MATCH(I48,Macro_Lookup!$A$2:$A$31,0))),""))</f>
        <v/>
      </c>
      <c r="CD48" s="0" t="str">
        <f aca="false">IF(I48="","",IFERROR(IF(INDEX(Macro_Lookup!$C$2:$C$31,MATCH(I48,Macro_Lookup!$A$2:$A$31,0))="","",INDEX(Macro_Lookup!$C$2:$C$31,MATCH(I48,Macro_Lookup!$A$2:$A$31,0))),""))</f>
        <v/>
      </c>
      <c r="CE48" s="0" t="str">
        <f aca="false">IF(BJ48="","",IFERROR(IF(INDEX(Macro_Lookup!$B$2:$B$31,MATCH(BJ48,Macro_Lookup!$A$2:$A$31,0))="","",INDEX(Macro_Lookup!$B$2:$B$31,MATCH(BJ48,Macro_Lookup!$A$2:$A$31,0))),""))</f>
        <v/>
      </c>
      <c r="CF48" s="0" t="str">
        <f aca="false">IF(BJ48="","",IFERROR(IF(INDEX(Macro_Lookup!$C$2:$C$31,MATCH(BJ48,Macro_Lookup!$A$2:$A$31,0))="","",INDEX(Macro_Lookup!$C$2:$C$31,MATCH(BJ48,Macro_Lookup!$A$2:$A$31,0))),""))</f>
        <v/>
      </c>
      <c r="CG48" s="0" t="n">
        <v>4</v>
      </c>
      <c r="CH48" s="3" t="s">
        <v>104</v>
      </c>
      <c r="CI48" s="3" t="s">
        <v>105</v>
      </c>
    </row>
    <row r="49" customFormat="false" ht="14.25" hidden="false" customHeight="false" outlineLevel="0" collapsed="false">
      <c r="A49" s="0" t="s">
        <v>314</v>
      </c>
      <c r="B49" s="0" t="s">
        <v>315</v>
      </c>
      <c r="C49" s="0" t="s">
        <v>89</v>
      </c>
      <c r="D49" s="0" t="s">
        <v>90</v>
      </c>
      <c r="E49" s="0" t="n">
        <v>0</v>
      </c>
      <c r="F49" s="0" t="s">
        <v>91</v>
      </c>
      <c r="I49" s="0" t="n">
        <v>2020</v>
      </c>
      <c r="K49" s="0" t="s">
        <v>92</v>
      </c>
      <c r="L49" s="2" t="n">
        <v>46295</v>
      </c>
      <c r="M49" s="3" t="n">
        <f aca="false">IF(I49="","",(YEAR(L49)-I49)*12+MONTH(L49)-IF(J49="",1,J49))</f>
        <v>80</v>
      </c>
      <c r="N49" s="3" t="n">
        <f aca="false">IF(M49="","",ROUND(M49/12,2))</f>
        <v>6.67</v>
      </c>
      <c r="O49" s="3" t="s">
        <v>267</v>
      </c>
      <c r="P49" s="3" t="s">
        <v>267</v>
      </c>
      <c r="Q49" s="3" t="s">
        <v>316</v>
      </c>
      <c r="R49" s="0" t="n">
        <v>0</v>
      </c>
      <c r="S49" s="0" t="n">
        <v>1</v>
      </c>
      <c r="T49" s="0" t="n">
        <v>0</v>
      </c>
      <c r="U49" s="0" t="n">
        <v>0</v>
      </c>
      <c r="V49" s="0" t="n">
        <v>0</v>
      </c>
      <c r="W49" s="0" t="n">
        <v>0</v>
      </c>
      <c r="X49" s="3" t="s">
        <v>287</v>
      </c>
      <c r="Y49" s="0" t="n">
        <v>3</v>
      </c>
      <c r="Z49" s="0" t="n">
        <v>1</v>
      </c>
      <c r="AA49" s="0" t="n">
        <v>1</v>
      </c>
      <c r="AB49" s="3" t="s">
        <v>317</v>
      </c>
      <c r="AF49" s="3" t="n">
        <f aca="false">IF(SUMIF(Founders_Clean!$A$2:$A$159,A49,Founders_Clean!$C$2:$C$159)=0,"",SUMIF(Founders_Clean!$A$2:$A$159,A49,Founders_Clean!$C$2:$C$159))</f>
        <v>3</v>
      </c>
      <c r="AG49" s="3" t="n">
        <f aca="false">IF(AF49="","",SUMIF(Founders_Clean!$A$2:$A$159,A49,Founders_Clean!$D$2:$D$159))</f>
        <v>3</v>
      </c>
      <c r="AH49" s="3" t="n">
        <f aca="false">IF(AF49="","",SUMIF(Founders_Clean!$A$2:$A$159,A49,Founders_Clean!$E$2:$E$159))</f>
        <v>0</v>
      </c>
      <c r="AI49" s="3" t="n">
        <f aca="false">IF(AF49="","",IF((AG49+AH49)=0,"",AH49/(AG49+AH49)))</f>
        <v>0</v>
      </c>
      <c r="AJ49" s="3" t="n">
        <f aca="false">IF(AI49="","",IF(AH49&gt;0,1,0))</f>
        <v>0</v>
      </c>
      <c r="AK49" s="3" t="n">
        <f aca="false">IF(AI49="","",ROUND(1-(AI49^2+(1-AI49)^2),3))</f>
        <v>0</v>
      </c>
      <c r="AL49" s="0" t="n">
        <v>17.5</v>
      </c>
      <c r="AM49" s="0" t="n">
        <v>1</v>
      </c>
      <c r="AN49" s="3" t="s">
        <v>147</v>
      </c>
      <c r="AO49" s="0" t="n">
        <v>1</v>
      </c>
      <c r="AP49" s="0" t="n">
        <v>1</v>
      </c>
      <c r="AQ49" s="0" t="n">
        <v>0</v>
      </c>
      <c r="AX49" s="3" t="s">
        <v>101</v>
      </c>
      <c r="AY49" s="3" t="s">
        <v>102</v>
      </c>
      <c r="BA49" s="0" t="n">
        <v>0</v>
      </c>
      <c r="BB49" s="0" t="n">
        <v>0</v>
      </c>
      <c r="BC49" s="0" t="n">
        <v>0</v>
      </c>
      <c r="BF49" s="3" t="n">
        <f aca="false">IF(OR(I49="",BC49=""),"",IF(BC49=1,(BD49-I49)*12+IF(BE49="",7,BE49)-IF(J49="",1,J49),M49))</f>
        <v>80</v>
      </c>
      <c r="BG49" s="0" t="n">
        <v>1</v>
      </c>
      <c r="BH49" s="0" t="n">
        <v>170000</v>
      </c>
      <c r="BI49" s="3" t="s">
        <v>103</v>
      </c>
      <c r="BJ49" s="0" t="n">
        <v>2022</v>
      </c>
      <c r="BK49" s="0" t="n">
        <v>1</v>
      </c>
      <c r="BL49" s="3" t="n">
        <f aca="false">COUNTIFS(Investments_Clean!$A$2:$A$150,A49,Investments_Clean!$F$2:$F$150,"Accepted")</f>
        <v>3</v>
      </c>
      <c r="BM49" s="3" t="n">
        <f aca="false">IF(BL49=0,"",IF((COUNTIFS(Investments_Clean!$A$2:$A$150,A49,Investments_Clean!$D$2:$D$150,"VC/PE",Investments_Clean!$F$2:$F$150,"Accepted"))&gt;0,1,0))</f>
        <v>1</v>
      </c>
      <c r="BN49" s="3" t="n">
        <f aca="false">IF(BL49=0,"",IF((COUNTIFS(Investments_Clean!$A$2:$A$150,A49,Investments_Clean!$D$2:$D$150,"Angel",Investments_Clean!$F$2:$F$150,"Accepted"))&gt;0,1,0))</f>
        <v>0</v>
      </c>
      <c r="BO49" s="3" t="n">
        <f aca="false">IF(BL49=0,"",IF((COUNTIFS(Investments_Clean!$A$2:$A$150,A49,Investments_Clean!$D$2:$D$150,"Accelerator",Investments_Clean!$F$2:$F$150,"Accepted"))&gt;0,1,0))</f>
        <v>1</v>
      </c>
      <c r="BP49" s="3" t="n">
        <f aca="false">IF(BL49=0,"",IF((COUNTIFS(Investments_Clean!$A$2:$A$150,A49,Investments_Clean!$D$2:$D$150,"Corporate",Investments_Clean!$F$2:$F$150,"Accepted"))&gt;0,1,0))</f>
        <v>0</v>
      </c>
      <c r="BQ49" s="3" t="n">
        <f aca="false">IF(BL49=0,"",IF((COUNTIFS(Investments_Clean!$A$2:$A$150,A49,Investments_Clean!$D$2:$D$150,"Government",Investments_Clean!$F$2:$F$150,"Accepted"))&gt;0,1,0))</f>
        <v>0</v>
      </c>
      <c r="BR49" s="3" t="n">
        <f aca="false">IF(BL49=0,"",IF((COUNTIFS(Investments_Clean!$A$2:$A$150,A49,Investments_Clean!$D$2:$D$150,"Grant/Philanthropic",Investments_Clean!$F$2:$F$150,"Accepted")+COUNTIFS(Investments_Clean!$A$2:$A$150,A49,Investments_Clean!$D$2:$D$150,"DFI/Impact",Investments_Clean!$F$2:$F$150,"Accepted"))&gt;0,1,0))</f>
        <v>0</v>
      </c>
      <c r="CA49" s="0" t="n">
        <v>0</v>
      </c>
      <c r="CC49" s="0" t="str">
        <f aca="false">IF(I49="","",IFERROR(IF(INDEX(Macro_Lookup!$B$2:$B$31,MATCH(I49,Macro_Lookup!$A$2:$A$31,0))="","",INDEX(Macro_Lookup!$B$2:$B$31,MATCH(I49,Macro_Lookup!$A$2:$A$31,0))),""))</f>
        <v/>
      </c>
      <c r="CD49" s="0" t="str">
        <f aca="false">IF(I49="","",IFERROR(IF(INDEX(Macro_Lookup!$C$2:$C$31,MATCH(I49,Macro_Lookup!$A$2:$A$31,0))="","",INDEX(Macro_Lookup!$C$2:$C$31,MATCH(I49,Macro_Lookup!$A$2:$A$31,0))),""))</f>
        <v/>
      </c>
      <c r="CE49" s="0" t="str">
        <f aca="false">IF(BJ49="","",IFERROR(IF(INDEX(Macro_Lookup!$B$2:$B$31,MATCH(BJ49,Macro_Lookup!$A$2:$A$31,0))="","",INDEX(Macro_Lookup!$B$2:$B$31,MATCH(BJ49,Macro_Lookup!$A$2:$A$31,0))),""))</f>
        <v/>
      </c>
      <c r="CF49" s="0" t="str">
        <f aca="false">IF(BJ49="","",IFERROR(IF(INDEX(Macro_Lookup!$C$2:$C$31,MATCH(BJ49,Macro_Lookup!$A$2:$A$31,0))="","",INDEX(Macro_Lookup!$C$2:$C$31,MATCH(BJ49,Macro_Lookup!$A$2:$A$31,0))),""))</f>
        <v/>
      </c>
      <c r="CG49" s="0" t="n">
        <v>4</v>
      </c>
      <c r="CH49" s="3" t="s">
        <v>104</v>
      </c>
      <c r="CI49" s="3" t="s">
        <v>105</v>
      </c>
    </row>
    <row r="50" customFormat="false" ht="14.25" hidden="false" customHeight="false" outlineLevel="0" collapsed="false">
      <c r="A50" s="0" t="s">
        <v>318</v>
      </c>
      <c r="B50" s="0" t="s">
        <v>319</v>
      </c>
      <c r="C50" s="0" t="s">
        <v>89</v>
      </c>
      <c r="D50" s="0" t="s">
        <v>90</v>
      </c>
      <c r="E50" s="0" t="n">
        <v>0</v>
      </c>
      <c r="F50" s="0" t="s">
        <v>91</v>
      </c>
      <c r="I50" s="0" t="n">
        <v>2012</v>
      </c>
      <c r="K50" s="0" t="s">
        <v>92</v>
      </c>
      <c r="L50" s="2" t="n">
        <v>46295</v>
      </c>
      <c r="M50" s="3" t="n">
        <f aca="false">IF(I50="","",(YEAR(L50)-I50)*12+MONTH(L50)-IF(J50="",1,J50))</f>
        <v>176</v>
      </c>
      <c r="N50" s="3" t="n">
        <f aca="false">IF(M50="","",ROUND(M50/12,2))</f>
        <v>14.67</v>
      </c>
      <c r="O50" s="3" t="s">
        <v>267</v>
      </c>
      <c r="P50" s="3" t="s">
        <v>267</v>
      </c>
      <c r="Q50" s="3" t="s">
        <v>320</v>
      </c>
      <c r="R50" s="0" t="n">
        <v>0</v>
      </c>
      <c r="S50" s="0" t="n">
        <v>1</v>
      </c>
      <c r="T50" s="0" t="n">
        <v>0</v>
      </c>
      <c r="U50" s="0" t="n">
        <v>0</v>
      </c>
      <c r="V50" s="0" t="n">
        <v>0</v>
      </c>
      <c r="W50" s="0" t="n">
        <v>0</v>
      </c>
      <c r="X50" s="3" t="s">
        <v>287</v>
      </c>
      <c r="Y50" s="0" t="n">
        <v>3</v>
      </c>
      <c r="Z50" s="0" t="n">
        <v>1</v>
      </c>
      <c r="AF50" s="3" t="n">
        <f aca="false">IF(SUMIF(Founders_Clean!$A$2:$A$159,A50,Founders_Clean!$C$2:$C$159)=0,"",SUMIF(Founders_Clean!$A$2:$A$159,A50,Founders_Clean!$C$2:$C$159))</f>
        <v>1</v>
      </c>
      <c r="AG50" s="3" t="n">
        <f aca="false">IF(AF50="","",SUMIF(Founders_Clean!$A$2:$A$159,A50,Founders_Clean!$D$2:$D$159))</f>
        <v>1</v>
      </c>
      <c r="AH50" s="3" t="n">
        <f aca="false">IF(AF50="","",SUMIF(Founders_Clean!$A$2:$A$159,A50,Founders_Clean!$E$2:$E$159))</f>
        <v>0</v>
      </c>
      <c r="AI50" s="3" t="n">
        <f aca="false">IF(AF50="","",IF((AG50+AH50)=0,"",AH50/(AG50+AH50)))</f>
        <v>0</v>
      </c>
      <c r="AJ50" s="3" t="n">
        <f aca="false">IF(AI50="","",IF(AH50&gt;0,1,0))</f>
        <v>0</v>
      </c>
      <c r="AK50" s="3" t="n">
        <f aca="false">IF(AI50="","",ROUND(1-(AI50^2+(1-AI50)^2),3))</f>
        <v>0</v>
      </c>
      <c r="AL50" s="0" t="n">
        <v>15</v>
      </c>
      <c r="AQ50" s="0" t="n">
        <v>1</v>
      </c>
      <c r="AX50" s="3" t="s">
        <v>101</v>
      </c>
      <c r="AY50" s="3" t="s">
        <v>102</v>
      </c>
      <c r="BA50" s="0" t="n">
        <v>0</v>
      </c>
      <c r="BB50" s="0" t="n">
        <v>0</v>
      </c>
      <c r="BC50" s="0" t="n">
        <v>0</v>
      </c>
      <c r="BF50" s="3" t="n">
        <f aca="false">IF(OR(I50="",BC50=""),"",IF(BC50=1,(BD50-I50)*12+IF(BE50="",7,BE50)-IF(J50="",1,J50),M50))</f>
        <v>176</v>
      </c>
      <c r="BL50" s="3" t="n">
        <f aca="false">COUNTIFS(Investments_Clean!$A$2:$A$150,A50,Investments_Clean!$F$2:$F$150,"Accepted")</f>
        <v>0</v>
      </c>
      <c r="BM50" s="0" t="str">
        <f aca="false">IF(BL50=0,"",IF((COUNTIFS(Investments_Clean!$A$2:$A$150,A50,Investments_Clean!$D$2:$D$150,"VC/PE",Investments_Clean!$F$2:$F$150,"Accepted"))&gt;0,1,0))</f>
        <v/>
      </c>
      <c r="BN50" s="0" t="str">
        <f aca="false">IF(BL50=0,"",IF((COUNTIFS(Investments_Clean!$A$2:$A$150,A50,Investments_Clean!$D$2:$D$150,"Angel",Investments_Clean!$F$2:$F$150,"Accepted"))&gt;0,1,0))</f>
        <v/>
      </c>
      <c r="BO50" s="0" t="str">
        <f aca="false">IF(BL50=0,"",IF((COUNTIFS(Investments_Clean!$A$2:$A$150,A50,Investments_Clean!$D$2:$D$150,"Accelerator",Investments_Clean!$F$2:$F$150,"Accepted"))&gt;0,1,0))</f>
        <v/>
      </c>
      <c r="BP50" s="0" t="str">
        <f aca="false">IF(BL50=0,"",IF((COUNTIFS(Investments_Clean!$A$2:$A$150,A50,Investments_Clean!$D$2:$D$150,"Corporate",Investments_Clean!$F$2:$F$150,"Accepted"))&gt;0,1,0))</f>
        <v/>
      </c>
      <c r="BQ50" s="0" t="str">
        <f aca="false">IF(BL50=0,"",IF((COUNTIFS(Investments_Clean!$A$2:$A$150,A50,Investments_Clean!$D$2:$D$150,"Government",Investments_Clean!$F$2:$F$150,"Accepted"))&gt;0,1,0))</f>
        <v/>
      </c>
      <c r="BR50" s="0" t="str">
        <f aca="false">IF(BL50=0,"",IF((COUNTIFS(Investments_Clean!$A$2:$A$150,A50,Investments_Clean!$D$2:$D$150,"Grant/Philanthropic",Investments_Clean!$F$2:$F$150,"Accepted")+COUNTIFS(Investments_Clean!$A$2:$A$150,A50,Investments_Clean!$D$2:$D$150,"DFI/Impact",Investments_Clean!$F$2:$F$150,"Accepted"))&gt;0,1,0))</f>
        <v/>
      </c>
      <c r="CA50" s="0" t="n">
        <v>0</v>
      </c>
      <c r="CC50" s="0" t="str">
        <f aca="false">IF(I50="","",IFERROR(IF(INDEX(Macro_Lookup!$B$2:$B$31,MATCH(I50,Macro_Lookup!$A$2:$A$31,0))="","",INDEX(Macro_Lookup!$B$2:$B$31,MATCH(I50,Macro_Lookup!$A$2:$A$31,0))),""))</f>
        <v/>
      </c>
      <c r="CD50" s="0" t="str">
        <f aca="false">IF(I50="","",IFERROR(IF(INDEX(Macro_Lookup!$C$2:$C$31,MATCH(I50,Macro_Lookup!$A$2:$A$31,0))="","",INDEX(Macro_Lookup!$C$2:$C$31,MATCH(I50,Macro_Lookup!$A$2:$A$31,0))),""))</f>
        <v/>
      </c>
      <c r="CE50" s="0" t="str">
        <f aca="false">IF(BJ50="","",IFERROR(IF(INDEX(Macro_Lookup!$B$2:$B$31,MATCH(BJ50,Macro_Lookup!$A$2:$A$31,0))="","",INDEX(Macro_Lookup!$B$2:$B$31,MATCH(BJ50,Macro_Lookup!$A$2:$A$31,0))),""))</f>
        <v/>
      </c>
      <c r="CF50" s="0" t="str">
        <f aca="false">IF(BJ50="","",IFERROR(IF(INDEX(Macro_Lookup!$C$2:$C$31,MATCH(BJ50,Macro_Lookup!$A$2:$A$31,0))="","",INDEX(Macro_Lookup!$C$2:$C$31,MATCH(BJ50,Macro_Lookup!$A$2:$A$31,0))),""))</f>
        <v/>
      </c>
      <c r="CG50" s="0" t="n">
        <v>7</v>
      </c>
      <c r="CH50" s="3" t="s">
        <v>104</v>
      </c>
      <c r="CI50" s="3" t="s">
        <v>105</v>
      </c>
    </row>
    <row r="51" customFormat="false" ht="14.25" hidden="false" customHeight="false" outlineLevel="0" collapsed="false">
      <c r="A51" s="0" t="s">
        <v>321</v>
      </c>
      <c r="B51" s="0" t="s">
        <v>322</v>
      </c>
      <c r="C51" s="0" t="s">
        <v>89</v>
      </c>
      <c r="D51" s="0" t="s">
        <v>90</v>
      </c>
      <c r="E51" s="0" t="n">
        <v>0</v>
      </c>
      <c r="F51" s="0" t="s">
        <v>91</v>
      </c>
      <c r="I51" s="0" t="n">
        <v>2014</v>
      </c>
      <c r="K51" s="0" t="s">
        <v>92</v>
      </c>
      <c r="L51" s="2" t="n">
        <v>46295</v>
      </c>
      <c r="M51" s="3" t="n">
        <f aca="false">IF(I51="","",(YEAR(L51)-I51)*12+MONTH(L51)-IF(J51="",1,J51))</f>
        <v>152</v>
      </c>
      <c r="N51" s="3" t="n">
        <f aca="false">IF(M51="","",ROUND(M51/12,2))</f>
        <v>12.67</v>
      </c>
      <c r="O51" s="3" t="s">
        <v>323</v>
      </c>
      <c r="P51" s="3" t="s">
        <v>267</v>
      </c>
      <c r="Q51" s="3" t="s">
        <v>324</v>
      </c>
      <c r="R51" s="0" t="n">
        <v>0</v>
      </c>
      <c r="S51" s="0" t="n">
        <v>1</v>
      </c>
      <c r="T51" s="0" t="n">
        <v>0</v>
      </c>
      <c r="U51" s="0" t="n">
        <v>0</v>
      </c>
      <c r="V51" s="0" t="n">
        <v>0</v>
      </c>
      <c r="W51" s="0" t="n">
        <v>0</v>
      </c>
      <c r="X51" s="3" t="s">
        <v>287</v>
      </c>
      <c r="Y51" s="0" t="n">
        <v>3</v>
      </c>
      <c r="Z51" s="0" t="n">
        <v>1</v>
      </c>
      <c r="AF51" s="0" t="str">
        <f aca="false">IF(SUMIF(Founders_Clean!$A$2:$A$159,A51,Founders_Clean!$C$2:$C$159)=0,"",SUMIF(Founders_Clean!$A$2:$A$159,A51,Founders_Clean!$C$2:$C$159))</f>
        <v/>
      </c>
      <c r="AG51" s="0" t="str">
        <f aca="false">IF(AF51="","",SUMIF(Founders_Clean!$A$2:$A$159,A51,Founders_Clean!$D$2:$D$159))</f>
        <v/>
      </c>
      <c r="AH51" s="0" t="str">
        <f aca="false">IF(AF51="","",SUMIF(Founders_Clean!$A$2:$A$159,A51,Founders_Clean!$E$2:$E$159))</f>
        <v/>
      </c>
      <c r="AI51" s="0" t="str">
        <f aca="false">IF(AF51="","",IF((AG51+AH51)=0,"",AH51/(AG51+AH51)))</f>
        <v/>
      </c>
      <c r="AJ51" s="0" t="str">
        <f aca="false">IF(AI51="","",IF(AH51&gt;0,1,0))</f>
        <v/>
      </c>
      <c r="AK51" s="0" t="str">
        <f aca="false">IF(AI51="","",ROUND(1-(AI51^2+(1-AI51)^2),3))</f>
        <v/>
      </c>
      <c r="AL51" s="0" t="n">
        <v>10</v>
      </c>
      <c r="AX51" s="3" t="s">
        <v>101</v>
      </c>
      <c r="AY51" s="3" t="s">
        <v>102</v>
      </c>
      <c r="BA51" s="0" t="n">
        <v>0</v>
      </c>
      <c r="BB51" s="0" t="n">
        <v>0</v>
      </c>
      <c r="BC51" s="0" t="n">
        <v>0</v>
      </c>
      <c r="BF51" s="3" t="n">
        <f aca="false">IF(OR(I51="",BC51=""),"",IF(BC51=1,(BD51-I51)*12+IF(BE51="",7,BE51)-IF(J51="",1,J51),M51))</f>
        <v>152</v>
      </c>
      <c r="BL51" s="3" t="n">
        <f aca="false">COUNTIFS(Investments_Clean!$A$2:$A$150,A51,Investments_Clean!$F$2:$F$150,"Accepted")</f>
        <v>0</v>
      </c>
      <c r="BM51" s="0" t="str">
        <f aca="false">IF(BL51=0,"",IF((COUNTIFS(Investments_Clean!$A$2:$A$150,A51,Investments_Clean!$D$2:$D$150,"VC/PE",Investments_Clean!$F$2:$F$150,"Accepted"))&gt;0,1,0))</f>
        <v/>
      </c>
      <c r="BN51" s="0" t="str">
        <f aca="false">IF(BL51=0,"",IF((COUNTIFS(Investments_Clean!$A$2:$A$150,A51,Investments_Clean!$D$2:$D$150,"Angel",Investments_Clean!$F$2:$F$150,"Accepted"))&gt;0,1,0))</f>
        <v/>
      </c>
      <c r="BO51" s="0" t="str">
        <f aca="false">IF(BL51=0,"",IF((COUNTIFS(Investments_Clean!$A$2:$A$150,A51,Investments_Clean!$D$2:$D$150,"Accelerator",Investments_Clean!$F$2:$F$150,"Accepted"))&gt;0,1,0))</f>
        <v/>
      </c>
      <c r="BP51" s="0" t="str">
        <f aca="false">IF(BL51=0,"",IF((COUNTIFS(Investments_Clean!$A$2:$A$150,A51,Investments_Clean!$D$2:$D$150,"Corporate",Investments_Clean!$F$2:$F$150,"Accepted"))&gt;0,1,0))</f>
        <v/>
      </c>
      <c r="BQ51" s="0" t="str">
        <f aca="false">IF(BL51=0,"",IF((COUNTIFS(Investments_Clean!$A$2:$A$150,A51,Investments_Clean!$D$2:$D$150,"Government",Investments_Clean!$F$2:$F$150,"Accepted"))&gt;0,1,0))</f>
        <v/>
      </c>
      <c r="BR51" s="0" t="str">
        <f aca="false">IF(BL51=0,"",IF((COUNTIFS(Investments_Clean!$A$2:$A$150,A51,Investments_Clean!$D$2:$D$150,"Grant/Philanthropic",Investments_Clean!$F$2:$F$150,"Accepted")+COUNTIFS(Investments_Clean!$A$2:$A$150,A51,Investments_Clean!$D$2:$D$150,"DFI/Impact",Investments_Clean!$F$2:$F$150,"Accepted"))&gt;0,1,0))</f>
        <v/>
      </c>
      <c r="CA51" s="0" t="n">
        <v>0</v>
      </c>
      <c r="CC51" s="0" t="str">
        <f aca="false">IF(I51="","",IFERROR(IF(INDEX(Macro_Lookup!$B$2:$B$31,MATCH(I51,Macro_Lookup!$A$2:$A$31,0))="","",INDEX(Macro_Lookup!$B$2:$B$31,MATCH(I51,Macro_Lookup!$A$2:$A$31,0))),""))</f>
        <v/>
      </c>
      <c r="CD51" s="0" t="str">
        <f aca="false">IF(I51="","",IFERROR(IF(INDEX(Macro_Lookup!$C$2:$C$31,MATCH(I51,Macro_Lookup!$A$2:$A$31,0))="","",INDEX(Macro_Lookup!$C$2:$C$31,MATCH(I51,Macro_Lookup!$A$2:$A$31,0))),""))</f>
        <v/>
      </c>
      <c r="CE51" s="0" t="str">
        <f aca="false">IF(BJ51="","",IFERROR(IF(INDEX(Macro_Lookup!$B$2:$B$31,MATCH(BJ51,Macro_Lookup!$A$2:$A$31,0))="","",INDEX(Macro_Lookup!$B$2:$B$31,MATCH(BJ51,Macro_Lookup!$A$2:$A$31,0))),""))</f>
        <v/>
      </c>
      <c r="CF51" s="0" t="str">
        <f aca="false">IF(BJ51="","",IFERROR(IF(INDEX(Macro_Lookup!$C$2:$C$31,MATCH(BJ51,Macro_Lookup!$A$2:$A$31,0))="","",INDEX(Macro_Lookup!$C$2:$C$31,MATCH(BJ51,Macro_Lookup!$A$2:$A$31,0))),""))</f>
        <v/>
      </c>
      <c r="CG51" s="0" t="n">
        <v>8</v>
      </c>
      <c r="CH51" s="3" t="s">
        <v>104</v>
      </c>
      <c r="CI51" s="3" t="s">
        <v>105</v>
      </c>
    </row>
    <row r="52" customFormat="false" ht="14.25" hidden="false" customHeight="false" outlineLevel="0" collapsed="false">
      <c r="A52" s="0" t="s">
        <v>325</v>
      </c>
      <c r="B52" s="0" t="s">
        <v>326</v>
      </c>
      <c r="C52" s="0" t="s">
        <v>89</v>
      </c>
      <c r="D52" s="0" t="s">
        <v>90</v>
      </c>
      <c r="E52" s="0" t="n">
        <v>0</v>
      </c>
      <c r="F52" s="0" t="s">
        <v>91</v>
      </c>
      <c r="I52" s="0" t="n">
        <v>2018</v>
      </c>
      <c r="K52" s="0" t="s">
        <v>92</v>
      </c>
      <c r="L52" s="2" t="n">
        <v>46295</v>
      </c>
      <c r="M52" s="3" t="n">
        <f aca="false">IF(I52="","",(YEAR(L52)-I52)*12+MONTH(L52)-IF(J52="",1,J52))</f>
        <v>104</v>
      </c>
      <c r="N52" s="3" t="n">
        <f aca="false">IF(M52="","",ROUND(M52/12,2))</f>
        <v>8.67</v>
      </c>
      <c r="O52" s="3" t="s">
        <v>327</v>
      </c>
      <c r="P52" s="3" t="s">
        <v>327</v>
      </c>
      <c r="Q52" s="3" t="s">
        <v>328</v>
      </c>
      <c r="R52" s="0" t="n">
        <v>0</v>
      </c>
      <c r="S52" s="0" t="n">
        <v>1</v>
      </c>
      <c r="T52" s="0" t="n">
        <v>0</v>
      </c>
      <c r="U52" s="0" t="n">
        <v>0</v>
      </c>
      <c r="V52" s="0" t="n">
        <v>0</v>
      </c>
      <c r="W52" s="0" t="n">
        <v>0</v>
      </c>
      <c r="X52" s="3" t="s">
        <v>287</v>
      </c>
      <c r="Y52" s="0" t="n">
        <v>3</v>
      </c>
      <c r="Z52" s="0" t="n">
        <v>1</v>
      </c>
      <c r="AA52" s="0" t="n">
        <v>0</v>
      </c>
      <c r="AB52" s="3" t="s">
        <v>329</v>
      </c>
      <c r="AF52" s="3" t="n">
        <f aca="false">IF(SUMIF(Founders_Clean!$A$2:$A$159,A52,Founders_Clean!$C$2:$C$159)=0,"",SUMIF(Founders_Clean!$A$2:$A$159,A52,Founders_Clean!$C$2:$C$159))</f>
        <v>1</v>
      </c>
      <c r="AG52" s="3" t="n">
        <f aca="false">IF(AF52="","",SUMIF(Founders_Clean!$A$2:$A$159,A52,Founders_Clean!$D$2:$D$159))</f>
        <v>0</v>
      </c>
      <c r="AH52" s="3" t="n">
        <f aca="false">IF(AF52="","",SUMIF(Founders_Clean!$A$2:$A$159,A52,Founders_Clean!$E$2:$E$159))</f>
        <v>1</v>
      </c>
      <c r="AI52" s="3" t="n">
        <f aca="false">IF(AF52="","",IF((AG52+AH52)=0,"",AH52/(AG52+AH52)))</f>
        <v>1</v>
      </c>
      <c r="AJ52" s="3" t="n">
        <f aca="false">IF(AI52="","",IF(AH52&gt;0,1,0))</f>
        <v>1</v>
      </c>
      <c r="AK52" s="3" t="n">
        <f aca="false">IF(AI52="","",ROUND(1-(AI52^2+(1-AI52)^2),3))</f>
        <v>0</v>
      </c>
      <c r="AL52" s="0" t="n">
        <v>47.5</v>
      </c>
      <c r="AM52" s="0" t="n">
        <v>2</v>
      </c>
      <c r="AN52" s="3" t="s">
        <v>98</v>
      </c>
      <c r="AO52" s="0" t="n">
        <v>0</v>
      </c>
      <c r="AP52" s="0" t="n">
        <v>0</v>
      </c>
      <c r="AQ52" s="0" t="n">
        <v>0</v>
      </c>
      <c r="AR52" s="0" t="n">
        <v>20</v>
      </c>
      <c r="AS52" s="0" t="n">
        <v>20</v>
      </c>
      <c r="AX52" s="3" t="s">
        <v>101</v>
      </c>
      <c r="AY52" s="3" t="s">
        <v>102</v>
      </c>
      <c r="BA52" s="0" t="n">
        <v>0</v>
      </c>
      <c r="BB52" s="0" t="n">
        <v>0</v>
      </c>
      <c r="BC52" s="0" t="n">
        <v>0</v>
      </c>
      <c r="BF52" s="3" t="n">
        <f aca="false">IF(OR(I52="",BC52=""),"",IF(BC52=1,(BD52-I52)*12+IF(BE52="",7,BE52)-IF(J52="",1,J52),M52))</f>
        <v>104</v>
      </c>
      <c r="BG52" s="0" t="n">
        <v>1</v>
      </c>
      <c r="BH52" s="0" t="n">
        <v>10600000</v>
      </c>
      <c r="BI52" s="3" t="s">
        <v>149</v>
      </c>
      <c r="BJ52" s="0" t="n">
        <v>2021</v>
      </c>
      <c r="BK52" s="0" t="n">
        <v>1</v>
      </c>
      <c r="BL52" s="3" t="n">
        <f aca="false">COUNTIFS(Investments_Clean!$A$2:$A$150,A52,Investments_Clean!$F$2:$F$150,"Accepted")</f>
        <v>1</v>
      </c>
      <c r="BM52" s="3" t="n">
        <f aca="false">IF(BL52=0,"",IF((COUNTIFS(Investments_Clean!$A$2:$A$150,A52,Investments_Clean!$D$2:$D$150,"VC/PE",Investments_Clean!$F$2:$F$150,"Accepted"))&gt;0,1,0))</f>
        <v>1</v>
      </c>
      <c r="BN52" s="3" t="n">
        <f aca="false">IF(BL52=0,"",IF((COUNTIFS(Investments_Clean!$A$2:$A$150,A52,Investments_Clean!$D$2:$D$150,"Angel",Investments_Clean!$F$2:$F$150,"Accepted"))&gt;0,1,0))</f>
        <v>0</v>
      </c>
      <c r="BO52" s="3" t="n">
        <f aca="false">IF(BL52=0,"",IF((COUNTIFS(Investments_Clean!$A$2:$A$150,A52,Investments_Clean!$D$2:$D$150,"Accelerator",Investments_Clean!$F$2:$F$150,"Accepted"))&gt;0,1,0))</f>
        <v>0</v>
      </c>
      <c r="BP52" s="3" t="n">
        <f aca="false">IF(BL52=0,"",IF((COUNTIFS(Investments_Clean!$A$2:$A$150,A52,Investments_Clean!$D$2:$D$150,"Corporate",Investments_Clean!$F$2:$F$150,"Accepted"))&gt;0,1,0))</f>
        <v>0</v>
      </c>
      <c r="BQ52" s="3" t="n">
        <f aca="false">IF(BL52=0,"",IF((COUNTIFS(Investments_Clean!$A$2:$A$150,A52,Investments_Clean!$D$2:$D$150,"Government",Investments_Clean!$F$2:$F$150,"Accepted"))&gt;0,1,0))</f>
        <v>0</v>
      </c>
      <c r="BR52" s="3" t="n">
        <f aca="false">IF(BL52=0,"",IF((COUNTIFS(Investments_Clean!$A$2:$A$150,A52,Investments_Clean!$D$2:$D$150,"Grant/Philanthropic",Investments_Clean!$F$2:$F$150,"Accepted")+COUNTIFS(Investments_Clean!$A$2:$A$150,A52,Investments_Clean!$D$2:$D$150,"DFI/Impact",Investments_Clean!$F$2:$F$150,"Accepted"))&gt;0,1,0))</f>
        <v>0</v>
      </c>
      <c r="CA52" s="0" t="n">
        <v>0</v>
      </c>
      <c r="CC52" s="0" t="str">
        <f aca="false">IF(I52="","",IFERROR(IF(INDEX(Macro_Lookup!$B$2:$B$31,MATCH(I52,Macro_Lookup!$A$2:$A$31,0))="","",INDEX(Macro_Lookup!$B$2:$B$31,MATCH(I52,Macro_Lookup!$A$2:$A$31,0))),""))</f>
        <v/>
      </c>
      <c r="CD52" s="0" t="str">
        <f aca="false">IF(I52="","",IFERROR(IF(INDEX(Macro_Lookup!$C$2:$C$31,MATCH(I52,Macro_Lookup!$A$2:$A$31,0))="","",INDEX(Macro_Lookup!$C$2:$C$31,MATCH(I52,Macro_Lookup!$A$2:$A$31,0))),""))</f>
        <v/>
      </c>
      <c r="CE52" s="0" t="str">
        <f aca="false">IF(BJ52="","",IFERROR(IF(INDEX(Macro_Lookup!$B$2:$B$31,MATCH(BJ52,Macro_Lookup!$A$2:$A$31,0))="","",INDEX(Macro_Lookup!$B$2:$B$31,MATCH(BJ52,Macro_Lookup!$A$2:$A$31,0))),""))</f>
        <v/>
      </c>
      <c r="CF52" s="0" t="str">
        <f aca="false">IF(BJ52="","",IFERROR(IF(INDEX(Macro_Lookup!$C$2:$C$31,MATCH(BJ52,Macro_Lookup!$A$2:$A$31,0))="","",INDEX(Macro_Lookup!$C$2:$C$31,MATCH(BJ52,Macro_Lookup!$A$2:$A$31,0))),""))</f>
        <v/>
      </c>
      <c r="CG52" s="0" t="n">
        <v>3</v>
      </c>
      <c r="CH52" s="3" t="s">
        <v>104</v>
      </c>
      <c r="CI52" s="3" t="s">
        <v>105</v>
      </c>
    </row>
    <row r="53" customFormat="false" ht="14.25" hidden="false" customHeight="false" outlineLevel="0" collapsed="false">
      <c r="A53" s="0" t="s">
        <v>330</v>
      </c>
      <c r="B53" s="0" t="s">
        <v>331</v>
      </c>
      <c r="C53" s="0" t="s">
        <v>89</v>
      </c>
      <c r="D53" s="0" t="s">
        <v>90</v>
      </c>
      <c r="E53" s="0" t="n">
        <v>0</v>
      </c>
      <c r="F53" s="0" t="s">
        <v>91</v>
      </c>
      <c r="I53" s="0" t="n">
        <v>2020</v>
      </c>
      <c r="K53" s="0" t="s">
        <v>92</v>
      </c>
      <c r="L53" s="2" t="n">
        <v>46295</v>
      </c>
      <c r="M53" s="3" t="n">
        <f aca="false">IF(I53="","",(YEAR(L53)-I53)*12+MONTH(L53)-IF(J53="",1,J53))</f>
        <v>80</v>
      </c>
      <c r="N53" s="3" t="n">
        <f aca="false">IF(M53="","",ROUND(M53/12,2))</f>
        <v>6.67</v>
      </c>
      <c r="O53" s="3" t="s">
        <v>332</v>
      </c>
      <c r="P53" s="3" t="s">
        <v>327</v>
      </c>
      <c r="Q53" s="3" t="s">
        <v>333</v>
      </c>
      <c r="R53" s="0" t="n">
        <v>1</v>
      </c>
      <c r="S53" s="0" t="n">
        <v>1</v>
      </c>
      <c r="T53" s="0" t="n">
        <v>0</v>
      </c>
      <c r="U53" s="0" t="n">
        <v>0</v>
      </c>
      <c r="V53" s="0" t="n">
        <v>0</v>
      </c>
      <c r="W53" s="0" t="n">
        <v>0</v>
      </c>
      <c r="X53" s="3" t="s">
        <v>287</v>
      </c>
      <c r="Y53" s="0" t="n">
        <v>3</v>
      </c>
      <c r="Z53" s="0" t="n">
        <v>1</v>
      </c>
      <c r="AA53" s="0" t="n">
        <v>1</v>
      </c>
      <c r="AB53" s="3" t="s">
        <v>288</v>
      </c>
      <c r="AF53" s="3" t="n">
        <f aca="false">IF(SUMIF(Founders_Clean!$A$2:$A$159,A53,Founders_Clean!$C$2:$C$159)=0,"",SUMIF(Founders_Clean!$A$2:$A$159,A53,Founders_Clean!$C$2:$C$159))</f>
        <v>2</v>
      </c>
      <c r="AG53" s="3" t="n">
        <f aca="false">IF(AF53="","",SUMIF(Founders_Clean!$A$2:$A$159,A53,Founders_Clean!$D$2:$D$159))</f>
        <v>2</v>
      </c>
      <c r="AH53" s="3" t="n">
        <f aca="false">IF(AF53="","",SUMIF(Founders_Clean!$A$2:$A$159,A53,Founders_Clean!$E$2:$E$159))</f>
        <v>0</v>
      </c>
      <c r="AI53" s="3" t="n">
        <f aca="false">IF(AF53="","",IF((AG53+AH53)=0,"",AH53/(AG53+AH53)))</f>
        <v>0</v>
      </c>
      <c r="AJ53" s="3" t="n">
        <f aca="false">IF(AI53="","",IF(AH53&gt;0,1,0))</f>
        <v>0</v>
      </c>
      <c r="AK53" s="3" t="n">
        <f aca="false">IF(AI53="","",ROUND(1-(AI53^2+(1-AI53)^2),3))</f>
        <v>0</v>
      </c>
      <c r="AL53" s="0" t="n">
        <v>27.5</v>
      </c>
      <c r="AQ53" s="0" t="n">
        <v>1</v>
      </c>
      <c r="AT53" s="0" t="n">
        <v>6</v>
      </c>
      <c r="AU53" s="3" t="s">
        <v>155</v>
      </c>
      <c r="AV53" s="3" t="s">
        <v>100</v>
      </c>
      <c r="AX53" s="3" t="s">
        <v>101</v>
      </c>
      <c r="AY53" s="3" t="s">
        <v>102</v>
      </c>
      <c r="BA53" s="0" t="n">
        <v>0</v>
      </c>
      <c r="BB53" s="0" t="n">
        <v>0</v>
      </c>
      <c r="BC53" s="0" t="n">
        <v>0</v>
      </c>
      <c r="BF53" s="3" t="n">
        <f aca="false">IF(OR(I53="",BC53=""),"",IF(BC53=1,(BD53-I53)*12+IF(BE53="",7,BE53)-IF(J53="",1,J53),M53))</f>
        <v>80</v>
      </c>
      <c r="BK53" s="0" t="n">
        <v>1</v>
      </c>
      <c r="BL53" s="3" t="n">
        <f aca="false">COUNTIFS(Investments_Clean!$A$2:$A$150,A53,Investments_Clean!$F$2:$F$150,"Accepted")</f>
        <v>1</v>
      </c>
      <c r="BM53" s="3" t="n">
        <f aca="false">IF(BL53=0,"",IF((COUNTIFS(Investments_Clean!$A$2:$A$150,A53,Investments_Clean!$D$2:$D$150,"VC/PE",Investments_Clean!$F$2:$F$150,"Accepted"))&gt;0,1,0))</f>
        <v>0</v>
      </c>
      <c r="BN53" s="3" t="n">
        <f aca="false">IF(BL53=0,"",IF((COUNTIFS(Investments_Clean!$A$2:$A$150,A53,Investments_Clean!$D$2:$D$150,"Angel",Investments_Clean!$F$2:$F$150,"Accepted"))&gt;0,1,0))</f>
        <v>0</v>
      </c>
      <c r="BO53" s="3" t="n">
        <f aca="false">IF(BL53=0,"",IF((COUNTIFS(Investments_Clean!$A$2:$A$150,A53,Investments_Clean!$D$2:$D$150,"Accelerator",Investments_Clean!$F$2:$F$150,"Accepted"))&gt;0,1,0))</f>
        <v>1</v>
      </c>
      <c r="BP53" s="3" t="n">
        <f aca="false">IF(BL53=0,"",IF((COUNTIFS(Investments_Clean!$A$2:$A$150,A53,Investments_Clean!$D$2:$D$150,"Corporate",Investments_Clean!$F$2:$F$150,"Accepted"))&gt;0,1,0))</f>
        <v>0</v>
      </c>
      <c r="BQ53" s="3" t="n">
        <f aca="false">IF(BL53=0,"",IF((COUNTIFS(Investments_Clean!$A$2:$A$150,A53,Investments_Clean!$D$2:$D$150,"Government",Investments_Clean!$F$2:$F$150,"Accepted"))&gt;0,1,0))</f>
        <v>0</v>
      </c>
      <c r="BR53" s="3" t="n">
        <f aca="false">IF(BL53=0,"",IF((COUNTIFS(Investments_Clean!$A$2:$A$150,A53,Investments_Clean!$D$2:$D$150,"Grant/Philanthropic",Investments_Clean!$F$2:$F$150,"Accepted")+COUNTIFS(Investments_Clean!$A$2:$A$150,A53,Investments_Clean!$D$2:$D$150,"DFI/Impact",Investments_Clean!$F$2:$F$150,"Accepted"))&gt;0,1,0))</f>
        <v>0</v>
      </c>
      <c r="BY53" s="0" t="n">
        <v>1000000</v>
      </c>
      <c r="BZ53" s="0" t="n">
        <v>4.7</v>
      </c>
      <c r="CA53" s="0" t="n">
        <v>1</v>
      </c>
      <c r="CC53" s="0" t="str">
        <f aca="false">IF(I53="","",IFERROR(IF(INDEX(Macro_Lookup!$B$2:$B$31,MATCH(I53,Macro_Lookup!$A$2:$A$31,0))="","",INDEX(Macro_Lookup!$B$2:$B$31,MATCH(I53,Macro_Lookup!$A$2:$A$31,0))),""))</f>
        <v/>
      </c>
      <c r="CD53" s="0" t="str">
        <f aca="false">IF(I53="","",IFERROR(IF(INDEX(Macro_Lookup!$C$2:$C$31,MATCH(I53,Macro_Lookup!$A$2:$A$31,0))="","",INDEX(Macro_Lookup!$C$2:$C$31,MATCH(I53,Macro_Lookup!$A$2:$A$31,0))),""))</f>
        <v/>
      </c>
      <c r="CE53" s="0" t="str">
        <f aca="false">IF(BJ53="","",IFERROR(IF(INDEX(Macro_Lookup!$B$2:$B$31,MATCH(BJ53,Macro_Lookup!$A$2:$A$31,0))="","",INDEX(Macro_Lookup!$B$2:$B$31,MATCH(BJ53,Macro_Lookup!$A$2:$A$31,0))),""))</f>
        <v/>
      </c>
      <c r="CF53" s="0" t="str">
        <f aca="false">IF(BJ53="","",IFERROR(IF(INDEX(Macro_Lookup!$C$2:$C$31,MATCH(BJ53,Macro_Lookup!$A$2:$A$31,0))="","",INDEX(Macro_Lookup!$C$2:$C$31,MATCH(BJ53,Macro_Lookup!$A$2:$A$31,0))),""))</f>
        <v/>
      </c>
      <c r="CG53" s="0" t="n">
        <v>5</v>
      </c>
      <c r="CH53" s="3" t="s">
        <v>104</v>
      </c>
      <c r="CI53" s="3" t="s">
        <v>105</v>
      </c>
    </row>
    <row r="54" customFormat="false" ht="14.25" hidden="false" customHeight="false" outlineLevel="0" collapsed="false">
      <c r="A54" s="0" t="s">
        <v>334</v>
      </c>
      <c r="B54" s="0" t="s">
        <v>335</v>
      </c>
      <c r="C54" s="0" t="s">
        <v>89</v>
      </c>
      <c r="D54" s="0" t="s">
        <v>90</v>
      </c>
      <c r="E54" s="0" t="n">
        <v>0</v>
      </c>
      <c r="F54" s="0" t="s">
        <v>91</v>
      </c>
      <c r="I54" s="0" t="n">
        <v>2020</v>
      </c>
      <c r="K54" s="0" t="s">
        <v>92</v>
      </c>
      <c r="L54" s="2" t="n">
        <v>46295</v>
      </c>
      <c r="M54" s="3" t="n">
        <f aca="false">IF(I54="","",(YEAR(L54)-I54)*12+MONTH(L54)-IF(J54="",1,J54))</f>
        <v>80</v>
      </c>
      <c r="N54" s="3" t="n">
        <f aca="false">IF(M54="","",ROUND(M54/12,2))</f>
        <v>6.67</v>
      </c>
      <c r="O54" s="3" t="s">
        <v>336</v>
      </c>
      <c r="P54" s="3" t="s">
        <v>327</v>
      </c>
      <c r="Q54" s="3" t="s">
        <v>337</v>
      </c>
      <c r="R54" s="0" t="n">
        <v>0</v>
      </c>
      <c r="S54" s="0" t="n">
        <v>1</v>
      </c>
      <c r="T54" s="0" t="n">
        <v>0</v>
      </c>
      <c r="U54" s="0" t="n">
        <v>0</v>
      </c>
      <c r="V54" s="0" t="n">
        <v>0</v>
      </c>
      <c r="W54" s="0" t="n">
        <v>0</v>
      </c>
      <c r="X54" s="3" t="s">
        <v>287</v>
      </c>
      <c r="Y54" s="0" t="n">
        <v>3</v>
      </c>
      <c r="Z54" s="0" t="n">
        <v>1</v>
      </c>
      <c r="AA54" s="0" t="n">
        <v>1</v>
      </c>
      <c r="AB54" s="3" t="s">
        <v>338</v>
      </c>
      <c r="AF54" s="3" t="n">
        <f aca="false">IF(SUMIF(Founders_Clean!$A$2:$A$159,A54,Founders_Clean!$C$2:$C$159)=0,"",SUMIF(Founders_Clean!$A$2:$A$159,A54,Founders_Clean!$C$2:$C$159))</f>
        <v>4</v>
      </c>
      <c r="AG54" s="3" t="n">
        <f aca="false">IF(AF54="","",SUMIF(Founders_Clean!$A$2:$A$159,A54,Founders_Clean!$D$2:$D$159))</f>
        <v>3</v>
      </c>
      <c r="AH54" s="3" t="n">
        <f aca="false">IF(AF54="","",SUMIF(Founders_Clean!$A$2:$A$159,A54,Founders_Clean!$E$2:$E$159))</f>
        <v>1</v>
      </c>
      <c r="AI54" s="3" t="n">
        <f aca="false">IF(AF54="","",IF((AG54+AH54)=0,"",AH54/(AG54+AH54)))</f>
        <v>0.25</v>
      </c>
      <c r="AJ54" s="3" t="n">
        <f aca="false">IF(AI54="","",IF(AH54&gt;0,1,0))</f>
        <v>1</v>
      </c>
      <c r="AK54" s="3" t="n">
        <f aca="false">IF(AI54="","",ROUND(1-(AI54^2+(1-AI54)^2),3))</f>
        <v>0.375</v>
      </c>
      <c r="AL54" s="0" t="n">
        <v>27.5</v>
      </c>
      <c r="AO54" s="0" t="n">
        <v>0</v>
      </c>
      <c r="AP54" s="0" t="n">
        <v>0</v>
      </c>
      <c r="AQ54" s="0" t="n">
        <v>1</v>
      </c>
      <c r="AR54" s="0" t="n">
        <v>10</v>
      </c>
      <c r="AS54" s="0" t="n">
        <v>10</v>
      </c>
      <c r="AX54" s="3" t="s">
        <v>101</v>
      </c>
      <c r="AY54" s="3" t="s">
        <v>102</v>
      </c>
      <c r="BA54" s="0" t="n">
        <v>0</v>
      </c>
      <c r="BB54" s="0" t="n">
        <v>0</v>
      </c>
      <c r="BC54" s="0" t="n">
        <v>0</v>
      </c>
      <c r="BF54" s="3" t="n">
        <f aca="false">IF(OR(I54="",BC54=""),"",IF(BC54=1,(BD54-I54)*12+IF(BE54="",7,BE54)-IF(J54="",1,J54),M54))</f>
        <v>80</v>
      </c>
      <c r="BG54" s="0" t="n">
        <v>1</v>
      </c>
      <c r="BH54" s="0" t="n">
        <v>5500000</v>
      </c>
      <c r="BI54" s="3" t="s">
        <v>149</v>
      </c>
      <c r="BJ54" s="0" t="n">
        <v>2023</v>
      </c>
      <c r="BK54" s="0" t="n">
        <v>1</v>
      </c>
      <c r="BL54" s="3" t="n">
        <f aca="false">COUNTIFS(Investments_Clean!$A$2:$A$150,A54,Investments_Clean!$F$2:$F$150,"Accepted")</f>
        <v>5</v>
      </c>
      <c r="BM54" s="3" t="n">
        <f aca="false">IF(BL54=0,"",IF((COUNTIFS(Investments_Clean!$A$2:$A$150,A54,Investments_Clean!$D$2:$D$150,"VC/PE",Investments_Clean!$F$2:$F$150,"Accepted"))&gt;0,1,0))</f>
        <v>1</v>
      </c>
      <c r="BN54" s="3" t="n">
        <f aca="false">IF(BL54=0,"",IF((COUNTIFS(Investments_Clean!$A$2:$A$150,A54,Investments_Clean!$D$2:$D$150,"Angel",Investments_Clean!$F$2:$F$150,"Accepted"))&gt;0,1,0))</f>
        <v>1</v>
      </c>
      <c r="BO54" s="3" t="n">
        <f aca="false">IF(BL54=0,"",IF((COUNTIFS(Investments_Clean!$A$2:$A$150,A54,Investments_Clean!$D$2:$D$150,"Accelerator",Investments_Clean!$F$2:$F$150,"Accepted"))&gt;0,1,0))</f>
        <v>1</v>
      </c>
      <c r="BP54" s="3" t="n">
        <f aca="false">IF(BL54=0,"",IF((COUNTIFS(Investments_Clean!$A$2:$A$150,A54,Investments_Clean!$D$2:$D$150,"Corporate",Investments_Clean!$F$2:$F$150,"Accepted"))&gt;0,1,0))</f>
        <v>0</v>
      </c>
      <c r="BQ54" s="3" t="n">
        <f aca="false">IF(BL54=0,"",IF((COUNTIFS(Investments_Clean!$A$2:$A$150,A54,Investments_Clean!$D$2:$D$150,"Government",Investments_Clean!$F$2:$F$150,"Accepted"))&gt;0,1,0))</f>
        <v>0</v>
      </c>
      <c r="BR54" s="3" t="n">
        <f aca="false">IF(BL54=0,"",IF((COUNTIFS(Investments_Clean!$A$2:$A$150,A54,Investments_Clean!$D$2:$D$150,"Grant/Philanthropic",Investments_Clean!$F$2:$F$150,"Accepted")+COUNTIFS(Investments_Clean!$A$2:$A$150,A54,Investments_Clean!$D$2:$D$150,"DFI/Impact",Investments_Clean!$F$2:$F$150,"Accepted"))&gt;0,1,0))</f>
        <v>0</v>
      </c>
      <c r="CA54" s="0" t="n">
        <v>0</v>
      </c>
      <c r="CC54" s="0" t="str">
        <f aca="false">IF(I54="","",IFERROR(IF(INDEX(Macro_Lookup!$B$2:$B$31,MATCH(I54,Macro_Lookup!$A$2:$A$31,0))="","",INDEX(Macro_Lookup!$B$2:$B$31,MATCH(I54,Macro_Lookup!$A$2:$A$31,0))),""))</f>
        <v/>
      </c>
      <c r="CD54" s="0" t="str">
        <f aca="false">IF(I54="","",IFERROR(IF(INDEX(Macro_Lookup!$C$2:$C$31,MATCH(I54,Macro_Lookup!$A$2:$A$31,0))="","",INDEX(Macro_Lookup!$C$2:$C$31,MATCH(I54,Macro_Lookup!$A$2:$A$31,0))),""))</f>
        <v/>
      </c>
      <c r="CE54" s="0" t="str">
        <f aca="false">IF(BJ54="","",IFERROR(IF(INDEX(Macro_Lookup!$B$2:$B$31,MATCH(BJ54,Macro_Lookup!$A$2:$A$31,0))="","",INDEX(Macro_Lookup!$B$2:$B$31,MATCH(BJ54,Macro_Lookup!$A$2:$A$31,0))),""))</f>
        <v/>
      </c>
      <c r="CF54" s="0" t="str">
        <f aca="false">IF(BJ54="","",IFERROR(IF(INDEX(Macro_Lookup!$C$2:$C$31,MATCH(BJ54,Macro_Lookup!$A$2:$A$31,0))="","",INDEX(Macro_Lookup!$C$2:$C$31,MATCH(BJ54,Macro_Lookup!$A$2:$A$31,0))),""))</f>
        <v/>
      </c>
      <c r="CG54" s="0" t="n">
        <v>4</v>
      </c>
      <c r="CH54" s="3" t="s">
        <v>104</v>
      </c>
      <c r="CI54" s="3" t="s">
        <v>105</v>
      </c>
    </row>
    <row r="55" customFormat="false" ht="14.25" hidden="false" customHeight="false" outlineLevel="0" collapsed="false">
      <c r="A55" s="0" t="s">
        <v>339</v>
      </c>
      <c r="B55" s="0" t="s">
        <v>340</v>
      </c>
      <c r="C55" s="0" t="s">
        <v>89</v>
      </c>
      <c r="D55" s="0" t="s">
        <v>90</v>
      </c>
      <c r="E55" s="0" t="n">
        <v>0</v>
      </c>
      <c r="F55" s="0" t="s">
        <v>91</v>
      </c>
      <c r="I55" s="0" t="n">
        <v>2016</v>
      </c>
      <c r="K55" s="0" t="s">
        <v>92</v>
      </c>
      <c r="L55" s="2" t="n">
        <v>46295</v>
      </c>
      <c r="M55" s="3" t="n">
        <f aca="false">IF(I55="","",(YEAR(L55)-I55)*12+MONTH(L55)-IF(J55="",1,J55))</f>
        <v>128</v>
      </c>
      <c r="N55" s="3" t="n">
        <f aca="false">IF(M55="","",ROUND(M55/12,2))</f>
        <v>10.67</v>
      </c>
      <c r="O55" s="3" t="s">
        <v>341</v>
      </c>
      <c r="P55" s="3" t="s">
        <v>327</v>
      </c>
      <c r="Q55" s="3" t="s">
        <v>342</v>
      </c>
      <c r="R55" s="0" t="n">
        <v>1</v>
      </c>
      <c r="S55" s="0" t="n">
        <v>1</v>
      </c>
      <c r="T55" s="0" t="n">
        <v>0</v>
      </c>
      <c r="U55" s="0" t="n">
        <v>0</v>
      </c>
      <c r="V55" s="0" t="n">
        <v>0</v>
      </c>
      <c r="W55" s="0" t="n">
        <v>0</v>
      </c>
      <c r="X55" s="3" t="s">
        <v>287</v>
      </c>
      <c r="Y55" s="0" t="n">
        <v>3</v>
      </c>
      <c r="Z55" s="0" t="n">
        <v>1</v>
      </c>
      <c r="AA55" s="0" t="n">
        <v>1</v>
      </c>
      <c r="AB55" s="3" t="s">
        <v>343</v>
      </c>
      <c r="AC55" s="0" t="n">
        <v>1</v>
      </c>
      <c r="AD55" s="0" t="n">
        <v>108000</v>
      </c>
      <c r="AE55" s="3" t="s">
        <v>293</v>
      </c>
      <c r="AF55" s="3" t="n">
        <f aca="false">IF(SUMIF(Founders_Clean!$A$2:$A$159,A55,Founders_Clean!$C$2:$C$159)=0,"",SUMIF(Founders_Clean!$A$2:$A$159,A55,Founders_Clean!$C$2:$C$159))</f>
        <v>1</v>
      </c>
      <c r="AG55" s="3" t="n">
        <f aca="false">IF(AF55="","",SUMIF(Founders_Clean!$A$2:$A$159,A55,Founders_Clean!$D$2:$D$159))</f>
        <v>0</v>
      </c>
      <c r="AH55" s="3" t="n">
        <f aca="false">IF(AF55="","",SUMIF(Founders_Clean!$A$2:$A$159,A55,Founders_Clean!$E$2:$E$159))</f>
        <v>1</v>
      </c>
      <c r="AI55" s="3" t="n">
        <f aca="false">IF(AF55="","",IF((AG55+AH55)=0,"",AH55/(AG55+AH55)))</f>
        <v>1</v>
      </c>
      <c r="AJ55" s="3" t="n">
        <f aca="false">IF(AI55="","",IF(AH55&gt;0,1,0))</f>
        <v>1</v>
      </c>
      <c r="AK55" s="3" t="n">
        <f aca="false">IF(AI55="","",ROUND(1-(AI55^2+(1-AI55)^2),3))</f>
        <v>0</v>
      </c>
      <c r="AL55" s="0" t="n">
        <v>50</v>
      </c>
      <c r="AM55" s="0" t="n">
        <v>2</v>
      </c>
      <c r="AN55" s="3" t="s">
        <v>98</v>
      </c>
      <c r="AO55" s="0" t="n">
        <v>0</v>
      </c>
      <c r="AP55" s="0" t="n">
        <v>0</v>
      </c>
      <c r="AQ55" s="0" t="n">
        <v>0</v>
      </c>
      <c r="AR55" s="0" t="n">
        <v>13</v>
      </c>
      <c r="AS55" s="0" t="n">
        <v>13</v>
      </c>
      <c r="AT55" s="0" t="n">
        <v>30.5</v>
      </c>
      <c r="AU55" s="3" t="s">
        <v>161</v>
      </c>
      <c r="AV55" s="3" t="s">
        <v>122</v>
      </c>
      <c r="AX55" s="3" t="s">
        <v>101</v>
      </c>
      <c r="AY55" s="3" t="s">
        <v>102</v>
      </c>
      <c r="BA55" s="0" t="n">
        <v>0</v>
      </c>
      <c r="BB55" s="0" t="n">
        <v>0</v>
      </c>
      <c r="BC55" s="0" t="n">
        <v>0</v>
      </c>
      <c r="BF55" s="3" t="n">
        <f aca="false">IF(OR(I55="",BC55=""),"",IF(BC55=1,(BD55-I55)*12+IF(BE55="",7,BE55)-IF(J55="",1,J55),M55))</f>
        <v>128</v>
      </c>
      <c r="BG55" s="0" t="n">
        <v>1</v>
      </c>
      <c r="BH55" s="0" t="n">
        <v>108000</v>
      </c>
      <c r="BI55" s="3" t="s">
        <v>103</v>
      </c>
      <c r="BJ55" s="0" t="n">
        <v>2023</v>
      </c>
      <c r="BK55" s="0" t="n">
        <v>1</v>
      </c>
      <c r="BL55" s="3" t="n">
        <f aca="false">COUNTIFS(Investments_Clean!$A$2:$A$150,A55,Investments_Clean!$F$2:$F$150,"Accepted")</f>
        <v>3</v>
      </c>
      <c r="BM55" s="3" t="n">
        <f aca="false">IF(BL55=0,"",IF((COUNTIFS(Investments_Clean!$A$2:$A$150,A55,Investments_Clean!$D$2:$D$150,"VC/PE",Investments_Clean!$F$2:$F$150,"Accepted"))&gt;0,1,0))</f>
        <v>0</v>
      </c>
      <c r="BN55" s="3" t="n">
        <f aca="false">IF(BL55=0,"",IF((COUNTIFS(Investments_Clean!$A$2:$A$150,A55,Investments_Clean!$D$2:$D$150,"Angel",Investments_Clean!$F$2:$F$150,"Accepted"))&gt;0,1,0))</f>
        <v>0</v>
      </c>
      <c r="BO55" s="3" t="n">
        <f aca="false">IF(BL55=0,"",IF((COUNTIFS(Investments_Clean!$A$2:$A$150,A55,Investments_Clean!$D$2:$D$150,"Accelerator",Investments_Clean!$F$2:$F$150,"Accepted"))&gt;0,1,0))</f>
        <v>1</v>
      </c>
      <c r="BP55" s="3" t="n">
        <f aca="false">IF(BL55=0,"",IF((COUNTIFS(Investments_Clean!$A$2:$A$150,A55,Investments_Clean!$D$2:$D$150,"Corporate",Investments_Clean!$F$2:$F$150,"Accepted"))&gt;0,1,0))</f>
        <v>0</v>
      </c>
      <c r="BQ55" s="3" t="n">
        <f aca="false">IF(BL55=0,"",IF((COUNTIFS(Investments_Clean!$A$2:$A$150,A55,Investments_Clean!$D$2:$D$150,"Government",Investments_Clean!$F$2:$F$150,"Accepted"))&gt;0,1,0))</f>
        <v>0</v>
      </c>
      <c r="BR55" s="3" t="n">
        <f aca="false">IF(BL55=0,"",IF((COUNTIFS(Investments_Clean!$A$2:$A$150,A55,Investments_Clean!$D$2:$D$150,"Grant/Philanthropic",Investments_Clean!$F$2:$F$150,"Accepted")+COUNTIFS(Investments_Clean!$A$2:$A$150,A55,Investments_Clean!$D$2:$D$150,"DFI/Impact",Investments_Clean!$F$2:$F$150,"Accepted"))&gt;0,1,0))</f>
        <v>1</v>
      </c>
      <c r="CA55" s="0" t="n">
        <v>0</v>
      </c>
      <c r="CC55" s="0" t="str">
        <f aca="false">IF(I55="","",IFERROR(IF(INDEX(Macro_Lookup!$B$2:$B$31,MATCH(I55,Macro_Lookup!$A$2:$A$31,0))="","",INDEX(Macro_Lookup!$B$2:$B$31,MATCH(I55,Macro_Lookup!$A$2:$A$31,0))),""))</f>
        <v/>
      </c>
      <c r="CD55" s="0" t="str">
        <f aca="false">IF(I55="","",IFERROR(IF(INDEX(Macro_Lookup!$C$2:$C$31,MATCH(I55,Macro_Lookup!$A$2:$A$31,0))="","",INDEX(Macro_Lookup!$C$2:$C$31,MATCH(I55,Macro_Lookup!$A$2:$A$31,0))),""))</f>
        <v/>
      </c>
      <c r="CE55" s="0" t="str">
        <f aca="false">IF(BJ55="","",IFERROR(IF(INDEX(Macro_Lookup!$B$2:$B$31,MATCH(BJ55,Macro_Lookup!$A$2:$A$31,0))="","",INDEX(Macro_Lookup!$B$2:$B$31,MATCH(BJ55,Macro_Lookup!$A$2:$A$31,0))),""))</f>
        <v/>
      </c>
      <c r="CF55" s="0" t="str">
        <f aca="false">IF(BJ55="","",IFERROR(IF(INDEX(Macro_Lookup!$C$2:$C$31,MATCH(BJ55,Macro_Lookup!$A$2:$A$31,0))="","",INDEX(Macro_Lookup!$C$2:$C$31,MATCH(BJ55,Macro_Lookup!$A$2:$A$31,0))),""))</f>
        <v/>
      </c>
      <c r="CG55" s="0" t="n">
        <v>1</v>
      </c>
      <c r="CH55" s="3" t="s">
        <v>104</v>
      </c>
      <c r="CI55" s="3" t="s">
        <v>105</v>
      </c>
    </row>
    <row r="56" customFormat="false" ht="14.25" hidden="false" customHeight="false" outlineLevel="0" collapsed="false">
      <c r="A56" s="0" t="s">
        <v>344</v>
      </c>
      <c r="B56" s="0" t="s">
        <v>345</v>
      </c>
      <c r="C56" s="0" t="s">
        <v>89</v>
      </c>
      <c r="D56" s="0" t="s">
        <v>90</v>
      </c>
      <c r="E56" s="0" t="n">
        <v>0</v>
      </c>
      <c r="F56" s="0" t="s">
        <v>91</v>
      </c>
      <c r="I56" s="0" t="n">
        <v>2015</v>
      </c>
      <c r="K56" s="0" t="s">
        <v>92</v>
      </c>
      <c r="L56" s="2" t="n">
        <v>46295</v>
      </c>
      <c r="M56" s="3" t="n">
        <f aca="false">IF(I56="","",(YEAR(L56)-I56)*12+MONTH(L56)-IF(J56="",1,J56))</f>
        <v>140</v>
      </c>
      <c r="N56" s="3" t="n">
        <f aca="false">IF(M56="","",ROUND(M56/12,2))</f>
        <v>11.67</v>
      </c>
      <c r="O56" s="3" t="s">
        <v>346</v>
      </c>
      <c r="P56" s="3" t="s">
        <v>327</v>
      </c>
      <c r="Q56" s="3" t="s">
        <v>347</v>
      </c>
      <c r="R56" s="0" t="n">
        <v>1</v>
      </c>
      <c r="S56" s="0" t="n">
        <v>1</v>
      </c>
      <c r="T56" s="0" t="n">
        <v>0</v>
      </c>
      <c r="U56" s="0" t="n">
        <v>0</v>
      </c>
      <c r="V56" s="0" t="n">
        <v>0</v>
      </c>
      <c r="W56" s="0" t="n">
        <v>0</v>
      </c>
      <c r="X56" s="3" t="s">
        <v>287</v>
      </c>
      <c r="Y56" s="0" t="n">
        <v>3</v>
      </c>
      <c r="Z56" s="0" t="n">
        <v>1</v>
      </c>
      <c r="AA56" s="0" t="n">
        <v>1</v>
      </c>
      <c r="AB56" s="3" t="s">
        <v>348</v>
      </c>
      <c r="AC56" s="0" t="n">
        <v>1</v>
      </c>
      <c r="AE56" s="3" t="s">
        <v>306</v>
      </c>
      <c r="AF56" s="3" t="n">
        <f aca="false">IF(SUMIF(Founders_Clean!$A$2:$A$159,A56,Founders_Clean!$C$2:$C$159)=0,"",SUMIF(Founders_Clean!$A$2:$A$159,A56,Founders_Clean!$C$2:$C$159))</f>
        <v>1</v>
      </c>
      <c r="AG56" s="3" t="n">
        <f aca="false">IF(AF56="","",SUMIF(Founders_Clean!$A$2:$A$159,A56,Founders_Clean!$D$2:$D$159))</f>
        <v>0</v>
      </c>
      <c r="AH56" s="3" t="n">
        <f aca="false">IF(AF56="","",SUMIF(Founders_Clean!$A$2:$A$159,A56,Founders_Clean!$E$2:$E$159))</f>
        <v>1</v>
      </c>
      <c r="AI56" s="3" t="n">
        <f aca="false">IF(AF56="","",IF((AG56+AH56)=0,"",AH56/(AG56+AH56)))</f>
        <v>1</v>
      </c>
      <c r="AJ56" s="3" t="n">
        <f aca="false">IF(AI56="","",IF(AH56&gt;0,1,0))</f>
        <v>1</v>
      </c>
      <c r="AK56" s="3" t="n">
        <f aca="false">IF(AI56="","",ROUND(1-(AI56^2+(1-AI56)^2),3))</f>
        <v>0</v>
      </c>
      <c r="AL56" s="0" t="n">
        <v>50</v>
      </c>
      <c r="AM56" s="0" t="n">
        <v>1</v>
      </c>
      <c r="AN56" s="3" t="s">
        <v>147</v>
      </c>
      <c r="AO56" s="0" t="n">
        <v>0</v>
      </c>
      <c r="AP56" s="0" t="n">
        <v>0</v>
      </c>
      <c r="AQ56" s="0" t="n">
        <v>0</v>
      </c>
      <c r="AX56" s="3" t="s">
        <v>101</v>
      </c>
      <c r="AY56" s="3" t="s">
        <v>102</v>
      </c>
      <c r="BA56" s="0" t="n">
        <v>0</v>
      </c>
      <c r="BB56" s="0" t="n">
        <v>0</v>
      </c>
      <c r="BC56" s="0" t="n">
        <v>0</v>
      </c>
      <c r="BF56" s="3" t="n">
        <f aca="false">IF(OR(I56="",BC56=""),"",IF(BC56=1,(BD56-I56)*12+IF(BE56="",7,BE56)-IF(J56="",1,J56),M56))</f>
        <v>140</v>
      </c>
      <c r="BG56" s="0" t="n">
        <v>1</v>
      </c>
      <c r="BH56" s="0" t="n">
        <v>2200000</v>
      </c>
      <c r="BI56" s="3" t="s">
        <v>103</v>
      </c>
      <c r="BJ56" s="0" t="n">
        <v>2021</v>
      </c>
      <c r="BK56" s="0" t="n">
        <v>1</v>
      </c>
      <c r="BL56" s="3" t="n">
        <f aca="false">COUNTIFS(Investments_Clean!$A$2:$A$150,A56,Investments_Clean!$F$2:$F$150,"Accepted")</f>
        <v>5</v>
      </c>
      <c r="BM56" s="3" t="n">
        <f aca="false">IF(BL56=0,"",IF((COUNTIFS(Investments_Clean!$A$2:$A$150,A56,Investments_Clean!$D$2:$D$150,"VC/PE",Investments_Clean!$F$2:$F$150,"Accepted"))&gt;0,1,0))</f>
        <v>1</v>
      </c>
      <c r="BN56" s="3" t="n">
        <f aca="false">IF(BL56=0,"",IF((COUNTIFS(Investments_Clean!$A$2:$A$150,A56,Investments_Clean!$D$2:$D$150,"Angel",Investments_Clean!$F$2:$F$150,"Accepted"))&gt;0,1,0))</f>
        <v>0</v>
      </c>
      <c r="BO56" s="3" t="n">
        <f aca="false">IF(BL56=0,"",IF((COUNTIFS(Investments_Clean!$A$2:$A$150,A56,Investments_Clean!$D$2:$D$150,"Accelerator",Investments_Clean!$F$2:$F$150,"Accepted"))&gt;0,1,0))</f>
        <v>1</v>
      </c>
      <c r="BP56" s="3" t="n">
        <f aca="false">IF(BL56=0,"",IF((COUNTIFS(Investments_Clean!$A$2:$A$150,A56,Investments_Clean!$D$2:$D$150,"Corporate",Investments_Clean!$F$2:$F$150,"Accepted"))&gt;0,1,0))</f>
        <v>0</v>
      </c>
      <c r="BQ56" s="3" t="n">
        <f aca="false">IF(BL56=0,"",IF((COUNTIFS(Investments_Clean!$A$2:$A$150,A56,Investments_Clean!$D$2:$D$150,"Government",Investments_Clean!$F$2:$F$150,"Accepted"))&gt;0,1,0))</f>
        <v>0</v>
      </c>
      <c r="BR56" s="3" t="n">
        <f aca="false">IF(BL56=0,"",IF((COUNTIFS(Investments_Clean!$A$2:$A$150,A56,Investments_Clean!$D$2:$D$150,"Grant/Philanthropic",Investments_Clean!$F$2:$F$150,"Accepted")+COUNTIFS(Investments_Clean!$A$2:$A$150,A56,Investments_Clean!$D$2:$D$150,"DFI/Impact",Investments_Clean!$F$2:$F$150,"Accepted"))&gt;0,1,0))</f>
        <v>1</v>
      </c>
      <c r="BY56" s="0" t="n">
        <v>10000000</v>
      </c>
      <c r="CA56" s="0" t="n">
        <v>1</v>
      </c>
      <c r="CC56" s="0" t="str">
        <f aca="false">IF(I56="","",IFERROR(IF(INDEX(Macro_Lookup!$B$2:$B$31,MATCH(I56,Macro_Lookup!$A$2:$A$31,0))="","",INDEX(Macro_Lookup!$B$2:$B$31,MATCH(I56,Macro_Lookup!$A$2:$A$31,0))),""))</f>
        <v/>
      </c>
      <c r="CD56" s="0" t="str">
        <f aca="false">IF(I56="","",IFERROR(IF(INDEX(Macro_Lookup!$C$2:$C$31,MATCH(I56,Macro_Lookup!$A$2:$A$31,0))="","",INDEX(Macro_Lookup!$C$2:$C$31,MATCH(I56,Macro_Lookup!$A$2:$A$31,0))),""))</f>
        <v/>
      </c>
      <c r="CE56" s="0" t="str">
        <f aca="false">IF(BJ56="","",IFERROR(IF(INDEX(Macro_Lookup!$B$2:$B$31,MATCH(BJ56,Macro_Lookup!$A$2:$A$31,0))="","",INDEX(Macro_Lookup!$B$2:$B$31,MATCH(BJ56,Macro_Lookup!$A$2:$A$31,0))),""))</f>
        <v/>
      </c>
      <c r="CF56" s="0" t="str">
        <f aca="false">IF(BJ56="","",IFERROR(IF(INDEX(Macro_Lookup!$C$2:$C$31,MATCH(BJ56,Macro_Lookup!$A$2:$A$31,0))="","",INDEX(Macro_Lookup!$C$2:$C$31,MATCH(BJ56,Macro_Lookup!$A$2:$A$31,0))),""))</f>
        <v/>
      </c>
      <c r="CG56" s="0" t="n">
        <v>3</v>
      </c>
      <c r="CH56" s="3" t="s">
        <v>104</v>
      </c>
      <c r="CI56" s="3" t="s">
        <v>105</v>
      </c>
    </row>
    <row r="57" customFormat="false" ht="14.25" hidden="false" customHeight="false" outlineLevel="0" collapsed="false">
      <c r="A57" s="0" t="s">
        <v>349</v>
      </c>
      <c r="B57" s="0" t="s">
        <v>350</v>
      </c>
      <c r="C57" s="0" t="s">
        <v>89</v>
      </c>
      <c r="D57" s="0" t="s">
        <v>90</v>
      </c>
      <c r="E57" s="0" t="n">
        <v>0</v>
      </c>
      <c r="F57" s="0" t="s">
        <v>91</v>
      </c>
      <c r="I57" s="0" t="n">
        <v>2014</v>
      </c>
      <c r="K57" s="0" t="s">
        <v>92</v>
      </c>
      <c r="L57" s="2" t="n">
        <v>46295</v>
      </c>
      <c r="M57" s="3" t="n">
        <f aca="false">IF(I57="","",(YEAR(L57)-I57)*12+MONTH(L57)-IF(J57="",1,J57))</f>
        <v>152</v>
      </c>
      <c r="N57" s="3" t="n">
        <f aca="false">IF(M57="","",ROUND(M57/12,2))</f>
        <v>12.67</v>
      </c>
      <c r="O57" s="3" t="s">
        <v>351</v>
      </c>
      <c r="P57" s="3" t="s">
        <v>327</v>
      </c>
      <c r="Q57" s="3" t="s">
        <v>352</v>
      </c>
      <c r="R57" s="0" t="n">
        <v>1</v>
      </c>
      <c r="S57" s="0" t="n">
        <v>0</v>
      </c>
      <c r="T57" s="0" t="n">
        <v>1</v>
      </c>
      <c r="U57" s="0" t="n">
        <v>0</v>
      </c>
      <c r="V57" s="0" t="n">
        <v>0</v>
      </c>
      <c r="W57" s="0" t="n">
        <v>0</v>
      </c>
      <c r="X57" s="3" t="s">
        <v>287</v>
      </c>
      <c r="Y57" s="0" t="n">
        <v>3</v>
      </c>
      <c r="Z57" s="0" t="n">
        <v>1</v>
      </c>
      <c r="AA57" s="0" t="n">
        <v>1</v>
      </c>
      <c r="AB57" s="3" t="s">
        <v>353</v>
      </c>
      <c r="AC57" s="0" t="n">
        <v>1</v>
      </c>
      <c r="AE57" s="3" t="s">
        <v>306</v>
      </c>
      <c r="AF57" s="3" t="n">
        <f aca="false">IF(SUMIF(Founders_Clean!$A$2:$A$159,A57,Founders_Clean!$C$2:$C$159)=0,"",SUMIF(Founders_Clean!$A$2:$A$159,A57,Founders_Clean!$C$2:$C$159))</f>
        <v>1</v>
      </c>
      <c r="AG57" s="3" t="n">
        <f aca="false">IF(AF57="","",SUMIF(Founders_Clean!$A$2:$A$159,A57,Founders_Clean!$D$2:$D$159))</f>
        <v>1</v>
      </c>
      <c r="AH57" s="3" t="n">
        <f aca="false">IF(AF57="","",SUMIF(Founders_Clean!$A$2:$A$159,A57,Founders_Clean!$E$2:$E$159))</f>
        <v>0</v>
      </c>
      <c r="AI57" s="3" t="n">
        <f aca="false">IF(AF57="","",IF((AG57+AH57)=0,"",AH57/(AG57+AH57)))</f>
        <v>0</v>
      </c>
      <c r="AJ57" s="3" t="n">
        <f aca="false">IF(AI57="","",IF(AH57&gt;0,1,0))</f>
        <v>0</v>
      </c>
      <c r="AK57" s="3" t="n">
        <f aca="false">IF(AI57="","",ROUND(1-(AI57^2+(1-AI57)^2),3))</f>
        <v>0</v>
      </c>
      <c r="AL57" s="0" t="n">
        <v>25</v>
      </c>
      <c r="AM57" s="0" t="n">
        <v>2</v>
      </c>
      <c r="AN57" s="3" t="s">
        <v>98</v>
      </c>
      <c r="AO57" s="0" t="n">
        <v>1</v>
      </c>
      <c r="AP57" s="0" t="n">
        <v>1</v>
      </c>
      <c r="AQ57" s="0" t="n">
        <v>1</v>
      </c>
      <c r="AR57" s="0" t="n">
        <v>6.5</v>
      </c>
      <c r="AS57" s="0" t="n">
        <v>6.5</v>
      </c>
      <c r="AT57" s="0" t="n">
        <v>6</v>
      </c>
      <c r="AU57" s="3" t="s">
        <v>155</v>
      </c>
      <c r="AV57" s="3" t="s">
        <v>122</v>
      </c>
      <c r="AX57" s="3" t="s">
        <v>101</v>
      </c>
      <c r="AY57" s="3" t="s">
        <v>102</v>
      </c>
      <c r="BA57" s="0" t="n">
        <v>0</v>
      </c>
      <c r="BB57" s="0" t="n">
        <v>0</v>
      </c>
      <c r="BC57" s="0" t="n">
        <v>0</v>
      </c>
      <c r="BF57" s="3" t="n">
        <f aca="false">IF(OR(I57="",BC57=""),"",IF(BC57=1,(BD57-I57)*12+IF(BE57="",7,BE57)-IF(J57="",1,J57),M57))</f>
        <v>152</v>
      </c>
      <c r="BG57" s="0" t="n">
        <v>1</v>
      </c>
      <c r="BI57" s="3" t="s">
        <v>109</v>
      </c>
      <c r="BK57" s="0" t="n">
        <v>1</v>
      </c>
      <c r="BL57" s="3" t="n">
        <f aca="false">COUNTIFS(Investments_Clean!$A$2:$A$150,A57,Investments_Clean!$F$2:$F$150,"Accepted")</f>
        <v>4</v>
      </c>
      <c r="BM57" s="3" t="n">
        <f aca="false">IF(BL57=0,"",IF((COUNTIFS(Investments_Clean!$A$2:$A$150,A57,Investments_Clean!$D$2:$D$150,"VC/PE",Investments_Clean!$F$2:$F$150,"Accepted"))&gt;0,1,0))</f>
        <v>0</v>
      </c>
      <c r="BN57" s="3" t="n">
        <f aca="false">IF(BL57=0,"",IF((COUNTIFS(Investments_Clean!$A$2:$A$150,A57,Investments_Clean!$D$2:$D$150,"Angel",Investments_Clean!$F$2:$F$150,"Accepted"))&gt;0,1,0))</f>
        <v>0</v>
      </c>
      <c r="BO57" s="3" t="n">
        <f aca="false">IF(BL57=0,"",IF((COUNTIFS(Investments_Clean!$A$2:$A$150,A57,Investments_Clean!$D$2:$D$150,"Accelerator",Investments_Clean!$F$2:$F$150,"Accepted"))&gt;0,1,0))</f>
        <v>0</v>
      </c>
      <c r="BP57" s="3" t="n">
        <f aca="false">IF(BL57=0,"",IF((COUNTIFS(Investments_Clean!$A$2:$A$150,A57,Investments_Clean!$D$2:$D$150,"Corporate",Investments_Clean!$F$2:$F$150,"Accepted"))&gt;0,1,0))</f>
        <v>0</v>
      </c>
      <c r="BQ57" s="3" t="n">
        <f aca="false">IF(BL57=0,"",IF((COUNTIFS(Investments_Clean!$A$2:$A$150,A57,Investments_Clean!$D$2:$D$150,"Government",Investments_Clean!$F$2:$F$150,"Accepted"))&gt;0,1,0))</f>
        <v>0</v>
      </c>
      <c r="BR57" s="3" t="n">
        <f aca="false">IF(BL57=0,"",IF((COUNTIFS(Investments_Clean!$A$2:$A$150,A57,Investments_Clean!$D$2:$D$150,"Grant/Philanthropic",Investments_Clean!$F$2:$F$150,"Accepted")+COUNTIFS(Investments_Clean!$A$2:$A$150,A57,Investments_Clean!$D$2:$D$150,"DFI/Impact",Investments_Clean!$F$2:$F$150,"Accepted"))&gt;0,1,0))</f>
        <v>1</v>
      </c>
      <c r="CA57" s="0" t="n">
        <v>0</v>
      </c>
      <c r="CC57" s="0" t="str">
        <f aca="false">IF(I57="","",IFERROR(IF(INDEX(Macro_Lookup!$B$2:$B$31,MATCH(I57,Macro_Lookup!$A$2:$A$31,0))="","",INDEX(Macro_Lookup!$B$2:$B$31,MATCH(I57,Macro_Lookup!$A$2:$A$31,0))),""))</f>
        <v/>
      </c>
      <c r="CD57" s="0" t="str">
        <f aca="false">IF(I57="","",IFERROR(IF(INDEX(Macro_Lookup!$C$2:$C$31,MATCH(I57,Macro_Lookup!$A$2:$A$31,0))="","",INDEX(Macro_Lookup!$C$2:$C$31,MATCH(I57,Macro_Lookup!$A$2:$A$31,0))),""))</f>
        <v/>
      </c>
      <c r="CE57" s="0" t="str">
        <f aca="false">IF(BJ57="","",IFERROR(IF(INDEX(Macro_Lookup!$B$2:$B$31,MATCH(BJ57,Macro_Lookup!$A$2:$A$31,0))="","",INDEX(Macro_Lookup!$B$2:$B$31,MATCH(BJ57,Macro_Lookup!$A$2:$A$31,0))),""))</f>
        <v/>
      </c>
      <c r="CF57" s="0" t="str">
        <f aca="false">IF(BJ57="","",IFERROR(IF(INDEX(Macro_Lookup!$C$2:$C$31,MATCH(BJ57,Macro_Lookup!$A$2:$A$31,0))="","",INDEX(Macro_Lookup!$C$2:$C$31,MATCH(BJ57,Macro_Lookup!$A$2:$A$31,0))),""))</f>
        <v/>
      </c>
      <c r="CG57" s="0" t="n">
        <v>1</v>
      </c>
      <c r="CH57" s="3" t="s">
        <v>104</v>
      </c>
      <c r="CI57" s="3" t="s">
        <v>105</v>
      </c>
    </row>
    <row r="58" customFormat="false" ht="14.25" hidden="false" customHeight="false" outlineLevel="0" collapsed="false">
      <c r="A58" s="0" t="s">
        <v>354</v>
      </c>
      <c r="B58" s="0" t="s">
        <v>355</v>
      </c>
      <c r="C58" s="0" t="s">
        <v>89</v>
      </c>
      <c r="D58" s="0" t="s">
        <v>90</v>
      </c>
      <c r="E58" s="0" t="n">
        <v>0</v>
      </c>
      <c r="F58" s="0" t="s">
        <v>91</v>
      </c>
      <c r="I58" s="0" t="n">
        <v>2020</v>
      </c>
      <c r="K58" s="0" t="s">
        <v>92</v>
      </c>
      <c r="L58" s="2" t="n">
        <v>46295</v>
      </c>
      <c r="M58" s="3" t="n">
        <f aca="false">IF(I58="","",(YEAR(L58)-I58)*12+MONTH(L58)-IF(J58="",1,J58))</f>
        <v>80</v>
      </c>
      <c r="N58" s="3" t="n">
        <f aca="false">IF(M58="","",ROUND(M58/12,2))</f>
        <v>6.67</v>
      </c>
      <c r="O58" s="3" t="s">
        <v>336</v>
      </c>
      <c r="P58" s="3" t="s">
        <v>327</v>
      </c>
      <c r="Q58" s="3" t="s">
        <v>356</v>
      </c>
      <c r="R58" s="0" t="n">
        <v>0</v>
      </c>
      <c r="S58" s="0" t="n">
        <v>1</v>
      </c>
      <c r="T58" s="0" t="n">
        <v>0</v>
      </c>
      <c r="U58" s="0" t="n">
        <v>0</v>
      </c>
      <c r="V58" s="0" t="n">
        <v>0</v>
      </c>
      <c r="W58" s="0" t="n">
        <v>0</v>
      </c>
      <c r="X58" s="3" t="s">
        <v>287</v>
      </c>
      <c r="Y58" s="0" t="n">
        <v>3</v>
      </c>
      <c r="Z58" s="0" t="n">
        <v>1</v>
      </c>
      <c r="AA58" s="0" t="n">
        <v>1</v>
      </c>
      <c r="AB58" s="3" t="s">
        <v>357</v>
      </c>
      <c r="AC58" s="0" t="n">
        <v>1</v>
      </c>
      <c r="AE58" s="3" t="s">
        <v>306</v>
      </c>
      <c r="AF58" s="3" t="n">
        <f aca="false">IF(SUMIF(Founders_Clean!$A$2:$A$159,A58,Founders_Clean!$C$2:$C$159)=0,"",SUMIF(Founders_Clean!$A$2:$A$159,A58,Founders_Clean!$C$2:$C$159))</f>
        <v>1</v>
      </c>
      <c r="AG58" s="3" t="n">
        <f aca="false">IF(AF58="","",SUMIF(Founders_Clean!$A$2:$A$159,A58,Founders_Clean!$D$2:$D$159))</f>
        <v>1</v>
      </c>
      <c r="AH58" s="3" t="n">
        <f aca="false">IF(AF58="","",SUMIF(Founders_Clean!$A$2:$A$159,A58,Founders_Clean!$E$2:$E$159))</f>
        <v>0</v>
      </c>
      <c r="AI58" s="3" t="n">
        <f aca="false">IF(AF58="","",IF((AG58+AH58)=0,"",AH58/(AG58+AH58)))</f>
        <v>0</v>
      </c>
      <c r="AJ58" s="3" t="n">
        <f aca="false">IF(AI58="","",IF(AH58&gt;0,1,0))</f>
        <v>0</v>
      </c>
      <c r="AK58" s="3" t="n">
        <f aca="false">IF(AI58="","",ROUND(1-(AI58^2+(1-AI58)^2),3))</f>
        <v>0</v>
      </c>
      <c r="AL58" s="0" t="n">
        <v>17.5</v>
      </c>
      <c r="AX58" s="3" t="s">
        <v>101</v>
      </c>
      <c r="AY58" s="3" t="s">
        <v>102</v>
      </c>
      <c r="AZ58" s="3" t="s">
        <v>358</v>
      </c>
      <c r="BA58" s="0" t="n">
        <v>0</v>
      </c>
      <c r="BB58" s="0" t="n">
        <v>1</v>
      </c>
      <c r="BC58" s="0" t="n">
        <v>0</v>
      </c>
      <c r="BF58" s="3" t="n">
        <f aca="false">IF(OR(I58="",BC58=""),"",IF(BC58=1,(BD58-I58)*12+IF(BE58="",7,BE58)-IF(J58="",1,J58),M58))</f>
        <v>80</v>
      </c>
      <c r="BG58" s="0" t="n">
        <v>1</v>
      </c>
      <c r="BH58" s="0" t="n">
        <v>750000</v>
      </c>
      <c r="BI58" s="3" t="s">
        <v>103</v>
      </c>
      <c r="BJ58" s="0" t="n">
        <v>2023</v>
      </c>
      <c r="BK58" s="0" t="n">
        <v>1</v>
      </c>
      <c r="BL58" s="3" t="n">
        <f aca="false">COUNTIFS(Investments_Clean!$A$2:$A$150,A58,Investments_Clean!$F$2:$F$150,"Accepted")</f>
        <v>6</v>
      </c>
      <c r="BM58" s="3" t="n">
        <f aca="false">IF(BL58=0,"",IF((COUNTIFS(Investments_Clean!$A$2:$A$150,A58,Investments_Clean!$D$2:$D$150,"VC/PE",Investments_Clean!$F$2:$F$150,"Accepted"))&gt;0,1,0))</f>
        <v>1</v>
      </c>
      <c r="BN58" s="3" t="n">
        <f aca="false">IF(BL58=0,"",IF((COUNTIFS(Investments_Clean!$A$2:$A$150,A58,Investments_Clean!$D$2:$D$150,"Angel",Investments_Clean!$F$2:$F$150,"Accepted"))&gt;0,1,0))</f>
        <v>1</v>
      </c>
      <c r="BO58" s="3" t="n">
        <f aca="false">IF(BL58=0,"",IF((COUNTIFS(Investments_Clean!$A$2:$A$150,A58,Investments_Clean!$D$2:$D$150,"Accelerator",Investments_Clean!$F$2:$F$150,"Accepted"))&gt;0,1,0))</f>
        <v>1</v>
      </c>
      <c r="BP58" s="3" t="n">
        <f aca="false">IF(BL58=0,"",IF((COUNTIFS(Investments_Clean!$A$2:$A$150,A58,Investments_Clean!$D$2:$D$150,"Corporate",Investments_Clean!$F$2:$F$150,"Accepted"))&gt;0,1,0))</f>
        <v>0</v>
      </c>
      <c r="BQ58" s="3" t="n">
        <f aca="false">IF(BL58=0,"",IF((COUNTIFS(Investments_Clean!$A$2:$A$150,A58,Investments_Clean!$D$2:$D$150,"Government",Investments_Clean!$F$2:$F$150,"Accepted"))&gt;0,1,0))</f>
        <v>1</v>
      </c>
      <c r="BR58" s="3" t="n">
        <f aca="false">IF(BL58=0,"",IF((COUNTIFS(Investments_Clean!$A$2:$A$150,A58,Investments_Clean!$D$2:$D$150,"Grant/Philanthropic",Investments_Clean!$F$2:$F$150,"Accepted")+COUNTIFS(Investments_Clean!$A$2:$A$150,A58,Investments_Clean!$D$2:$D$150,"DFI/Impact",Investments_Clean!$F$2:$F$150,"Accepted"))&gt;0,1,0))</f>
        <v>1</v>
      </c>
      <c r="CA58" s="0" t="n">
        <v>0</v>
      </c>
      <c r="CC58" s="0" t="str">
        <f aca="false">IF(I58="","",IFERROR(IF(INDEX(Macro_Lookup!$B$2:$B$31,MATCH(I58,Macro_Lookup!$A$2:$A$31,0))="","",INDEX(Macro_Lookup!$B$2:$B$31,MATCH(I58,Macro_Lookup!$A$2:$A$31,0))),""))</f>
        <v/>
      </c>
      <c r="CD58" s="0" t="str">
        <f aca="false">IF(I58="","",IFERROR(IF(INDEX(Macro_Lookup!$C$2:$C$31,MATCH(I58,Macro_Lookup!$A$2:$A$31,0))="","",INDEX(Macro_Lookup!$C$2:$C$31,MATCH(I58,Macro_Lookup!$A$2:$A$31,0))),""))</f>
        <v/>
      </c>
      <c r="CE58" s="0" t="str">
        <f aca="false">IF(BJ58="","",IFERROR(IF(INDEX(Macro_Lookup!$B$2:$B$31,MATCH(BJ58,Macro_Lookup!$A$2:$A$31,0))="","",INDEX(Macro_Lookup!$B$2:$B$31,MATCH(BJ58,Macro_Lookup!$A$2:$A$31,0))),""))</f>
        <v/>
      </c>
      <c r="CF58" s="0" t="str">
        <f aca="false">IF(BJ58="","",IFERROR(IF(INDEX(Macro_Lookup!$C$2:$C$31,MATCH(BJ58,Macro_Lookup!$A$2:$A$31,0))="","",INDEX(Macro_Lookup!$C$2:$C$31,MATCH(BJ58,Macro_Lookup!$A$2:$A$31,0))),""))</f>
        <v/>
      </c>
      <c r="CG58" s="0" t="n">
        <v>6</v>
      </c>
      <c r="CH58" s="3" t="s">
        <v>104</v>
      </c>
      <c r="CI58" s="3" t="s">
        <v>105</v>
      </c>
    </row>
    <row r="59" customFormat="false" ht="14.25" hidden="false" customHeight="false" outlineLevel="0" collapsed="false">
      <c r="A59" s="0" t="s">
        <v>359</v>
      </c>
      <c r="B59" s="0" t="s">
        <v>360</v>
      </c>
      <c r="C59" s="0" t="s">
        <v>89</v>
      </c>
      <c r="D59" s="0" t="s">
        <v>90</v>
      </c>
      <c r="E59" s="0" t="n">
        <v>0</v>
      </c>
      <c r="F59" s="0" t="s">
        <v>91</v>
      </c>
      <c r="I59" s="0" t="n">
        <v>2015</v>
      </c>
      <c r="K59" s="0" t="s">
        <v>92</v>
      </c>
      <c r="L59" s="2" t="n">
        <v>46295</v>
      </c>
      <c r="M59" s="3" t="n">
        <f aca="false">IF(I59="","",(YEAR(L59)-I59)*12+MONTH(L59)-IF(J59="",1,J59))</f>
        <v>140</v>
      </c>
      <c r="N59" s="3" t="n">
        <f aca="false">IF(M59="","",ROUND(M59/12,2))</f>
        <v>11.67</v>
      </c>
      <c r="O59" s="3" t="s">
        <v>332</v>
      </c>
      <c r="P59" s="3" t="s">
        <v>327</v>
      </c>
      <c r="Q59" s="3" t="s">
        <v>297</v>
      </c>
      <c r="R59" s="0" t="n">
        <v>0</v>
      </c>
      <c r="S59" s="0" t="n">
        <v>1</v>
      </c>
      <c r="T59" s="0" t="n">
        <v>1</v>
      </c>
      <c r="U59" s="0" t="n">
        <v>0</v>
      </c>
      <c r="V59" s="0" t="n">
        <v>0</v>
      </c>
      <c r="W59" s="0" t="n">
        <v>0</v>
      </c>
      <c r="X59" s="3" t="s">
        <v>287</v>
      </c>
      <c r="Y59" s="0" t="n">
        <v>3</v>
      </c>
      <c r="Z59" s="0" t="n">
        <v>1</v>
      </c>
      <c r="AF59" s="3" t="n">
        <f aca="false">IF(SUMIF(Founders_Clean!$A$2:$A$159,A59,Founders_Clean!$C$2:$C$159)=0,"",SUMIF(Founders_Clean!$A$2:$A$159,A59,Founders_Clean!$C$2:$C$159))</f>
        <v>1</v>
      </c>
      <c r="AG59" s="3" t="n">
        <f aca="false">IF(AF59="","",SUMIF(Founders_Clean!$A$2:$A$159,A59,Founders_Clean!$D$2:$D$159))</f>
        <v>1</v>
      </c>
      <c r="AH59" s="3" t="n">
        <f aca="false">IF(AF59="","",SUMIF(Founders_Clean!$A$2:$A$159,A59,Founders_Clean!$E$2:$E$159))</f>
        <v>0</v>
      </c>
      <c r="AI59" s="3" t="n">
        <f aca="false">IF(AF59="","",IF((AG59+AH59)=0,"",AH59/(AG59+AH59)))</f>
        <v>0</v>
      </c>
      <c r="AJ59" s="3" t="n">
        <f aca="false">IF(AI59="","",IF(AH59&gt;0,1,0))</f>
        <v>0</v>
      </c>
      <c r="AK59" s="3" t="n">
        <f aca="false">IF(AI59="","",ROUND(1-(AI59^2+(1-AI59)^2),3))</f>
        <v>0</v>
      </c>
      <c r="AL59" s="0" t="n">
        <v>15</v>
      </c>
      <c r="AO59" s="0" t="n">
        <v>1</v>
      </c>
      <c r="AP59" s="0" t="n">
        <v>1</v>
      </c>
      <c r="AQ59" s="0" t="n">
        <v>1</v>
      </c>
      <c r="AX59" s="3" t="s">
        <v>101</v>
      </c>
      <c r="AY59" s="3" t="s">
        <v>102</v>
      </c>
      <c r="AZ59" s="3" t="s">
        <v>361</v>
      </c>
      <c r="BA59" s="0" t="n">
        <v>0</v>
      </c>
      <c r="BB59" s="0" t="n">
        <v>0</v>
      </c>
      <c r="BC59" s="0" t="n">
        <v>0</v>
      </c>
      <c r="BF59" s="3" t="n">
        <f aca="false">IF(OR(I59="",BC59=""),"",IF(BC59=1,(BD59-I59)*12+IF(BE59="",7,BE59)-IF(J59="",1,J59),M59))</f>
        <v>140</v>
      </c>
      <c r="BG59" s="0" t="n">
        <v>1</v>
      </c>
      <c r="BH59" s="0" t="n">
        <v>250000</v>
      </c>
      <c r="BI59" s="3" t="s">
        <v>103</v>
      </c>
      <c r="BJ59" s="0" t="n">
        <v>2015</v>
      </c>
      <c r="BK59" s="0" t="n">
        <v>1</v>
      </c>
      <c r="BL59" s="3" t="n">
        <f aca="false">COUNTIFS(Investments_Clean!$A$2:$A$150,A59,Investments_Clean!$F$2:$F$150,"Accepted")</f>
        <v>1</v>
      </c>
      <c r="BM59" s="3" t="n">
        <f aca="false">IF(BL59=0,"",IF((COUNTIFS(Investments_Clean!$A$2:$A$150,A59,Investments_Clean!$D$2:$D$150,"VC/PE",Investments_Clean!$F$2:$F$150,"Accepted"))&gt;0,1,0))</f>
        <v>1</v>
      </c>
      <c r="BN59" s="3" t="n">
        <f aca="false">IF(BL59=0,"",IF((COUNTIFS(Investments_Clean!$A$2:$A$150,A59,Investments_Clean!$D$2:$D$150,"Angel",Investments_Clean!$F$2:$F$150,"Accepted"))&gt;0,1,0))</f>
        <v>0</v>
      </c>
      <c r="BO59" s="3" t="n">
        <f aca="false">IF(BL59=0,"",IF((COUNTIFS(Investments_Clean!$A$2:$A$150,A59,Investments_Clean!$D$2:$D$150,"Accelerator",Investments_Clean!$F$2:$F$150,"Accepted"))&gt;0,1,0))</f>
        <v>0</v>
      </c>
      <c r="BP59" s="3" t="n">
        <f aca="false">IF(BL59=0,"",IF((COUNTIFS(Investments_Clean!$A$2:$A$150,A59,Investments_Clean!$D$2:$D$150,"Corporate",Investments_Clean!$F$2:$F$150,"Accepted"))&gt;0,1,0))</f>
        <v>0</v>
      </c>
      <c r="BQ59" s="3" t="n">
        <f aca="false">IF(BL59=0,"",IF((COUNTIFS(Investments_Clean!$A$2:$A$150,A59,Investments_Clean!$D$2:$D$150,"Government",Investments_Clean!$F$2:$F$150,"Accepted"))&gt;0,1,0))</f>
        <v>0</v>
      </c>
      <c r="BR59" s="3" t="n">
        <f aca="false">IF(BL59=0,"",IF((COUNTIFS(Investments_Clean!$A$2:$A$150,A59,Investments_Clean!$D$2:$D$150,"Grant/Philanthropic",Investments_Clean!$F$2:$F$150,"Accepted")+COUNTIFS(Investments_Clean!$A$2:$A$150,A59,Investments_Clean!$D$2:$D$150,"DFI/Impact",Investments_Clean!$F$2:$F$150,"Accepted"))&gt;0,1,0))</f>
        <v>0</v>
      </c>
      <c r="CA59" s="0" t="n">
        <v>0</v>
      </c>
      <c r="CC59" s="0" t="str">
        <f aca="false">IF(I59="","",IFERROR(IF(INDEX(Macro_Lookup!$B$2:$B$31,MATCH(I59,Macro_Lookup!$A$2:$A$31,0))="","",INDEX(Macro_Lookup!$B$2:$B$31,MATCH(I59,Macro_Lookup!$A$2:$A$31,0))),""))</f>
        <v/>
      </c>
      <c r="CD59" s="0" t="str">
        <f aca="false">IF(I59="","",IFERROR(IF(INDEX(Macro_Lookup!$C$2:$C$31,MATCH(I59,Macro_Lookup!$A$2:$A$31,0))="","",INDEX(Macro_Lookup!$C$2:$C$31,MATCH(I59,Macro_Lookup!$A$2:$A$31,0))),""))</f>
        <v/>
      </c>
      <c r="CE59" s="0" t="str">
        <f aca="false">IF(BJ59="","",IFERROR(IF(INDEX(Macro_Lookup!$B$2:$B$31,MATCH(BJ59,Macro_Lookup!$A$2:$A$31,0))="","",INDEX(Macro_Lookup!$B$2:$B$31,MATCH(BJ59,Macro_Lookup!$A$2:$A$31,0))),""))</f>
        <v/>
      </c>
      <c r="CF59" s="0" t="str">
        <f aca="false">IF(BJ59="","",IFERROR(IF(INDEX(Macro_Lookup!$C$2:$C$31,MATCH(BJ59,Macro_Lookup!$A$2:$A$31,0))="","",INDEX(Macro_Lookup!$C$2:$C$31,MATCH(BJ59,Macro_Lookup!$A$2:$A$31,0))),""))</f>
        <v/>
      </c>
      <c r="CG59" s="0" t="n">
        <v>6</v>
      </c>
      <c r="CH59" s="3" t="s">
        <v>104</v>
      </c>
      <c r="CI59" s="3" t="s">
        <v>105</v>
      </c>
    </row>
    <row r="60" customFormat="false" ht="14.25" hidden="false" customHeight="false" outlineLevel="0" collapsed="false">
      <c r="A60" s="0" t="s">
        <v>362</v>
      </c>
      <c r="B60" s="0" t="s">
        <v>363</v>
      </c>
      <c r="C60" s="0" t="s">
        <v>89</v>
      </c>
      <c r="D60" s="0" t="s">
        <v>90</v>
      </c>
      <c r="E60" s="0" t="n">
        <v>0</v>
      </c>
      <c r="F60" s="0" t="s">
        <v>91</v>
      </c>
      <c r="I60" s="0" t="n">
        <v>2017</v>
      </c>
      <c r="K60" s="0" t="s">
        <v>92</v>
      </c>
      <c r="L60" s="2" t="n">
        <v>46295</v>
      </c>
      <c r="M60" s="3" t="n">
        <f aca="false">IF(I60="","",(YEAR(L60)-I60)*12+MONTH(L60)-IF(J60="",1,J60))</f>
        <v>116</v>
      </c>
      <c r="N60" s="3" t="n">
        <f aca="false">IF(M60="","",ROUND(M60/12,2))</f>
        <v>9.67</v>
      </c>
      <c r="O60" s="3" t="s">
        <v>332</v>
      </c>
      <c r="P60" s="3" t="s">
        <v>327</v>
      </c>
      <c r="Q60" s="3" t="s">
        <v>286</v>
      </c>
      <c r="R60" s="0" t="n">
        <v>1</v>
      </c>
      <c r="S60" s="0" t="n">
        <v>1</v>
      </c>
      <c r="T60" s="0" t="n">
        <v>0</v>
      </c>
      <c r="U60" s="0" t="n">
        <v>0</v>
      </c>
      <c r="V60" s="0" t="n">
        <v>0</v>
      </c>
      <c r="W60" s="0" t="n">
        <v>0</v>
      </c>
      <c r="X60" s="3" t="s">
        <v>287</v>
      </c>
      <c r="Y60" s="0" t="n">
        <v>3</v>
      </c>
      <c r="Z60" s="0" t="n">
        <v>1</v>
      </c>
      <c r="AA60" s="0" t="n">
        <v>1</v>
      </c>
      <c r="AB60" s="3" t="s">
        <v>364</v>
      </c>
      <c r="AF60" s="3" t="n">
        <f aca="false">IF(SUMIF(Founders_Clean!$A$2:$A$159,A60,Founders_Clean!$C$2:$C$159)=0,"",SUMIF(Founders_Clean!$A$2:$A$159,A60,Founders_Clean!$C$2:$C$159))</f>
        <v>2</v>
      </c>
      <c r="AG60" s="3" t="n">
        <f aca="false">IF(AF60="","",SUMIF(Founders_Clean!$A$2:$A$159,A60,Founders_Clean!$D$2:$D$159))</f>
        <v>2</v>
      </c>
      <c r="AH60" s="3" t="n">
        <f aca="false">IF(AF60="","",SUMIF(Founders_Clean!$A$2:$A$159,A60,Founders_Clean!$E$2:$E$159))</f>
        <v>0</v>
      </c>
      <c r="AI60" s="3" t="n">
        <f aca="false">IF(AF60="","",IF((AG60+AH60)=0,"",AH60/(AG60+AH60)))</f>
        <v>0</v>
      </c>
      <c r="AJ60" s="3" t="n">
        <f aca="false">IF(AI60="","",IF(AH60&gt;0,1,0))</f>
        <v>0</v>
      </c>
      <c r="AK60" s="3" t="n">
        <f aca="false">IF(AI60="","",ROUND(1-(AI60^2+(1-AI60)^2),3))</f>
        <v>0</v>
      </c>
      <c r="AL60" s="0" t="n">
        <v>15</v>
      </c>
      <c r="AX60" s="3" t="s">
        <v>101</v>
      </c>
      <c r="AY60" s="3" t="s">
        <v>102</v>
      </c>
      <c r="BA60" s="0" t="n">
        <v>0</v>
      </c>
      <c r="BB60" s="0" t="n">
        <v>0</v>
      </c>
      <c r="BC60" s="0" t="n">
        <v>0</v>
      </c>
      <c r="BF60" s="3" t="n">
        <f aca="false">IF(OR(I60="",BC60=""),"",IF(BC60=1,(BD60-I60)*12+IF(BE60="",7,BE60)-IF(J60="",1,J60),M60))</f>
        <v>116</v>
      </c>
      <c r="BG60" s="0" t="n">
        <v>1</v>
      </c>
      <c r="BH60" s="0" t="n">
        <v>500000</v>
      </c>
      <c r="BI60" s="3" t="s">
        <v>103</v>
      </c>
      <c r="BJ60" s="0" t="n">
        <v>2022</v>
      </c>
      <c r="BK60" s="0" t="n">
        <v>1</v>
      </c>
      <c r="BL60" s="3" t="n">
        <f aca="false">COUNTIFS(Investments_Clean!$A$2:$A$150,A60,Investments_Clean!$F$2:$F$150,"Accepted")</f>
        <v>4</v>
      </c>
      <c r="BM60" s="3" t="n">
        <f aca="false">IF(BL60=0,"",IF((COUNTIFS(Investments_Clean!$A$2:$A$150,A60,Investments_Clean!$D$2:$D$150,"VC/PE",Investments_Clean!$F$2:$F$150,"Accepted"))&gt;0,1,0))</f>
        <v>1</v>
      </c>
      <c r="BN60" s="3" t="n">
        <f aca="false">IF(BL60=0,"",IF((COUNTIFS(Investments_Clean!$A$2:$A$150,A60,Investments_Clean!$D$2:$D$150,"Angel",Investments_Clean!$F$2:$F$150,"Accepted"))&gt;0,1,0))</f>
        <v>1</v>
      </c>
      <c r="BO60" s="3" t="n">
        <f aca="false">IF(BL60=0,"",IF((COUNTIFS(Investments_Clean!$A$2:$A$150,A60,Investments_Clean!$D$2:$D$150,"Accelerator",Investments_Clean!$F$2:$F$150,"Accepted"))&gt;0,1,0))</f>
        <v>1</v>
      </c>
      <c r="BP60" s="3" t="n">
        <f aca="false">IF(BL60=0,"",IF((COUNTIFS(Investments_Clean!$A$2:$A$150,A60,Investments_Clean!$D$2:$D$150,"Corporate",Investments_Clean!$F$2:$F$150,"Accepted"))&gt;0,1,0))</f>
        <v>0</v>
      </c>
      <c r="BQ60" s="3" t="n">
        <f aca="false">IF(BL60=0,"",IF((COUNTIFS(Investments_Clean!$A$2:$A$150,A60,Investments_Clean!$D$2:$D$150,"Government",Investments_Clean!$F$2:$F$150,"Accepted"))&gt;0,1,0))</f>
        <v>0</v>
      </c>
      <c r="BR60" s="3" t="n">
        <f aca="false">IF(BL60=0,"",IF((COUNTIFS(Investments_Clean!$A$2:$A$150,A60,Investments_Clean!$D$2:$D$150,"Grant/Philanthropic",Investments_Clean!$F$2:$F$150,"Accepted")+COUNTIFS(Investments_Clean!$A$2:$A$150,A60,Investments_Clean!$D$2:$D$150,"DFI/Impact",Investments_Clean!$F$2:$F$150,"Accepted"))&gt;0,1,0))</f>
        <v>0</v>
      </c>
      <c r="CA60" s="0" t="n">
        <v>0</v>
      </c>
      <c r="CC60" s="0" t="str">
        <f aca="false">IF(I60="","",IFERROR(IF(INDEX(Macro_Lookup!$B$2:$B$31,MATCH(I60,Macro_Lookup!$A$2:$A$31,0))="","",INDEX(Macro_Lookup!$B$2:$B$31,MATCH(I60,Macro_Lookup!$A$2:$A$31,0))),""))</f>
        <v/>
      </c>
      <c r="CD60" s="0" t="str">
        <f aca="false">IF(I60="","",IFERROR(IF(INDEX(Macro_Lookup!$C$2:$C$31,MATCH(I60,Macro_Lookup!$A$2:$A$31,0))="","",INDEX(Macro_Lookup!$C$2:$C$31,MATCH(I60,Macro_Lookup!$A$2:$A$31,0))),""))</f>
        <v/>
      </c>
      <c r="CE60" s="0" t="str">
        <f aca="false">IF(BJ60="","",IFERROR(IF(INDEX(Macro_Lookup!$B$2:$B$31,MATCH(BJ60,Macro_Lookup!$A$2:$A$31,0))="","",INDEX(Macro_Lookup!$B$2:$B$31,MATCH(BJ60,Macro_Lookup!$A$2:$A$31,0))),""))</f>
        <v/>
      </c>
      <c r="CF60" s="0" t="str">
        <f aca="false">IF(BJ60="","",IFERROR(IF(INDEX(Macro_Lookup!$C$2:$C$31,MATCH(BJ60,Macro_Lookup!$A$2:$A$31,0))="","",INDEX(Macro_Lookup!$C$2:$C$31,MATCH(BJ60,Macro_Lookup!$A$2:$A$31,0))),""))</f>
        <v/>
      </c>
      <c r="CG60" s="0" t="n">
        <v>7</v>
      </c>
      <c r="CH60" s="3" t="s">
        <v>104</v>
      </c>
      <c r="CI60" s="3" t="s">
        <v>105</v>
      </c>
    </row>
    <row r="61" customFormat="false" ht="14.25" hidden="false" customHeight="false" outlineLevel="0" collapsed="false">
      <c r="A61" s="0" t="s">
        <v>365</v>
      </c>
      <c r="B61" s="0" t="s">
        <v>366</v>
      </c>
      <c r="C61" s="0" t="s">
        <v>89</v>
      </c>
      <c r="D61" s="0" t="s">
        <v>90</v>
      </c>
      <c r="E61" s="0" t="n">
        <v>0</v>
      </c>
      <c r="F61" s="0" t="s">
        <v>91</v>
      </c>
      <c r="I61" s="0" t="n">
        <v>2018</v>
      </c>
      <c r="K61" s="0" t="s">
        <v>92</v>
      </c>
      <c r="L61" s="2" t="n">
        <v>46295</v>
      </c>
      <c r="M61" s="3" t="n">
        <f aca="false">IF(I61="","",(YEAR(L61)-I61)*12+MONTH(L61)-IF(J61="",1,J61))</f>
        <v>104</v>
      </c>
      <c r="N61" s="3" t="n">
        <f aca="false">IF(M61="","",ROUND(M61/12,2))</f>
        <v>8.67</v>
      </c>
      <c r="O61" s="3" t="s">
        <v>332</v>
      </c>
      <c r="P61" s="3" t="s">
        <v>327</v>
      </c>
      <c r="Q61" s="3" t="s">
        <v>286</v>
      </c>
      <c r="R61" s="0" t="n">
        <v>1</v>
      </c>
      <c r="S61" s="0" t="n">
        <v>1</v>
      </c>
      <c r="T61" s="0" t="n">
        <v>0</v>
      </c>
      <c r="U61" s="0" t="n">
        <v>0</v>
      </c>
      <c r="V61" s="0" t="n">
        <v>0</v>
      </c>
      <c r="W61" s="0" t="n">
        <v>0</v>
      </c>
      <c r="X61" s="3" t="s">
        <v>287</v>
      </c>
      <c r="Y61" s="0" t="n">
        <v>3</v>
      </c>
      <c r="Z61" s="0" t="n">
        <v>1</v>
      </c>
      <c r="AF61" s="0" t="str">
        <f aca="false">IF(SUMIF(Founders_Clean!$A$2:$A$159,A61,Founders_Clean!$C$2:$C$159)=0,"",SUMIF(Founders_Clean!$A$2:$A$159,A61,Founders_Clean!$C$2:$C$159))</f>
        <v/>
      </c>
      <c r="AG61" s="0" t="str">
        <f aca="false">IF(AF61="","",SUMIF(Founders_Clean!$A$2:$A$159,A61,Founders_Clean!$D$2:$D$159))</f>
        <v/>
      </c>
      <c r="AH61" s="0" t="str">
        <f aca="false">IF(AF61="","",SUMIF(Founders_Clean!$A$2:$A$159,A61,Founders_Clean!$E$2:$E$159))</f>
        <v/>
      </c>
      <c r="AI61" s="0" t="str">
        <f aca="false">IF(AF61="","",IF((AG61+AH61)=0,"",AH61/(AG61+AH61)))</f>
        <v/>
      </c>
      <c r="AJ61" s="0" t="str">
        <f aca="false">IF(AI61="","",IF(AH61&gt;0,1,0))</f>
        <v/>
      </c>
      <c r="AK61" s="0" t="str">
        <f aca="false">IF(AI61="","",ROUND(1-(AI61^2+(1-AI61)^2),3))</f>
        <v/>
      </c>
      <c r="AL61" s="0" t="n">
        <v>10</v>
      </c>
      <c r="AX61" s="3" t="s">
        <v>101</v>
      </c>
      <c r="AY61" s="3" t="s">
        <v>102</v>
      </c>
      <c r="BA61" s="0" t="n">
        <v>0</v>
      </c>
      <c r="BB61" s="0" t="n">
        <v>0</v>
      </c>
      <c r="BC61" s="0" t="n">
        <v>0</v>
      </c>
      <c r="BF61" s="3" t="n">
        <f aca="false">IF(OR(I61="",BC61=""),"",IF(BC61=1,(BD61-I61)*12+IF(BE61="",7,BE61)-IF(J61="",1,J61),M61))</f>
        <v>104</v>
      </c>
      <c r="BL61" s="3" t="n">
        <f aca="false">COUNTIFS(Investments_Clean!$A$2:$A$150,A61,Investments_Clean!$F$2:$F$150,"Accepted")</f>
        <v>0</v>
      </c>
      <c r="BM61" s="0" t="str">
        <f aca="false">IF(BL61=0,"",IF((COUNTIFS(Investments_Clean!$A$2:$A$150,A61,Investments_Clean!$D$2:$D$150,"VC/PE",Investments_Clean!$F$2:$F$150,"Accepted"))&gt;0,1,0))</f>
        <v/>
      </c>
      <c r="BN61" s="0" t="str">
        <f aca="false">IF(BL61=0,"",IF((COUNTIFS(Investments_Clean!$A$2:$A$150,A61,Investments_Clean!$D$2:$D$150,"Angel",Investments_Clean!$F$2:$F$150,"Accepted"))&gt;0,1,0))</f>
        <v/>
      </c>
      <c r="BO61" s="0" t="str">
        <f aca="false">IF(BL61=0,"",IF((COUNTIFS(Investments_Clean!$A$2:$A$150,A61,Investments_Clean!$D$2:$D$150,"Accelerator",Investments_Clean!$F$2:$F$150,"Accepted"))&gt;0,1,0))</f>
        <v/>
      </c>
      <c r="BP61" s="0" t="str">
        <f aca="false">IF(BL61=0,"",IF((COUNTIFS(Investments_Clean!$A$2:$A$150,A61,Investments_Clean!$D$2:$D$150,"Corporate",Investments_Clean!$F$2:$F$150,"Accepted"))&gt;0,1,0))</f>
        <v/>
      </c>
      <c r="BQ61" s="0" t="str">
        <f aca="false">IF(BL61=0,"",IF((COUNTIFS(Investments_Clean!$A$2:$A$150,A61,Investments_Clean!$D$2:$D$150,"Government",Investments_Clean!$F$2:$F$150,"Accepted"))&gt;0,1,0))</f>
        <v/>
      </c>
      <c r="BR61" s="0" t="str">
        <f aca="false">IF(BL61=0,"",IF((COUNTIFS(Investments_Clean!$A$2:$A$150,A61,Investments_Clean!$D$2:$D$150,"Grant/Philanthropic",Investments_Clean!$F$2:$F$150,"Accepted")+COUNTIFS(Investments_Clean!$A$2:$A$150,A61,Investments_Clean!$D$2:$D$150,"DFI/Impact",Investments_Clean!$F$2:$F$150,"Accepted"))&gt;0,1,0))</f>
        <v/>
      </c>
      <c r="CA61" s="0" t="n">
        <v>0</v>
      </c>
      <c r="CC61" s="0" t="str">
        <f aca="false">IF(I61="","",IFERROR(IF(INDEX(Macro_Lookup!$B$2:$B$31,MATCH(I61,Macro_Lookup!$A$2:$A$31,0))="","",INDEX(Macro_Lookup!$B$2:$B$31,MATCH(I61,Macro_Lookup!$A$2:$A$31,0))),""))</f>
        <v/>
      </c>
      <c r="CD61" s="0" t="str">
        <f aca="false">IF(I61="","",IFERROR(IF(INDEX(Macro_Lookup!$C$2:$C$31,MATCH(I61,Macro_Lookup!$A$2:$A$31,0))="","",INDEX(Macro_Lookup!$C$2:$C$31,MATCH(I61,Macro_Lookup!$A$2:$A$31,0))),""))</f>
        <v/>
      </c>
      <c r="CE61" s="0" t="str">
        <f aca="false">IF(BJ61="","",IFERROR(IF(INDEX(Macro_Lookup!$B$2:$B$31,MATCH(BJ61,Macro_Lookup!$A$2:$A$31,0))="","",INDEX(Macro_Lookup!$B$2:$B$31,MATCH(BJ61,Macro_Lookup!$A$2:$A$31,0))),""))</f>
        <v/>
      </c>
      <c r="CF61" s="0" t="str">
        <f aca="false">IF(BJ61="","",IFERROR(IF(INDEX(Macro_Lookup!$C$2:$C$31,MATCH(BJ61,Macro_Lookup!$A$2:$A$31,0))="","",INDEX(Macro_Lookup!$C$2:$C$31,MATCH(BJ61,Macro_Lookup!$A$2:$A$31,0))),""))</f>
        <v/>
      </c>
      <c r="CG61" s="0" t="n">
        <v>8</v>
      </c>
      <c r="CH61" s="3" t="s">
        <v>104</v>
      </c>
      <c r="CI61" s="3" t="s">
        <v>105</v>
      </c>
    </row>
    <row r="62" customFormat="false" ht="14.25" hidden="false" customHeight="false" outlineLevel="0" collapsed="false">
      <c r="A62" s="0" t="s">
        <v>367</v>
      </c>
      <c r="B62" s="0" t="s">
        <v>368</v>
      </c>
      <c r="C62" s="0" t="s">
        <v>89</v>
      </c>
      <c r="D62" s="0" t="s">
        <v>90</v>
      </c>
      <c r="E62" s="0" t="n">
        <v>0</v>
      </c>
      <c r="F62" s="0" t="s">
        <v>91</v>
      </c>
      <c r="I62" s="0" t="n">
        <v>2024</v>
      </c>
      <c r="J62" s="0" t="n">
        <v>2</v>
      </c>
      <c r="K62" s="0" t="s">
        <v>133</v>
      </c>
      <c r="L62" s="2" t="n">
        <v>46295</v>
      </c>
      <c r="M62" s="3" t="n">
        <f aca="false">IF(I62="","",(YEAR(L62)-I62)*12+MONTH(L62)-IF(J62="",1,J62))</f>
        <v>31</v>
      </c>
      <c r="N62" s="3" t="n">
        <f aca="false">IF(M62="","",ROUND(M62/12,2))</f>
        <v>2.58</v>
      </c>
      <c r="O62" s="3" t="s">
        <v>369</v>
      </c>
      <c r="P62" s="3" t="s">
        <v>327</v>
      </c>
      <c r="Q62" s="3" t="s">
        <v>370</v>
      </c>
      <c r="R62" s="0" t="n">
        <v>0</v>
      </c>
      <c r="S62" s="0" t="n">
        <v>1</v>
      </c>
      <c r="T62" s="0" t="n">
        <v>1</v>
      </c>
      <c r="U62" s="0" t="n">
        <v>0</v>
      </c>
      <c r="V62" s="0" t="n">
        <v>0</v>
      </c>
      <c r="W62" s="0" t="n">
        <v>0</v>
      </c>
      <c r="X62" s="3" t="s">
        <v>371</v>
      </c>
      <c r="Y62" s="0" t="n">
        <v>2</v>
      </c>
      <c r="Z62" s="0" t="n">
        <v>1</v>
      </c>
      <c r="AA62" s="0" t="n">
        <v>1</v>
      </c>
      <c r="AB62" s="3" t="s">
        <v>372</v>
      </c>
      <c r="AF62" s="3" t="n">
        <f aca="false">IF(SUMIF(Founders_Clean!$A$2:$A$159,A62,Founders_Clean!$C$2:$C$159)=0,"",SUMIF(Founders_Clean!$A$2:$A$159,A62,Founders_Clean!$C$2:$C$159))</f>
        <v>1</v>
      </c>
      <c r="AG62" s="3" t="n">
        <f aca="false">IF(AF62="","",SUMIF(Founders_Clean!$A$2:$A$159,A62,Founders_Clean!$D$2:$D$159))</f>
        <v>0</v>
      </c>
      <c r="AH62" s="3" t="n">
        <f aca="false">IF(AF62="","",SUMIF(Founders_Clean!$A$2:$A$159,A62,Founders_Clean!$E$2:$E$159))</f>
        <v>1</v>
      </c>
      <c r="AI62" s="3" t="n">
        <f aca="false">IF(AF62="","",IF((AG62+AH62)=0,"",AH62/(AG62+AH62)))</f>
        <v>1</v>
      </c>
      <c r="AJ62" s="3" t="n">
        <f aca="false">IF(AI62="","",IF(AH62&gt;0,1,0))</f>
        <v>1</v>
      </c>
      <c r="AK62" s="3" t="n">
        <f aca="false">IF(AI62="","",ROUND(1-(AI62^2+(1-AI62)^2),3))</f>
        <v>0</v>
      </c>
      <c r="AM62" s="0" t="n">
        <v>1</v>
      </c>
      <c r="AN62" s="3" t="s">
        <v>147</v>
      </c>
      <c r="AO62" s="0" t="n">
        <v>1</v>
      </c>
      <c r="AP62" s="0" t="n">
        <v>1</v>
      </c>
      <c r="AQ62" s="0" t="n">
        <v>1</v>
      </c>
      <c r="AR62" s="0" t="n">
        <v>7</v>
      </c>
      <c r="AS62" s="0" t="n">
        <v>7</v>
      </c>
      <c r="AX62" s="3" t="s">
        <v>142</v>
      </c>
      <c r="AY62" s="3" t="s">
        <v>102</v>
      </c>
      <c r="BA62" s="0" t="n">
        <v>0</v>
      </c>
      <c r="BB62" s="0" t="n">
        <v>0</v>
      </c>
      <c r="BC62" s="0" t="n">
        <v>1</v>
      </c>
      <c r="BD62" s="0" t="n">
        <v>2026</v>
      </c>
      <c r="BF62" s="3" t="n">
        <f aca="false">IF(OR(I62="",BC62=""),"",IF(BC62=1,(BD62-I62)*12+IF(BE62="",7,BE62)-IF(J62="",1,J62),M62))</f>
        <v>29</v>
      </c>
      <c r="BG62" s="0" t="n">
        <v>1</v>
      </c>
      <c r="BH62" s="0" t="n">
        <v>270000</v>
      </c>
      <c r="BI62" s="3" t="s">
        <v>103</v>
      </c>
      <c r="BK62" s="0" t="n">
        <v>1</v>
      </c>
      <c r="BL62" s="3" t="n">
        <f aca="false">COUNTIFS(Investments_Clean!$A$2:$A$150,A62,Investments_Clean!$F$2:$F$150,"Accepted")</f>
        <v>0</v>
      </c>
      <c r="BM62" s="0" t="str">
        <f aca="false">IF(BL62=0,"",IF((COUNTIFS(Investments_Clean!$A$2:$A$150,A62,Investments_Clean!$D$2:$D$150,"VC/PE",Investments_Clean!$F$2:$F$150,"Accepted"))&gt;0,1,0))</f>
        <v/>
      </c>
      <c r="BN62" s="0" t="str">
        <f aca="false">IF(BL62=0,"",IF((COUNTIFS(Investments_Clean!$A$2:$A$150,A62,Investments_Clean!$D$2:$D$150,"Angel",Investments_Clean!$F$2:$F$150,"Accepted"))&gt;0,1,0))</f>
        <v/>
      </c>
      <c r="BO62" s="0" t="str">
        <f aca="false">IF(BL62=0,"",IF((COUNTIFS(Investments_Clean!$A$2:$A$150,A62,Investments_Clean!$D$2:$D$150,"Accelerator",Investments_Clean!$F$2:$F$150,"Accepted"))&gt;0,1,0))</f>
        <v/>
      </c>
      <c r="BP62" s="0" t="str">
        <f aca="false">IF(BL62=0,"",IF((COUNTIFS(Investments_Clean!$A$2:$A$150,A62,Investments_Clean!$D$2:$D$150,"Corporate",Investments_Clean!$F$2:$F$150,"Accepted"))&gt;0,1,0))</f>
        <v/>
      </c>
      <c r="BQ62" s="0" t="str">
        <f aca="false">IF(BL62=0,"",IF((COUNTIFS(Investments_Clean!$A$2:$A$150,A62,Investments_Clean!$D$2:$D$150,"Government",Investments_Clean!$F$2:$F$150,"Accepted"))&gt;0,1,0))</f>
        <v/>
      </c>
      <c r="BR62" s="0" t="str">
        <f aca="false">IF(BL62=0,"",IF((COUNTIFS(Investments_Clean!$A$2:$A$150,A62,Investments_Clean!$D$2:$D$150,"Grant/Philanthropic",Investments_Clean!$F$2:$F$150,"Accepted")+COUNTIFS(Investments_Clean!$A$2:$A$150,A62,Investments_Clean!$D$2:$D$150,"DFI/Impact",Investments_Clean!$F$2:$F$150,"Accepted"))&gt;0,1,0))</f>
        <v/>
      </c>
      <c r="BT62" s="0" t="n">
        <v>59</v>
      </c>
      <c r="BV62" s="0" t="n">
        <v>2500</v>
      </c>
      <c r="BW62" s="0" t="n">
        <v>7.5</v>
      </c>
      <c r="BX62" s="0" t="n">
        <v>20.8</v>
      </c>
      <c r="BY62" s="0" t="n">
        <v>100</v>
      </c>
      <c r="CA62" s="0" t="n">
        <v>4</v>
      </c>
      <c r="CB62" s="0" t="n">
        <v>26.8</v>
      </c>
      <c r="CC62" s="0" t="str">
        <f aca="false">IF(I62="","",IFERROR(IF(INDEX(Macro_Lookup!$B$2:$B$31,MATCH(I62,Macro_Lookup!$A$2:$A$31,0))="","",INDEX(Macro_Lookup!$B$2:$B$31,MATCH(I62,Macro_Lookup!$A$2:$A$31,0))),""))</f>
        <v/>
      </c>
      <c r="CD62" s="0" t="str">
        <f aca="false">IF(I62="","",IFERROR(IF(INDEX(Macro_Lookup!$C$2:$C$31,MATCH(I62,Macro_Lookup!$A$2:$A$31,0))="","",INDEX(Macro_Lookup!$C$2:$C$31,MATCH(I62,Macro_Lookup!$A$2:$A$31,0))),""))</f>
        <v/>
      </c>
      <c r="CE62" s="0" t="str">
        <f aca="false">IF(BJ62="","",IFERROR(IF(INDEX(Macro_Lookup!$B$2:$B$31,MATCH(BJ62,Macro_Lookup!$A$2:$A$31,0))="","",INDEX(Macro_Lookup!$B$2:$B$31,MATCH(BJ62,Macro_Lookup!$A$2:$A$31,0))),""))</f>
        <v/>
      </c>
      <c r="CF62" s="0" t="str">
        <f aca="false">IF(BJ62="","",IFERROR(IF(INDEX(Macro_Lookup!$C$2:$C$31,MATCH(BJ62,Macro_Lookup!$A$2:$A$31,0))="","",INDEX(Macro_Lookup!$C$2:$C$31,MATCH(BJ62,Macro_Lookup!$A$2:$A$31,0))),""))</f>
        <v/>
      </c>
      <c r="CG62" s="0" t="n">
        <v>2</v>
      </c>
      <c r="CH62" s="3" t="s">
        <v>104</v>
      </c>
      <c r="CI62" s="3" t="s">
        <v>105</v>
      </c>
    </row>
    <row r="63" customFormat="false" ht="14.25" hidden="false" customHeight="false" outlineLevel="0" collapsed="false">
      <c r="A63" s="0" t="s">
        <v>373</v>
      </c>
      <c r="B63" s="0" t="s">
        <v>374</v>
      </c>
      <c r="C63" s="0" t="s">
        <v>89</v>
      </c>
      <c r="D63" s="0" t="s">
        <v>90</v>
      </c>
      <c r="E63" s="0" t="n">
        <v>0</v>
      </c>
      <c r="F63" s="0" t="s">
        <v>91</v>
      </c>
      <c r="I63" s="0" t="n">
        <v>2023</v>
      </c>
      <c r="J63" s="0" t="n">
        <v>7</v>
      </c>
      <c r="K63" s="0" t="s">
        <v>133</v>
      </c>
      <c r="L63" s="2" t="n">
        <v>46295</v>
      </c>
      <c r="M63" s="3" t="n">
        <f aca="false">IF(I63="","",(YEAR(L63)-I63)*12+MONTH(L63)-IF(J63="",1,J63))</f>
        <v>38</v>
      </c>
      <c r="N63" s="3" t="n">
        <f aca="false">IF(M63="","",ROUND(M63/12,2))</f>
        <v>3.17</v>
      </c>
      <c r="O63" s="3" t="s">
        <v>375</v>
      </c>
      <c r="P63" s="3" t="s">
        <v>327</v>
      </c>
      <c r="Q63" s="3" t="s">
        <v>376</v>
      </c>
      <c r="R63" s="0" t="n">
        <v>0</v>
      </c>
      <c r="S63" s="0" t="n">
        <v>1</v>
      </c>
      <c r="T63" s="0" t="n">
        <v>0</v>
      </c>
      <c r="U63" s="0" t="n">
        <v>0</v>
      </c>
      <c r="V63" s="0" t="n">
        <v>0</v>
      </c>
      <c r="W63" s="0" t="n">
        <v>0</v>
      </c>
      <c r="X63" s="3" t="s">
        <v>377</v>
      </c>
      <c r="Y63" s="0" t="n">
        <v>1</v>
      </c>
      <c r="Z63" s="0" t="n">
        <v>1</v>
      </c>
      <c r="AA63" s="0" t="n">
        <v>1</v>
      </c>
      <c r="AB63" s="3" t="s">
        <v>378</v>
      </c>
      <c r="AF63" s="3" t="n">
        <f aca="false">IF(SUMIF(Founders_Clean!$A$2:$A$159,A63,Founders_Clean!$C$2:$C$159)=0,"",SUMIF(Founders_Clean!$A$2:$A$159,A63,Founders_Clean!$C$2:$C$159))</f>
        <v>1</v>
      </c>
      <c r="AG63" s="3" t="n">
        <f aca="false">IF(AF63="","",SUMIF(Founders_Clean!$A$2:$A$159,A63,Founders_Clean!$D$2:$D$159))</f>
        <v>1</v>
      </c>
      <c r="AH63" s="3" t="n">
        <f aca="false">IF(AF63="","",SUMIF(Founders_Clean!$A$2:$A$159,A63,Founders_Clean!$E$2:$E$159))</f>
        <v>0</v>
      </c>
      <c r="AI63" s="3" t="n">
        <f aca="false">IF(AF63="","",IF((AG63+AH63)=0,"",AH63/(AG63+AH63)))</f>
        <v>0</v>
      </c>
      <c r="AJ63" s="3" t="n">
        <f aca="false">IF(AI63="","",IF(AH63&gt;0,1,0))</f>
        <v>0</v>
      </c>
      <c r="AK63" s="3" t="n">
        <f aca="false">IF(AI63="","",ROUND(1-(AI63^2+(1-AI63)^2),3))</f>
        <v>0</v>
      </c>
      <c r="AM63" s="0" t="n">
        <v>2</v>
      </c>
      <c r="AN63" s="3" t="s">
        <v>98</v>
      </c>
      <c r="AO63" s="0" t="n">
        <v>1</v>
      </c>
      <c r="AP63" s="0" t="n">
        <v>1</v>
      </c>
      <c r="AQ63" s="0" t="n">
        <v>1</v>
      </c>
      <c r="AR63" s="0" t="n">
        <v>5</v>
      </c>
      <c r="AS63" s="0" t="n">
        <v>5</v>
      </c>
      <c r="AX63" s="3" t="s">
        <v>101</v>
      </c>
      <c r="AY63" s="3" t="s">
        <v>102</v>
      </c>
      <c r="BA63" s="0" t="n">
        <v>0</v>
      </c>
      <c r="BB63" s="0" t="n">
        <v>0</v>
      </c>
      <c r="BC63" s="0" t="n">
        <v>0</v>
      </c>
      <c r="BF63" s="3" t="n">
        <f aca="false">IF(OR(I63="",BC63=""),"",IF(BC63=1,(BD63-I63)*12+IF(BE63="",7,BE63)-IF(J63="",1,J63),M63))</f>
        <v>38</v>
      </c>
      <c r="BG63" s="0" t="n">
        <v>0</v>
      </c>
      <c r="BH63" s="0" t="n">
        <v>0</v>
      </c>
      <c r="BI63" s="3" t="s">
        <v>116</v>
      </c>
      <c r="BK63" s="0" t="n">
        <v>0</v>
      </c>
      <c r="BL63" s="3" t="n">
        <f aca="false">COUNTIFS(Investments_Clean!$A$2:$A$150,A63,Investments_Clean!$F$2:$F$150,"Accepted")</f>
        <v>0</v>
      </c>
      <c r="BM63" s="0" t="str">
        <f aca="false">IF(BL63=0,"",IF((COUNTIFS(Investments_Clean!$A$2:$A$150,A63,Investments_Clean!$D$2:$D$150,"VC/PE",Investments_Clean!$F$2:$F$150,"Accepted"))&gt;0,1,0))</f>
        <v/>
      </c>
      <c r="BN63" s="0" t="str">
        <f aca="false">IF(BL63=0,"",IF((COUNTIFS(Investments_Clean!$A$2:$A$150,A63,Investments_Clean!$D$2:$D$150,"Angel",Investments_Clean!$F$2:$F$150,"Accepted"))&gt;0,1,0))</f>
        <v/>
      </c>
      <c r="BO63" s="0" t="str">
        <f aca="false">IF(BL63=0,"",IF((COUNTIFS(Investments_Clean!$A$2:$A$150,A63,Investments_Clean!$D$2:$D$150,"Accelerator",Investments_Clean!$F$2:$F$150,"Accepted"))&gt;0,1,0))</f>
        <v/>
      </c>
      <c r="BP63" s="0" t="str">
        <f aca="false">IF(BL63=0,"",IF((COUNTIFS(Investments_Clean!$A$2:$A$150,A63,Investments_Clean!$D$2:$D$150,"Corporate",Investments_Clean!$F$2:$F$150,"Accepted"))&gt;0,1,0))</f>
        <v/>
      </c>
      <c r="BQ63" s="0" t="str">
        <f aca="false">IF(BL63=0,"",IF((COUNTIFS(Investments_Clean!$A$2:$A$150,A63,Investments_Clean!$D$2:$D$150,"Government",Investments_Clean!$F$2:$F$150,"Accepted"))&gt;0,1,0))</f>
        <v/>
      </c>
      <c r="BR63" s="0" t="str">
        <f aca="false">IF(BL63=0,"",IF((COUNTIFS(Investments_Clean!$A$2:$A$150,A63,Investments_Clean!$D$2:$D$150,"Grant/Philanthropic",Investments_Clean!$F$2:$F$150,"Accepted")+COUNTIFS(Investments_Clean!$A$2:$A$150,A63,Investments_Clean!$D$2:$D$150,"DFI/Impact",Investments_Clean!$F$2:$F$150,"Accepted"))&gt;0,1,0))</f>
        <v/>
      </c>
      <c r="BW63" s="0" t="n">
        <v>2.5</v>
      </c>
      <c r="BX63" s="0" t="n">
        <v>42.8</v>
      </c>
      <c r="CA63" s="0" t="n">
        <v>2</v>
      </c>
      <c r="CB63" s="0" t="n">
        <v>47.5</v>
      </c>
      <c r="CC63" s="0" t="str">
        <f aca="false">IF(I63="","",IFERROR(IF(INDEX(Macro_Lookup!$B$2:$B$31,MATCH(I63,Macro_Lookup!$A$2:$A$31,0))="","",INDEX(Macro_Lookup!$B$2:$B$31,MATCH(I63,Macro_Lookup!$A$2:$A$31,0))),""))</f>
        <v/>
      </c>
      <c r="CD63" s="0" t="str">
        <f aca="false">IF(I63="","",IFERROR(IF(INDEX(Macro_Lookup!$C$2:$C$31,MATCH(I63,Macro_Lookup!$A$2:$A$31,0))="","",INDEX(Macro_Lookup!$C$2:$C$31,MATCH(I63,Macro_Lookup!$A$2:$A$31,0))),""))</f>
        <v/>
      </c>
      <c r="CE63" s="0" t="str">
        <f aca="false">IF(BJ63="","",IFERROR(IF(INDEX(Macro_Lookup!$B$2:$B$31,MATCH(BJ63,Macro_Lookup!$A$2:$A$31,0))="","",INDEX(Macro_Lookup!$B$2:$B$31,MATCH(BJ63,Macro_Lookup!$A$2:$A$31,0))),""))</f>
        <v/>
      </c>
      <c r="CF63" s="0" t="str">
        <f aca="false">IF(BJ63="","",IFERROR(IF(INDEX(Macro_Lookup!$C$2:$C$31,MATCH(BJ63,Macro_Lookup!$A$2:$A$31,0))="","",INDEX(Macro_Lookup!$C$2:$C$31,MATCH(BJ63,Macro_Lookup!$A$2:$A$31,0))),""))</f>
        <v/>
      </c>
      <c r="CG63" s="0" t="n">
        <v>2</v>
      </c>
      <c r="CH63" s="3" t="s">
        <v>104</v>
      </c>
      <c r="CI63" s="3" t="s">
        <v>105</v>
      </c>
    </row>
    <row r="64" customFormat="false" ht="14.25" hidden="false" customHeight="false" outlineLevel="0" collapsed="false">
      <c r="A64" s="0" t="s">
        <v>379</v>
      </c>
      <c r="B64" s="0" t="s">
        <v>380</v>
      </c>
      <c r="C64" s="0" t="s">
        <v>89</v>
      </c>
      <c r="D64" s="0" t="s">
        <v>90</v>
      </c>
      <c r="E64" s="0" t="n">
        <v>0</v>
      </c>
      <c r="F64" s="0" t="s">
        <v>91</v>
      </c>
      <c r="I64" s="0" t="n">
        <v>2018</v>
      </c>
      <c r="K64" s="0" t="s">
        <v>92</v>
      </c>
      <c r="L64" s="2" t="n">
        <v>46295</v>
      </c>
      <c r="M64" s="3" t="n">
        <f aca="false">IF(I64="","",(YEAR(L64)-I64)*12+MONTH(L64)-IF(J64="",1,J64))</f>
        <v>104</v>
      </c>
      <c r="N64" s="3" t="n">
        <f aca="false">IF(M64="","",ROUND(M64/12,2))</f>
        <v>8.67</v>
      </c>
      <c r="O64" s="3" t="s">
        <v>332</v>
      </c>
      <c r="P64" s="3" t="s">
        <v>327</v>
      </c>
      <c r="Q64" s="3" t="s">
        <v>381</v>
      </c>
      <c r="R64" s="0" t="n">
        <v>1</v>
      </c>
      <c r="S64" s="0" t="n">
        <v>1</v>
      </c>
      <c r="T64" s="0" t="n">
        <v>0</v>
      </c>
      <c r="U64" s="0" t="n">
        <v>1</v>
      </c>
      <c r="V64" s="0" t="n">
        <v>0</v>
      </c>
      <c r="W64" s="0" t="n">
        <v>0</v>
      </c>
      <c r="X64" s="3" t="s">
        <v>382</v>
      </c>
      <c r="Y64" s="0" t="n">
        <v>3</v>
      </c>
      <c r="Z64" s="0" t="n">
        <v>1</v>
      </c>
      <c r="AF64" s="3" t="n">
        <f aca="false">IF(SUMIF(Founders_Clean!$A$2:$A$159,A64,Founders_Clean!$C$2:$C$159)=0,"",SUMIF(Founders_Clean!$A$2:$A$159,A64,Founders_Clean!$C$2:$C$159))</f>
        <v>2</v>
      </c>
      <c r="AG64" s="3" t="n">
        <f aca="false">IF(AF64="","",SUMIF(Founders_Clean!$A$2:$A$159,A64,Founders_Clean!$D$2:$D$159))</f>
        <v>0</v>
      </c>
      <c r="AH64" s="3" t="n">
        <f aca="false">IF(AF64="","",SUMIF(Founders_Clean!$A$2:$A$159,A64,Founders_Clean!$E$2:$E$159))</f>
        <v>2</v>
      </c>
      <c r="AI64" s="3" t="n">
        <f aca="false">IF(AF64="","",IF((AG64+AH64)=0,"",AH64/(AG64+AH64)))</f>
        <v>1</v>
      </c>
      <c r="AJ64" s="3" t="n">
        <f aca="false">IF(AI64="","",IF(AH64&gt;0,1,0))</f>
        <v>1</v>
      </c>
      <c r="AK64" s="3" t="n">
        <f aca="false">IF(AI64="","",ROUND(1-(AI64^2+(1-AI64)^2),3))</f>
        <v>0</v>
      </c>
      <c r="AM64" s="0" t="n">
        <v>2</v>
      </c>
      <c r="AN64" s="3" t="s">
        <v>98</v>
      </c>
      <c r="AO64" s="0" t="n">
        <v>1</v>
      </c>
      <c r="AP64" s="0" t="n">
        <v>0.5</v>
      </c>
      <c r="AQ64" s="0" t="n">
        <v>1</v>
      </c>
      <c r="AR64" s="0" t="n">
        <v>30</v>
      </c>
      <c r="AS64" s="0" t="n">
        <v>26.5</v>
      </c>
      <c r="AT64" s="0" t="n">
        <v>30.5</v>
      </c>
      <c r="AU64" s="3" t="s">
        <v>161</v>
      </c>
      <c r="AV64" s="3" t="s">
        <v>122</v>
      </c>
      <c r="AX64" s="3" t="s">
        <v>101</v>
      </c>
      <c r="AY64" s="3" t="s">
        <v>102</v>
      </c>
      <c r="BA64" s="0" t="n">
        <v>0</v>
      </c>
      <c r="BB64" s="0" t="n">
        <v>0</v>
      </c>
      <c r="BC64" s="0" t="n">
        <v>0</v>
      </c>
      <c r="BF64" s="3" t="n">
        <f aca="false">IF(OR(I64="",BC64=""),"",IF(BC64=1,(BD64-I64)*12+IF(BE64="",7,BE64)-IF(J64="",1,J64),M64))</f>
        <v>104</v>
      </c>
      <c r="BG64" s="0" t="n">
        <v>1</v>
      </c>
      <c r="BK64" s="0" t="n">
        <v>1</v>
      </c>
      <c r="BL64" s="3" t="n">
        <f aca="false">COUNTIFS(Investments_Clean!$A$2:$A$150,A64,Investments_Clean!$F$2:$F$150,"Accepted")</f>
        <v>1</v>
      </c>
      <c r="BM64" s="3" t="n">
        <f aca="false">IF(BL64=0,"",IF((COUNTIFS(Investments_Clean!$A$2:$A$150,A64,Investments_Clean!$D$2:$D$150,"VC/PE",Investments_Clean!$F$2:$F$150,"Accepted"))&gt;0,1,0))</f>
        <v>1</v>
      </c>
      <c r="BN64" s="3" t="n">
        <f aca="false">IF(BL64=0,"",IF((COUNTIFS(Investments_Clean!$A$2:$A$150,A64,Investments_Clean!$D$2:$D$150,"Angel",Investments_Clean!$F$2:$F$150,"Accepted"))&gt;0,1,0))</f>
        <v>0</v>
      </c>
      <c r="BO64" s="3" t="n">
        <f aca="false">IF(BL64=0,"",IF((COUNTIFS(Investments_Clean!$A$2:$A$150,A64,Investments_Clean!$D$2:$D$150,"Accelerator",Investments_Clean!$F$2:$F$150,"Accepted"))&gt;0,1,0))</f>
        <v>0</v>
      </c>
      <c r="BP64" s="3" t="n">
        <f aca="false">IF(BL64=0,"",IF((COUNTIFS(Investments_Clean!$A$2:$A$150,A64,Investments_Clean!$D$2:$D$150,"Corporate",Investments_Clean!$F$2:$F$150,"Accepted"))&gt;0,1,0))</f>
        <v>0</v>
      </c>
      <c r="BQ64" s="3" t="n">
        <f aca="false">IF(BL64=0,"",IF((COUNTIFS(Investments_Clean!$A$2:$A$150,A64,Investments_Clean!$D$2:$D$150,"Government",Investments_Clean!$F$2:$F$150,"Accepted"))&gt;0,1,0))</f>
        <v>0</v>
      </c>
      <c r="BR64" s="3" t="n">
        <f aca="false">IF(BL64=0,"",IF((COUNTIFS(Investments_Clean!$A$2:$A$150,A64,Investments_Clean!$D$2:$D$150,"Grant/Philanthropic",Investments_Clean!$F$2:$F$150,"Accepted")+COUNTIFS(Investments_Clean!$A$2:$A$150,A64,Investments_Clean!$D$2:$D$150,"DFI/Impact",Investments_Clean!$F$2:$F$150,"Accepted"))&gt;0,1,0))</f>
        <v>0</v>
      </c>
      <c r="BV64" s="0" t="n">
        <v>5000</v>
      </c>
      <c r="BW64" s="0" t="n">
        <v>7.5</v>
      </c>
      <c r="BX64" s="0" t="n">
        <v>16.6</v>
      </c>
      <c r="BZ64" s="0" t="n">
        <v>4</v>
      </c>
      <c r="CA64" s="0" t="n">
        <v>3</v>
      </c>
      <c r="CB64" s="0" t="n">
        <v>33.3</v>
      </c>
      <c r="CC64" s="0" t="str">
        <f aca="false">IF(I64="","",IFERROR(IF(INDEX(Macro_Lookup!$B$2:$B$31,MATCH(I64,Macro_Lookup!$A$2:$A$31,0))="","",INDEX(Macro_Lookup!$B$2:$B$31,MATCH(I64,Macro_Lookup!$A$2:$A$31,0))),""))</f>
        <v/>
      </c>
      <c r="CD64" s="0" t="str">
        <f aca="false">IF(I64="","",IFERROR(IF(INDEX(Macro_Lookup!$C$2:$C$31,MATCH(I64,Macro_Lookup!$A$2:$A$31,0))="","",INDEX(Macro_Lookup!$C$2:$C$31,MATCH(I64,Macro_Lookup!$A$2:$A$31,0))),""))</f>
        <v/>
      </c>
      <c r="CE64" s="0" t="str">
        <f aca="false">IF(BJ64="","",IFERROR(IF(INDEX(Macro_Lookup!$B$2:$B$31,MATCH(BJ64,Macro_Lookup!$A$2:$A$31,0))="","",INDEX(Macro_Lookup!$B$2:$B$31,MATCH(BJ64,Macro_Lookup!$A$2:$A$31,0))),""))</f>
        <v/>
      </c>
      <c r="CF64" s="0" t="str">
        <f aca="false">IF(BJ64="","",IFERROR(IF(INDEX(Macro_Lookup!$C$2:$C$31,MATCH(BJ64,Macro_Lookup!$A$2:$A$31,0))="","",INDEX(Macro_Lookup!$C$2:$C$31,MATCH(BJ64,Macro_Lookup!$A$2:$A$31,0))),""))</f>
        <v/>
      </c>
      <c r="CG64" s="0" t="n">
        <v>2</v>
      </c>
      <c r="CH64" s="3" t="s">
        <v>104</v>
      </c>
      <c r="CI64" s="3" t="s">
        <v>105</v>
      </c>
    </row>
    <row r="65" customFormat="false" ht="14.25" hidden="false" customHeight="false" outlineLevel="0" collapsed="false">
      <c r="A65" s="0" t="s">
        <v>383</v>
      </c>
      <c r="B65" s="0" t="s">
        <v>384</v>
      </c>
      <c r="C65" s="0" t="s">
        <v>89</v>
      </c>
      <c r="D65" s="0" t="s">
        <v>90</v>
      </c>
      <c r="E65" s="0" t="n">
        <v>0</v>
      </c>
      <c r="F65" s="0" t="s">
        <v>91</v>
      </c>
      <c r="I65" s="0" t="n">
        <v>2016</v>
      </c>
      <c r="J65" s="0" t="n">
        <v>12</v>
      </c>
      <c r="K65" s="0" t="s">
        <v>133</v>
      </c>
      <c r="L65" s="2" t="n">
        <v>46295</v>
      </c>
      <c r="M65" s="3" t="n">
        <f aca="false">IF(I65="","",(YEAR(L65)-I65)*12+MONTH(L65)-IF(J65="",1,J65))</f>
        <v>117</v>
      </c>
      <c r="N65" s="3" t="n">
        <f aca="false">IF(M65="","",ROUND(M65/12,2))</f>
        <v>9.75</v>
      </c>
      <c r="O65" s="3" t="s">
        <v>385</v>
      </c>
      <c r="P65" s="3" t="s">
        <v>327</v>
      </c>
      <c r="Q65" s="3" t="s">
        <v>386</v>
      </c>
      <c r="R65" s="0" t="n">
        <v>0</v>
      </c>
      <c r="S65" s="0" t="n">
        <v>1</v>
      </c>
      <c r="T65" s="0" t="n">
        <v>1</v>
      </c>
      <c r="U65" s="0" t="n">
        <v>0</v>
      </c>
      <c r="V65" s="0" t="n">
        <v>0</v>
      </c>
      <c r="W65" s="0" t="n">
        <v>1</v>
      </c>
      <c r="X65" s="3" t="s">
        <v>382</v>
      </c>
      <c r="Y65" s="0" t="n">
        <v>3</v>
      </c>
      <c r="Z65" s="0" t="n">
        <v>1</v>
      </c>
      <c r="AA65" s="0" t="n">
        <v>0</v>
      </c>
      <c r="AB65" s="3" t="s">
        <v>387</v>
      </c>
      <c r="AF65" s="3" t="n">
        <f aca="false">IF(SUMIF(Founders_Clean!$A$2:$A$159,A65,Founders_Clean!$C$2:$C$159)=0,"",SUMIF(Founders_Clean!$A$2:$A$159,A65,Founders_Clean!$C$2:$C$159))</f>
        <v>1</v>
      </c>
      <c r="AG65" s="3" t="n">
        <f aca="false">IF(AF65="","",SUMIF(Founders_Clean!$A$2:$A$159,A65,Founders_Clean!$D$2:$D$159))</f>
        <v>1</v>
      </c>
      <c r="AH65" s="3" t="n">
        <f aca="false">IF(AF65="","",SUMIF(Founders_Clean!$A$2:$A$159,A65,Founders_Clean!$E$2:$E$159))</f>
        <v>0</v>
      </c>
      <c r="AI65" s="3" t="n">
        <f aca="false">IF(AF65="","",IF((AG65+AH65)=0,"",AH65/(AG65+AH65)))</f>
        <v>0</v>
      </c>
      <c r="AJ65" s="3" t="n">
        <f aca="false">IF(AI65="","",IF(AH65&gt;0,1,0))</f>
        <v>0</v>
      </c>
      <c r="AK65" s="3" t="n">
        <f aca="false">IF(AI65="","",ROUND(1-(AI65^2+(1-AI65)^2),3))</f>
        <v>0</v>
      </c>
      <c r="AM65" s="0" t="n">
        <v>2</v>
      </c>
      <c r="AN65" s="3" t="s">
        <v>98</v>
      </c>
      <c r="AO65" s="0" t="n">
        <v>0</v>
      </c>
      <c r="AP65" s="0" t="n">
        <v>0</v>
      </c>
      <c r="AQ65" s="0" t="n">
        <v>1</v>
      </c>
      <c r="AR65" s="0" t="n">
        <v>15</v>
      </c>
      <c r="AS65" s="0" t="n">
        <v>15</v>
      </c>
      <c r="AX65" s="3" t="s">
        <v>262</v>
      </c>
      <c r="AY65" s="3" t="s">
        <v>263</v>
      </c>
      <c r="AZ65" s="3" t="s">
        <v>388</v>
      </c>
      <c r="BB65" s="0" t="n">
        <v>0</v>
      </c>
      <c r="BF65" s="0" t="str">
        <f aca="false">IF(OR(I65="",BC65=""),"",IF(BC65=1,(BD65-I65)*12+IF(BE65="",7,BE65)-IF(J65="",1,J65),M65))</f>
        <v/>
      </c>
      <c r="BL65" s="3" t="n">
        <f aca="false">COUNTIFS(Investments_Clean!$A$2:$A$150,A65,Investments_Clean!$F$2:$F$150,"Accepted")</f>
        <v>0</v>
      </c>
      <c r="BM65" s="0" t="str">
        <f aca="false">IF(BL65=0,"",IF((COUNTIFS(Investments_Clean!$A$2:$A$150,A65,Investments_Clean!$D$2:$D$150,"VC/PE",Investments_Clean!$F$2:$F$150,"Accepted"))&gt;0,1,0))</f>
        <v/>
      </c>
      <c r="BN65" s="0" t="str">
        <f aca="false">IF(BL65=0,"",IF((COUNTIFS(Investments_Clean!$A$2:$A$150,A65,Investments_Clean!$D$2:$D$150,"Angel",Investments_Clean!$F$2:$F$150,"Accepted"))&gt;0,1,0))</f>
        <v/>
      </c>
      <c r="BO65" s="0" t="str">
        <f aca="false">IF(BL65=0,"",IF((COUNTIFS(Investments_Clean!$A$2:$A$150,A65,Investments_Clean!$D$2:$D$150,"Accelerator",Investments_Clean!$F$2:$F$150,"Accepted"))&gt;0,1,0))</f>
        <v/>
      </c>
      <c r="BP65" s="0" t="str">
        <f aca="false">IF(BL65=0,"",IF((COUNTIFS(Investments_Clean!$A$2:$A$150,A65,Investments_Clean!$D$2:$D$150,"Corporate",Investments_Clean!$F$2:$F$150,"Accepted"))&gt;0,1,0))</f>
        <v/>
      </c>
      <c r="BQ65" s="0" t="str">
        <f aca="false">IF(BL65=0,"",IF((COUNTIFS(Investments_Clean!$A$2:$A$150,A65,Investments_Clean!$D$2:$D$150,"Government",Investments_Clean!$F$2:$F$150,"Accepted"))&gt;0,1,0))</f>
        <v/>
      </c>
      <c r="BR65" s="0" t="str">
        <f aca="false">IF(BL65=0,"",IF((COUNTIFS(Investments_Clean!$A$2:$A$150,A65,Investments_Clean!$D$2:$D$150,"Grant/Philanthropic",Investments_Clean!$F$2:$F$150,"Accepted")+COUNTIFS(Investments_Clean!$A$2:$A$150,A65,Investments_Clean!$D$2:$D$150,"DFI/Impact",Investments_Clean!$F$2:$F$150,"Accepted"))&gt;0,1,0))</f>
        <v/>
      </c>
      <c r="BV65" s="0" t="n">
        <v>1000</v>
      </c>
      <c r="BW65" s="0" t="n">
        <v>7.5</v>
      </c>
      <c r="BX65" s="0" t="n">
        <v>0</v>
      </c>
      <c r="CA65" s="0" t="n">
        <v>3</v>
      </c>
      <c r="CB65" s="0" t="n">
        <v>10</v>
      </c>
      <c r="CC65" s="0" t="str">
        <f aca="false">IF(I65="","",IFERROR(IF(INDEX(Macro_Lookup!$B$2:$B$31,MATCH(I65,Macro_Lookup!$A$2:$A$31,0))="","",INDEX(Macro_Lookup!$B$2:$B$31,MATCH(I65,Macro_Lookup!$A$2:$A$31,0))),""))</f>
        <v/>
      </c>
      <c r="CD65" s="0" t="str">
        <f aca="false">IF(I65="","",IFERROR(IF(INDEX(Macro_Lookup!$C$2:$C$31,MATCH(I65,Macro_Lookup!$A$2:$A$31,0))="","",INDEX(Macro_Lookup!$C$2:$C$31,MATCH(I65,Macro_Lookup!$A$2:$A$31,0))),""))</f>
        <v/>
      </c>
      <c r="CE65" s="0" t="str">
        <f aca="false">IF(BJ65="","",IFERROR(IF(INDEX(Macro_Lookup!$B$2:$B$31,MATCH(BJ65,Macro_Lookup!$A$2:$A$31,0))="","",INDEX(Macro_Lookup!$B$2:$B$31,MATCH(BJ65,Macro_Lookup!$A$2:$A$31,0))),""))</f>
        <v/>
      </c>
      <c r="CF65" s="0" t="str">
        <f aca="false">IF(BJ65="","",IFERROR(IF(INDEX(Macro_Lookup!$C$2:$C$31,MATCH(BJ65,Macro_Lookup!$A$2:$A$31,0))="","",INDEX(Macro_Lookup!$C$2:$C$31,MATCH(BJ65,Macro_Lookup!$A$2:$A$31,0))),""))</f>
        <v/>
      </c>
      <c r="CG65" s="0" t="n">
        <v>2</v>
      </c>
      <c r="CH65" s="3" t="s">
        <v>104</v>
      </c>
      <c r="CI65" s="3" t="s">
        <v>105</v>
      </c>
    </row>
    <row r="66" customFormat="false" ht="14.25" hidden="false" customHeight="false" outlineLevel="0" collapsed="false">
      <c r="A66" s="0" t="s">
        <v>389</v>
      </c>
      <c r="B66" s="0" t="s">
        <v>390</v>
      </c>
      <c r="C66" s="0" t="s">
        <v>89</v>
      </c>
      <c r="D66" s="0" t="s">
        <v>90</v>
      </c>
      <c r="E66" s="0" t="n">
        <v>0</v>
      </c>
      <c r="F66" s="0" t="s">
        <v>91</v>
      </c>
      <c r="I66" s="0" t="n">
        <v>2017</v>
      </c>
      <c r="J66" s="0" t="n">
        <v>1</v>
      </c>
      <c r="K66" s="0" t="s">
        <v>133</v>
      </c>
      <c r="L66" s="2" t="n">
        <v>46295</v>
      </c>
      <c r="M66" s="3" t="n">
        <f aca="false">IF(I66="","",(YEAR(L66)-I66)*12+MONTH(L66)-IF(J66="",1,J66))</f>
        <v>116</v>
      </c>
      <c r="N66" s="3" t="n">
        <f aca="false">IF(M66="","",ROUND(M66/12,2))</f>
        <v>9.67</v>
      </c>
      <c r="O66" s="3" t="s">
        <v>332</v>
      </c>
      <c r="P66" s="3" t="s">
        <v>327</v>
      </c>
      <c r="Q66" s="3" t="s">
        <v>391</v>
      </c>
      <c r="R66" s="0" t="n">
        <v>1</v>
      </c>
      <c r="S66" s="0" t="n">
        <v>1</v>
      </c>
      <c r="T66" s="0" t="n">
        <v>0</v>
      </c>
      <c r="U66" s="0" t="n">
        <v>0</v>
      </c>
      <c r="V66" s="0" t="n">
        <v>0</v>
      </c>
      <c r="W66" s="0" t="n">
        <v>0</v>
      </c>
      <c r="X66" s="3" t="s">
        <v>382</v>
      </c>
      <c r="Y66" s="0" t="n">
        <v>3</v>
      </c>
      <c r="Z66" s="0" t="n">
        <v>1</v>
      </c>
      <c r="AA66" s="0" t="n">
        <v>1</v>
      </c>
      <c r="AB66" s="3" t="s">
        <v>392</v>
      </c>
      <c r="AC66" s="0" t="n">
        <v>1</v>
      </c>
      <c r="AD66" s="0" t="n">
        <v>100000</v>
      </c>
      <c r="AE66" s="3" t="s">
        <v>97</v>
      </c>
      <c r="AF66" s="3" t="n">
        <f aca="false">IF(SUMIF(Founders_Clean!$A$2:$A$159,A66,Founders_Clean!$C$2:$C$159)=0,"",SUMIF(Founders_Clean!$A$2:$A$159,A66,Founders_Clean!$C$2:$C$159))</f>
        <v>2</v>
      </c>
      <c r="AG66" s="3" t="n">
        <f aca="false">IF(AF66="","",SUMIF(Founders_Clean!$A$2:$A$159,A66,Founders_Clean!$D$2:$D$159))</f>
        <v>2</v>
      </c>
      <c r="AH66" s="3" t="n">
        <f aca="false">IF(AF66="","",SUMIF(Founders_Clean!$A$2:$A$159,A66,Founders_Clean!$E$2:$E$159))</f>
        <v>0</v>
      </c>
      <c r="AI66" s="3" t="n">
        <f aca="false">IF(AF66="","",IF((AG66+AH66)=0,"",AH66/(AG66+AH66)))</f>
        <v>0</v>
      </c>
      <c r="AJ66" s="3" t="n">
        <f aca="false">IF(AI66="","",IF(AH66&gt;0,1,0))</f>
        <v>0</v>
      </c>
      <c r="AK66" s="3" t="n">
        <f aca="false">IF(AI66="","",ROUND(1-(AI66^2+(1-AI66)^2),3))</f>
        <v>0</v>
      </c>
      <c r="AM66" s="0" t="n">
        <v>2</v>
      </c>
      <c r="AN66" s="3" t="s">
        <v>98</v>
      </c>
      <c r="AO66" s="0" t="n">
        <v>1</v>
      </c>
      <c r="AP66" s="0" t="n">
        <v>1</v>
      </c>
      <c r="AQ66" s="0" t="n">
        <v>1</v>
      </c>
      <c r="AR66" s="0" t="n">
        <v>20</v>
      </c>
      <c r="AS66" s="0" t="n">
        <v>16</v>
      </c>
      <c r="AT66" s="0" t="n">
        <v>30.5</v>
      </c>
      <c r="AU66" s="3" t="s">
        <v>161</v>
      </c>
      <c r="AV66" s="3" t="s">
        <v>122</v>
      </c>
      <c r="AX66" s="3" t="s">
        <v>101</v>
      </c>
      <c r="AY66" s="3" t="s">
        <v>102</v>
      </c>
      <c r="BA66" s="0" t="n">
        <v>0</v>
      </c>
      <c r="BB66" s="0" t="n">
        <v>0</v>
      </c>
      <c r="BC66" s="0" t="n">
        <v>0</v>
      </c>
      <c r="BF66" s="3" t="n">
        <f aca="false">IF(OR(I66="",BC66=""),"",IF(BC66=1,(BD66-I66)*12+IF(BE66="",7,BE66)-IF(J66="",1,J66),M66))</f>
        <v>116</v>
      </c>
      <c r="BG66" s="0" t="n">
        <v>1</v>
      </c>
      <c r="BH66" s="0" t="n">
        <v>100000</v>
      </c>
      <c r="BI66" s="3" t="s">
        <v>103</v>
      </c>
      <c r="BK66" s="0" t="n">
        <v>1</v>
      </c>
      <c r="BL66" s="3" t="n">
        <f aca="false">COUNTIFS(Investments_Clean!$A$2:$A$150,A66,Investments_Clean!$F$2:$F$150,"Accepted")</f>
        <v>1</v>
      </c>
      <c r="BM66" s="3" t="n">
        <f aca="false">IF(BL66=0,"",IF((COUNTIFS(Investments_Clean!$A$2:$A$150,A66,Investments_Clean!$D$2:$D$150,"VC/PE",Investments_Clean!$F$2:$F$150,"Accepted"))&gt;0,1,0))</f>
        <v>0</v>
      </c>
      <c r="BN66" s="3" t="n">
        <f aca="false">IF(BL66=0,"",IF((COUNTIFS(Investments_Clean!$A$2:$A$150,A66,Investments_Clean!$D$2:$D$150,"Angel",Investments_Clean!$F$2:$F$150,"Accepted"))&gt;0,1,0))</f>
        <v>0</v>
      </c>
      <c r="BO66" s="3" t="n">
        <f aca="false">IF(BL66=0,"",IF((COUNTIFS(Investments_Clean!$A$2:$A$150,A66,Investments_Clean!$D$2:$D$150,"Accelerator",Investments_Clean!$F$2:$F$150,"Accepted"))&gt;0,1,0))</f>
        <v>0</v>
      </c>
      <c r="BP66" s="3" t="n">
        <f aca="false">IF(BL66=0,"",IF((COUNTIFS(Investments_Clean!$A$2:$A$150,A66,Investments_Clean!$D$2:$D$150,"Corporate",Investments_Clean!$F$2:$F$150,"Accepted"))&gt;0,1,0))</f>
        <v>0</v>
      </c>
      <c r="BQ66" s="3" t="n">
        <f aca="false">IF(BL66=0,"",IF((COUNTIFS(Investments_Clean!$A$2:$A$150,A66,Investments_Clean!$D$2:$D$150,"Government",Investments_Clean!$F$2:$F$150,"Accepted"))&gt;0,1,0))</f>
        <v>1</v>
      </c>
      <c r="BR66" s="3" t="n">
        <f aca="false">IF(BL66=0,"",IF((COUNTIFS(Investments_Clean!$A$2:$A$150,A66,Investments_Clean!$D$2:$D$150,"Grant/Philanthropic",Investments_Clean!$F$2:$F$150,"Accepted")+COUNTIFS(Investments_Clean!$A$2:$A$150,A66,Investments_Clean!$D$2:$D$150,"DFI/Impact",Investments_Clean!$F$2:$F$150,"Accepted"))&gt;0,1,0))</f>
        <v>0</v>
      </c>
      <c r="BT66" s="0" t="n">
        <v>140</v>
      </c>
      <c r="BV66" s="0" t="n">
        <v>17500</v>
      </c>
      <c r="BW66" s="0" t="n">
        <v>32.5</v>
      </c>
      <c r="BX66" s="0" t="n">
        <v>32.4</v>
      </c>
      <c r="BY66" s="0" t="n">
        <v>1000</v>
      </c>
      <c r="BZ66" s="0" t="n">
        <v>4.6</v>
      </c>
      <c r="CA66" s="0" t="n">
        <v>4</v>
      </c>
      <c r="CB66" s="0" t="n">
        <v>57.4</v>
      </c>
      <c r="CC66" s="0" t="str">
        <f aca="false">IF(I66="","",IFERROR(IF(INDEX(Macro_Lookup!$B$2:$B$31,MATCH(I66,Macro_Lookup!$A$2:$A$31,0))="","",INDEX(Macro_Lookup!$B$2:$B$31,MATCH(I66,Macro_Lookup!$A$2:$A$31,0))),""))</f>
        <v/>
      </c>
      <c r="CD66" s="0" t="str">
        <f aca="false">IF(I66="","",IFERROR(IF(INDEX(Macro_Lookup!$C$2:$C$31,MATCH(I66,Macro_Lookup!$A$2:$A$31,0))="","",INDEX(Macro_Lookup!$C$2:$C$31,MATCH(I66,Macro_Lookup!$A$2:$A$31,0))),""))</f>
        <v/>
      </c>
      <c r="CE66" s="0" t="str">
        <f aca="false">IF(BJ66="","",IFERROR(IF(INDEX(Macro_Lookup!$B$2:$B$31,MATCH(BJ66,Macro_Lookup!$A$2:$A$31,0))="","",INDEX(Macro_Lookup!$B$2:$B$31,MATCH(BJ66,Macro_Lookup!$A$2:$A$31,0))),""))</f>
        <v/>
      </c>
      <c r="CF66" s="0" t="str">
        <f aca="false">IF(BJ66="","",IFERROR(IF(INDEX(Macro_Lookup!$C$2:$C$31,MATCH(BJ66,Macro_Lookup!$A$2:$A$31,0))="","",INDEX(Macro_Lookup!$C$2:$C$31,MATCH(BJ66,Macro_Lookup!$A$2:$A$31,0))),""))</f>
        <v/>
      </c>
      <c r="CG66" s="0" t="n">
        <v>0</v>
      </c>
      <c r="CH66" s="3" t="s">
        <v>104</v>
      </c>
      <c r="CI66" s="3" t="s">
        <v>105</v>
      </c>
    </row>
    <row r="67" customFormat="false" ht="14.25" hidden="false" customHeight="false" outlineLevel="0" collapsed="false">
      <c r="A67" s="0" t="s">
        <v>393</v>
      </c>
      <c r="B67" s="0" t="s">
        <v>394</v>
      </c>
      <c r="C67" s="0" t="s">
        <v>89</v>
      </c>
      <c r="D67" s="0" t="s">
        <v>90</v>
      </c>
      <c r="E67" s="0" t="n">
        <v>0</v>
      </c>
      <c r="F67" s="0" t="s">
        <v>91</v>
      </c>
      <c r="I67" s="0" t="n">
        <v>2016</v>
      </c>
      <c r="J67" s="0" t="n">
        <v>9</v>
      </c>
      <c r="K67" s="0" t="s">
        <v>133</v>
      </c>
      <c r="L67" s="2" t="n">
        <v>46295</v>
      </c>
      <c r="M67" s="3" t="n">
        <f aca="false">IF(I67="","",(YEAR(L67)-I67)*12+MONTH(L67)-IF(J67="",1,J67))</f>
        <v>120</v>
      </c>
      <c r="N67" s="3" t="n">
        <f aca="false">IF(M67="","",ROUND(M67/12,2))</f>
        <v>10</v>
      </c>
      <c r="O67" s="3" t="s">
        <v>327</v>
      </c>
      <c r="P67" s="3" t="s">
        <v>327</v>
      </c>
      <c r="Q67" s="3" t="s">
        <v>395</v>
      </c>
      <c r="R67" s="0" t="n">
        <v>1</v>
      </c>
      <c r="S67" s="0" t="n">
        <v>0</v>
      </c>
      <c r="T67" s="0" t="n">
        <v>0</v>
      </c>
      <c r="U67" s="0" t="n">
        <v>1</v>
      </c>
      <c r="V67" s="0" t="n">
        <v>1</v>
      </c>
      <c r="W67" s="0" t="n">
        <v>0</v>
      </c>
      <c r="X67" s="3" t="s">
        <v>382</v>
      </c>
      <c r="Y67" s="0" t="n">
        <v>3</v>
      </c>
      <c r="Z67" s="0" t="n">
        <v>1</v>
      </c>
      <c r="AA67" s="0" t="n">
        <v>1</v>
      </c>
      <c r="AB67" s="3" t="s">
        <v>396</v>
      </c>
      <c r="AC67" s="0" t="n">
        <v>1</v>
      </c>
      <c r="AD67" s="0" t="n">
        <v>14600</v>
      </c>
      <c r="AE67" s="3" t="s">
        <v>97</v>
      </c>
      <c r="AF67" s="3" t="n">
        <f aca="false">IF(SUMIF(Founders_Clean!$A$2:$A$159,A67,Founders_Clean!$C$2:$C$159)=0,"",SUMIF(Founders_Clean!$A$2:$A$159,A67,Founders_Clean!$C$2:$C$159))</f>
        <v>1</v>
      </c>
      <c r="AG67" s="3" t="n">
        <f aca="false">IF(AF67="","",SUMIF(Founders_Clean!$A$2:$A$159,A67,Founders_Clean!$D$2:$D$159))</f>
        <v>1</v>
      </c>
      <c r="AH67" s="3" t="n">
        <f aca="false">IF(AF67="","",SUMIF(Founders_Clean!$A$2:$A$159,A67,Founders_Clean!$E$2:$E$159))</f>
        <v>0</v>
      </c>
      <c r="AI67" s="3" t="n">
        <f aca="false">IF(AF67="","",IF((AG67+AH67)=0,"",AH67/(AG67+AH67)))</f>
        <v>0</v>
      </c>
      <c r="AJ67" s="3" t="n">
        <f aca="false">IF(AI67="","",IF(AH67&gt;0,1,0))</f>
        <v>0</v>
      </c>
      <c r="AK67" s="3" t="n">
        <f aca="false">IF(AI67="","",ROUND(1-(AI67^2+(1-AI67)^2),3))</f>
        <v>0</v>
      </c>
      <c r="AM67" s="0" t="n">
        <v>3</v>
      </c>
      <c r="AN67" s="3" t="s">
        <v>120</v>
      </c>
      <c r="AO67" s="0" t="n">
        <v>1</v>
      </c>
      <c r="AP67" s="0" t="n">
        <v>1</v>
      </c>
      <c r="AQ67" s="0" t="n">
        <v>1</v>
      </c>
      <c r="AR67" s="0" t="n">
        <v>16</v>
      </c>
      <c r="AS67" s="0" t="n">
        <v>16</v>
      </c>
      <c r="AT67" s="0" t="n">
        <v>125.5</v>
      </c>
      <c r="AU67" s="3" t="s">
        <v>130</v>
      </c>
      <c r="AV67" s="3" t="s">
        <v>122</v>
      </c>
      <c r="AX67" s="3" t="s">
        <v>101</v>
      </c>
      <c r="AY67" s="3" t="s">
        <v>102</v>
      </c>
      <c r="BA67" s="0" t="n">
        <v>0</v>
      </c>
      <c r="BB67" s="0" t="n">
        <v>0</v>
      </c>
      <c r="BC67" s="0" t="n">
        <v>0</v>
      </c>
      <c r="BF67" s="3" t="n">
        <f aca="false">IF(OR(I67="",BC67=""),"",IF(BC67=1,(BD67-I67)*12+IF(BE67="",7,BE67)-IF(J67="",1,J67),M67))</f>
        <v>120</v>
      </c>
      <c r="BG67" s="0" t="n">
        <v>1</v>
      </c>
      <c r="BH67" s="0" t="n">
        <v>14600</v>
      </c>
      <c r="BI67" s="3" t="s">
        <v>103</v>
      </c>
      <c r="BJ67" s="0" t="n">
        <v>2018</v>
      </c>
      <c r="BK67" s="0" t="n">
        <v>1</v>
      </c>
      <c r="BL67" s="3" t="n">
        <f aca="false">COUNTIFS(Investments_Clean!$A$2:$A$150,A67,Investments_Clean!$F$2:$F$150,"Accepted")</f>
        <v>2</v>
      </c>
      <c r="BM67" s="3" t="n">
        <f aca="false">IF(BL67=0,"",IF((COUNTIFS(Investments_Clean!$A$2:$A$150,A67,Investments_Clean!$D$2:$D$150,"VC/PE",Investments_Clean!$F$2:$F$150,"Accepted"))&gt;0,1,0))</f>
        <v>0</v>
      </c>
      <c r="BN67" s="3" t="n">
        <f aca="false">IF(BL67=0,"",IF((COUNTIFS(Investments_Clean!$A$2:$A$150,A67,Investments_Clean!$D$2:$D$150,"Angel",Investments_Clean!$F$2:$F$150,"Accepted"))&gt;0,1,0))</f>
        <v>0</v>
      </c>
      <c r="BO67" s="3" t="n">
        <f aca="false">IF(BL67=0,"",IF((COUNTIFS(Investments_Clean!$A$2:$A$150,A67,Investments_Clean!$D$2:$D$150,"Accelerator",Investments_Clean!$F$2:$F$150,"Accepted"))&gt;0,1,0))</f>
        <v>0</v>
      </c>
      <c r="BP67" s="3" t="n">
        <f aca="false">IF(BL67=0,"",IF((COUNTIFS(Investments_Clean!$A$2:$A$150,A67,Investments_Clean!$D$2:$D$150,"Corporate",Investments_Clean!$F$2:$F$150,"Accepted"))&gt;0,1,0))</f>
        <v>0</v>
      </c>
      <c r="BQ67" s="3" t="n">
        <f aca="false">IF(BL67=0,"",IF((COUNTIFS(Investments_Clean!$A$2:$A$150,A67,Investments_Clean!$D$2:$D$150,"Government",Investments_Clean!$F$2:$F$150,"Accepted"))&gt;0,1,0))</f>
        <v>0</v>
      </c>
      <c r="BR67" s="3" t="n">
        <f aca="false">IF(BL67=0,"",IF((COUNTIFS(Investments_Clean!$A$2:$A$150,A67,Investments_Clean!$D$2:$D$150,"Grant/Philanthropic",Investments_Clean!$F$2:$F$150,"Accepted")+COUNTIFS(Investments_Clean!$A$2:$A$150,A67,Investments_Clean!$D$2:$D$150,"DFI/Impact",Investments_Clean!$F$2:$F$150,"Accepted"))&gt;0,1,0))</f>
        <v>1</v>
      </c>
      <c r="BV67" s="0" t="n">
        <v>22500</v>
      </c>
      <c r="BW67" s="0" t="n">
        <v>50</v>
      </c>
      <c r="BX67" s="0" t="n">
        <v>26.1</v>
      </c>
      <c r="BY67" s="0" t="n">
        <v>10000</v>
      </c>
      <c r="BZ67" s="0" t="n">
        <v>5</v>
      </c>
      <c r="CA67" s="0" t="n">
        <v>4</v>
      </c>
      <c r="CB67" s="0" t="n">
        <v>69.1</v>
      </c>
      <c r="CC67" s="0" t="str">
        <f aca="false">IF(I67="","",IFERROR(IF(INDEX(Macro_Lookup!$B$2:$B$31,MATCH(I67,Macro_Lookup!$A$2:$A$31,0))="","",INDEX(Macro_Lookup!$B$2:$B$31,MATCH(I67,Macro_Lookup!$A$2:$A$31,0))),""))</f>
        <v/>
      </c>
      <c r="CD67" s="0" t="str">
        <f aca="false">IF(I67="","",IFERROR(IF(INDEX(Macro_Lookup!$C$2:$C$31,MATCH(I67,Macro_Lookup!$A$2:$A$31,0))="","",INDEX(Macro_Lookup!$C$2:$C$31,MATCH(I67,Macro_Lookup!$A$2:$A$31,0))),""))</f>
        <v/>
      </c>
      <c r="CE67" s="0" t="str">
        <f aca="false">IF(BJ67="","",IFERROR(IF(INDEX(Macro_Lookup!$B$2:$B$31,MATCH(BJ67,Macro_Lookup!$A$2:$A$31,0))="","",INDEX(Macro_Lookup!$B$2:$B$31,MATCH(BJ67,Macro_Lookup!$A$2:$A$31,0))),""))</f>
        <v/>
      </c>
      <c r="CF67" s="0" t="str">
        <f aca="false">IF(BJ67="","",IFERROR(IF(INDEX(Macro_Lookup!$C$2:$C$31,MATCH(BJ67,Macro_Lookup!$A$2:$A$31,0))="","",INDEX(Macro_Lookup!$C$2:$C$31,MATCH(BJ67,Macro_Lookup!$A$2:$A$31,0))),""))</f>
        <v/>
      </c>
      <c r="CG67" s="0" t="n">
        <v>0</v>
      </c>
      <c r="CH67" s="3" t="s">
        <v>104</v>
      </c>
      <c r="CI67" s="3" t="s">
        <v>105</v>
      </c>
    </row>
    <row r="68" customFormat="false" ht="14.25" hidden="false" customHeight="false" outlineLevel="0" collapsed="false">
      <c r="A68" s="0" t="s">
        <v>397</v>
      </c>
      <c r="B68" s="0" t="s">
        <v>398</v>
      </c>
      <c r="C68" s="0" t="s">
        <v>89</v>
      </c>
      <c r="D68" s="0" t="s">
        <v>90</v>
      </c>
      <c r="E68" s="0" t="n">
        <v>0</v>
      </c>
      <c r="F68" s="0" t="s">
        <v>91</v>
      </c>
      <c r="I68" s="0" t="n">
        <v>2020</v>
      </c>
      <c r="K68" s="0" t="s">
        <v>92</v>
      </c>
      <c r="L68" s="2" t="n">
        <v>46295</v>
      </c>
      <c r="M68" s="3" t="n">
        <f aca="false">IF(I68="","",(YEAR(L68)-I68)*12+MONTH(L68)-IF(J68="",1,J68))</f>
        <v>80</v>
      </c>
      <c r="N68" s="3" t="n">
        <f aca="false">IF(M68="","",ROUND(M68/12,2))</f>
        <v>6.67</v>
      </c>
      <c r="O68" s="3" t="s">
        <v>399</v>
      </c>
      <c r="P68" s="3" t="s">
        <v>327</v>
      </c>
      <c r="Q68" s="3" t="s">
        <v>400</v>
      </c>
      <c r="R68" s="0" t="n">
        <v>1</v>
      </c>
      <c r="S68" s="0" t="n">
        <v>1</v>
      </c>
      <c r="T68" s="0" t="n">
        <v>0</v>
      </c>
      <c r="U68" s="0" t="n">
        <v>1</v>
      </c>
      <c r="V68" s="0" t="n">
        <v>0</v>
      </c>
      <c r="W68" s="0" t="n">
        <v>0</v>
      </c>
      <c r="X68" s="3" t="s">
        <v>382</v>
      </c>
      <c r="Y68" s="0" t="n">
        <v>3</v>
      </c>
      <c r="Z68" s="0" t="n">
        <v>1</v>
      </c>
      <c r="AA68" s="0" t="n">
        <v>0</v>
      </c>
      <c r="AB68" s="3" t="s">
        <v>401</v>
      </c>
      <c r="AF68" s="3" t="n">
        <f aca="false">IF(SUMIF(Founders_Clean!$A$2:$A$159,A68,Founders_Clean!$C$2:$C$159)=0,"",SUMIF(Founders_Clean!$A$2:$A$159,A68,Founders_Clean!$C$2:$C$159))</f>
        <v>2</v>
      </c>
      <c r="AG68" s="3" t="n">
        <f aca="false">IF(AF68="","",SUMIF(Founders_Clean!$A$2:$A$159,A68,Founders_Clean!$D$2:$D$159))</f>
        <v>2</v>
      </c>
      <c r="AH68" s="3" t="n">
        <f aca="false">IF(AF68="","",SUMIF(Founders_Clean!$A$2:$A$159,A68,Founders_Clean!$E$2:$E$159))</f>
        <v>0</v>
      </c>
      <c r="AI68" s="3" t="n">
        <f aca="false">IF(AF68="","",IF((AG68+AH68)=0,"",AH68/(AG68+AH68)))</f>
        <v>0</v>
      </c>
      <c r="AJ68" s="3" t="n">
        <f aca="false">IF(AI68="","",IF(AH68&gt;0,1,0))</f>
        <v>0</v>
      </c>
      <c r="AK68" s="3" t="n">
        <f aca="false">IF(AI68="","",ROUND(1-(AI68^2+(1-AI68)^2),3))</f>
        <v>0</v>
      </c>
      <c r="AM68" s="0" t="n">
        <v>2</v>
      </c>
      <c r="AN68" s="3" t="s">
        <v>98</v>
      </c>
      <c r="AO68" s="0" t="n">
        <v>1</v>
      </c>
      <c r="AP68" s="0" t="n">
        <v>0.5</v>
      </c>
      <c r="AQ68" s="0" t="n">
        <v>1</v>
      </c>
      <c r="AR68" s="0" t="n">
        <v>30</v>
      </c>
      <c r="AS68" s="0" t="n">
        <v>24</v>
      </c>
      <c r="AT68" s="0" t="n">
        <v>30.5</v>
      </c>
      <c r="AU68" s="3" t="s">
        <v>161</v>
      </c>
      <c r="AV68" s="3" t="s">
        <v>122</v>
      </c>
      <c r="AX68" s="3" t="s">
        <v>101</v>
      </c>
      <c r="AY68" s="3" t="s">
        <v>102</v>
      </c>
      <c r="BA68" s="0" t="n">
        <v>0</v>
      </c>
      <c r="BB68" s="0" t="n">
        <v>0</v>
      </c>
      <c r="BC68" s="0" t="n">
        <v>0</v>
      </c>
      <c r="BF68" s="3" t="n">
        <f aca="false">IF(OR(I68="",BC68=""),"",IF(BC68=1,(BD68-I68)*12+IF(BE68="",7,BE68)-IF(J68="",1,J68),M68))</f>
        <v>80</v>
      </c>
      <c r="BG68" s="0" t="n">
        <v>0</v>
      </c>
      <c r="BH68" s="0" t="n">
        <v>0</v>
      </c>
      <c r="BI68" s="3" t="s">
        <v>116</v>
      </c>
      <c r="BK68" s="0" t="n">
        <v>0</v>
      </c>
      <c r="BL68" s="3" t="n">
        <f aca="false">COUNTIFS(Investments_Clean!$A$2:$A$150,A68,Investments_Clean!$F$2:$F$150,"Accepted")</f>
        <v>0</v>
      </c>
      <c r="BM68" s="0" t="str">
        <f aca="false">IF(BL68=0,"",IF((COUNTIFS(Investments_Clean!$A$2:$A$150,A68,Investments_Clean!$D$2:$D$150,"VC/PE",Investments_Clean!$F$2:$F$150,"Accepted"))&gt;0,1,0))</f>
        <v/>
      </c>
      <c r="BN68" s="0" t="str">
        <f aca="false">IF(BL68=0,"",IF((COUNTIFS(Investments_Clean!$A$2:$A$150,A68,Investments_Clean!$D$2:$D$150,"Angel",Investments_Clean!$F$2:$F$150,"Accepted"))&gt;0,1,0))</f>
        <v/>
      </c>
      <c r="BO68" s="0" t="str">
        <f aca="false">IF(BL68=0,"",IF((COUNTIFS(Investments_Clean!$A$2:$A$150,A68,Investments_Clean!$D$2:$D$150,"Accelerator",Investments_Clean!$F$2:$F$150,"Accepted"))&gt;0,1,0))</f>
        <v/>
      </c>
      <c r="BP68" s="0" t="str">
        <f aca="false">IF(BL68=0,"",IF((COUNTIFS(Investments_Clean!$A$2:$A$150,A68,Investments_Clean!$D$2:$D$150,"Corporate",Investments_Clean!$F$2:$F$150,"Accepted"))&gt;0,1,0))</f>
        <v/>
      </c>
      <c r="BQ68" s="0" t="str">
        <f aca="false">IF(BL68=0,"",IF((COUNTIFS(Investments_Clean!$A$2:$A$150,A68,Investments_Clean!$D$2:$D$150,"Government",Investments_Clean!$F$2:$F$150,"Accepted"))&gt;0,1,0))</f>
        <v/>
      </c>
      <c r="BR68" s="0" t="str">
        <f aca="false">IF(BL68=0,"",IF((COUNTIFS(Investments_Clean!$A$2:$A$150,A68,Investments_Clean!$D$2:$D$150,"Grant/Philanthropic",Investments_Clean!$F$2:$F$150,"Accepted")+COUNTIFS(Investments_Clean!$A$2:$A$150,A68,Investments_Clean!$D$2:$D$150,"DFI/Impact",Investments_Clean!$F$2:$F$150,"Accepted"))&gt;0,1,0))</f>
        <v/>
      </c>
      <c r="BV68" s="0" t="n">
        <v>27500</v>
      </c>
      <c r="BW68" s="0" t="n">
        <v>25</v>
      </c>
      <c r="BX68" s="0" t="n">
        <v>25.4</v>
      </c>
      <c r="BY68" s="0" t="n">
        <v>50000</v>
      </c>
      <c r="CA68" s="0" t="n">
        <v>4</v>
      </c>
      <c r="CB68" s="0" t="n">
        <v>65.2</v>
      </c>
      <c r="CC68" s="0" t="str">
        <f aca="false">IF(I68="","",IFERROR(IF(INDEX(Macro_Lookup!$B$2:$B$31,MATCH(I68,Macro_Lookup!$A$2:$A$31,0))="","",INDEX(Macro_Lookup!$B$2:$B$31,MATCH(I68,Macro_Lookup!$A$2:$A$31,0))),""))</f>
        <v/>
      </c>
      <c r="CD68" s="0" t="str">
        <f aca="false">IF(I68="","",IFERROR(IF(INDEX(Macro_Lookup!$C$2:$C$31,MATCH(I68,Macro_Lookup!$A$2:$A$31,0))="","",INDEX(Macro_Lookup!$C$2:$C$31,MATCH(I68,Macro_Lookup!$A$2:$A$31,0))),""))</f>
        <v/>
      </c>
      <c r="CE68" s="0" t="str">
        <f aca="false">IF(BJ68="","",IFERROR(IF(INDEX(Macro_Lookup!$B$2:$B$31,MATCH(BJ68,Macro_Lookup!$A$2:$A$31,0))="","",INDEX(Macro_Lookup!$B$2:$B$31,MATCH(BJ68,Macro_Lookup!$A$2:$A$31,0))),""))</f>
        <v/>
      </c>
      <c r="CF68" s="0" t="str">
        <f aca="false">IF(BJ68="","",IFERROR(IF(INDEX(Macro_Lookup!$C$2:$C$31,MATCH(BJ68,Macro_Lookup!$A$2:$A$31,0))="","",INDEX(Macro_Lookup!$C$2:$C$31,MATCH(BJ68,Macro_Lookup!$A$2:$A$31,0))),""))</f>
        <v/>
      </c>
      <c r="CG68" s="0" t="n">
        <v>1</v>
      </c>
      <c r="CH68" s="3" t="s">
        <v>104</v>
      </c>
      <c r="CI68" s="3" t="s">
        <v>105</v>
      </c>
    </row>
    <row r="69" customFormat="false" ht="14.25" hidden="false" customHeight="false" outlineLevel="0" collapsed="false">
      <c r="A69" s="0" t="s">
        <v>402</v>
      </c>
      <c r="B69" s="0" t="s">
        <v>403</v>
      </c>
      <c r="C69" s="0" t="s">
        <v>89</v>
      </c>
      <c r="D69" s="0" t="s">
        <v>90</v>
      </c>
      <c r="E69" s="0" t="n">
        <v>0</v>
      </c>
      <c r="F69" s="0" t="s">
        <v>91</v>
      </c>
      <c r="I69" s="0" t="n">
        <v>2019</v>
      </c>
      <c r="K69" s="0" t="s">
        <v>92</v>
      </c>
      <c r="L69" s="2" t="n">
        <v>46295</v>
      </c>
      <c r="M69" s="3" t="n">
        <f aca="false">IF(I69="","",(YEAR(L69)-I69)*12+MONTH(L69)-IF(J69="",1,J69))</f>
        <v>92</v>
      </c>
      <c r="N69" s="3" t="n">
        <f aca="false">IF(M69="","",ROUND(M69/12,2))</f>
        <v>7.67</v>
      </c>
      <c r="O69" s="3" t="s">
        <v>404</v>
      </c>
      <c r="P69" s="3" t="s">
        <v>94</v>
      </c>
      <c r="Q69" s="3" t="s">
        <v>405</v>
      </c>
      <c r="R69" s="0" t="n">
        <v>0</v>
      </c>
      <c r="S69" s="0" t="n">
        <v>0</v>
      </c>
      <c r="T69" s="0" t="n">
        <v>0</v>
      </c>
      <c r="U69" s="0" t="n">
        <v>0</v>
      </c>
      <c r="V69" s="0" t="n">
        <v>0</v>
      </c>
      <c r="W69" s="0" t="n">
        <v>1</v>
      </c>
      <c r="X69" s="3" t="s">
        <v>382</v>
      </c>
      <c r="Y69" s="0" t="n">
        <v>3</v>
      </c>
      <c r="Z69" s="0" t="n">
        <v>1</v>
      </c>
      <c r="AA69" s="0" t="n">
        <v>1</v>
      </c>
      <c r="AB69" s="3" t="s">
        <v>232</v>
      </c>
      <c r="AC69" s="0" t="n">
        <v>1</v>
      </c>
      <c r="AD69" s="0" t="n">
        <v>50000</v>
      </c>
      <c r="AE69" s="3" t="s">
        <v>97</v>
      </c>
      <c r="AF69" s="3" t="n">
        <f aca="false">IF(SUMIF(Founders_Clean!$A$2:$A$159,A69,Founders_Clean!$C$2:$C$159)=0,"",SUMIF(Founders_Clean!$A$2:$A$159,A69,Founders_Clean!$C$2:$C$159))</f>
        <v>2</v>
      </c>
      <c r="AG69" s="3" t="n">
        <f aca="false">IF(AF69="","",SUMIF(Founders_Clean!$A$2:$A$159,A69,Founders_Clean!$D$2:$D$159))</f>
        <v>2</v>
      </c>
      <c r="AH69" s="3" t="n">
        <f aca="false">IF(AF69="","",SUMIF(Founders_Clean!$A$2:$A$159,A69,Founders_Clean!$E$2:$E$159))</f>
        <v>0</v>
      </c>
      <c r="AI69" s="3" t="n">
        <f aca="false">IF(AF69="","",IF((AG69+AH69)=0,"",AH69/(AG69+AH69)))</f>
        <v>0</v>
      </c>
      <c r="AJ69" s="3" t="n">
        <f aca="false">IF(AI69="","",IF(AH69&gt;0,1,0))</f>
        <v>0</v>
      </c>
      <c r="AK69" s="3" t="n">
        <f aca="false">IF(AI69="","",ROUND(1-(AI69^2+(1-AI69)^2),3))</f>
        <v>0</v>
      </c>
      <c r="AM69" s="0" t="n">
        <v>2</v>
      </c>
      <c r="AN69" s="3" t="s">
        <v>98</v>
      </c>
      <c r="AO69" s="0" t="n">
        <v>1</v>
      </c>
      <c r="AP69" s="0" t="n">
        <v>0.5</v>
      </c>
      <c r="AQ69" s="0" t="n">
        <v>1</v>
      </c>
      <c r="AR69" s="0" t="n">
        <v>15</v>
      </c>
      <c r="AS69" s="0" t="n">
        <v>14.5</v>
      </c>
      <c r="AT69" s="0" t="n">
        <v>350.5</v>
      </c>
      <c r="AU69" s="3" t="s">
        <v>121</v>
      </c>
      <c r="AV69" s="3" t="s">
        <v>122</v>
      </c>
      <c r="AX69" s="3" t="s">
        <v>101</v>
      </c>
      <c r="AY69" s="3" t="s">
        <v>102</v>
      </c>
      <c r="BA69" s="0" t="n">
        <v>0</v>
      </c>
      <c r="BB69" s="0" t="n">
        <v>0</v>
      </c>
      <c r="BC69" s="0" t="n">
        <v>0</v>
      </c>
      <c r="BF69" s="3" t="n">
        <f aca="false">IF(OR(I69="",BC69=""),"",IF(BC69=1,(BD69-I69)*12+IF(BE69="",7,BE69)-IF(J69="",1,J69),M69))</f>
        <v>92</v>
      </c>
      <c r="BG69" s="0" t="n">
        <v>1</v>
      </c>
      <c r="BH69" s="0" t="n">
        <v>4420000</v>
      </c>
      <c r="BI69" s="3" t="s">
        <v>103</v>
      </c>
      <c r="BK69" s="0" t="n">
        <v>1</v>
      </c>
      <c r="BL69" s="3" t="n">
        <f aca="false">COUNTIFS(Investments_Clean!$A$2:$A$150,A69,Investments_Clean!$F$2:$F$150,"Accepted")</f>
        <v>6</v>
      </c>
      <c r="BM69" s="3" t="n">
        <f aca="false">IF(BL69=0,"",IF((COUNTIFS(Investments_Clean!$A$2:$A$150,A69,Investments_Clean!$D$2:$D$150,"VC/PE",Investments_Clean!$F$2:$F$150,"Accepted"))&gt;0,1,0))</f>
        <v>1</v>
      </c>
      <c r="BN69" s="3" t="n">
        <f aca="false">IF(BL69=0,"",IF((COUNTIFS(Investments_Clean!$A$2:$A$150,A69,Investments_Clean!$D$2:$D$150,"Angel",Investments_Clean!$F$2:$F$150,"Accepted"))&gt;0,1,0))</f>
        <v>0</v>
      </c>
      <c r="BO69" s="3" t="n">
        <f aca="false">IF(BL69=0,"",IF((COUNTIFS(Investments_Clean!$A$2:$A$150,A69,Investments_Clean!$D$2:$D$150,"Accelerator",Investments_Clean!$F$2:$F$150,"Accepted"))&gt;0,1,0))</f>
        <v>0</v>
      </c>
      <c r="BP69" s="3" t="n">
        <f aca="false">IF(BL69=0,"",IF((COUNTIFS(Investments_Clean!$A$2:$A$150,A69,Investments_Clean!$D$2:$D$150,"Corporate",Investments_Clean!$F$2:$F$150,"Accepted"))&gt;0,1,0))</f>
        <v>0</v>
      </c>
      <c r="BQ69" s="3" t="n">
        <f aca="false">IF(BL69=0,"",IF((COUNTIFS(Investments_Clean!$A$2:$A$150,A69,Investments_Clean!$D$2:$D$150,"Government",Investments_Clean!$F$2:$F$150,"Accepted"))&gt;0,1,0))</f>
        <v>0</v>
      </c>
      <c r="BR69" s="3" t="n">
        <f aca="false">IF(BL69=0,"",IF((COUNTIFS(Investments_Clean!$A$2:$A$150,A69,Investments_Clean!$D$2:$D$150,"Grant/Philanthropic",Investments_Clean!$F$2:$F$150,"Accepted")+COUNTIFS(Investments_Clean!$A$2:$A$150,A69,Investments_Clean!$D$2:$D$150,"DFI/Impact",Investments_Clean!$F$2:$F$150,"Accepted"))&gt;0,1,0))</f>
        <v>1</v>
      </c>
      <c r="BT69" s="0" t="n">
        <v>770</v>
      </c>
      <c r="BV69" s="0" t="n">
        <v>60000</v>
      </c>
      <c r="BW69" s="0" t="n">
        <v>80</v>
      </c>
      <c r="BX69" s="0" t="n">
        <v>25.7</v>
      </c>
      <c r="BY69" s="0" t="n">
        <v>100000</v>
      </c>
      <c r="CA69" s="0" t="n">
        <v>4</v>
      </c>
      <c r="CB69" s="0" t="n">
        <v>80.2</v>
      </c>
      <c r="CC69" s="0" t="str">
        <f aca="false">IF(I69="","",IFERROR(IF(INDEX(Macro_Lookup!$B$2:$B$31,MATCH(I69,Macro_Lookup!$A$2:$A$31,0))="","",INDEX(Macro_Lookup!$B$2:$B$31,MATCH(I69,Macro_Lookup!$A$2:$A$31,0))),""))</f>
        <v/>
      </c>
      <c r="CD69" s="0" t="str">
        <f aca="false">IF(I69="","",IFERROR(IF(INDEX(Macro_Lookup!$C$2:$C$31,MATCH(I69,Macro_Lookup!$A$2:$A$31,0))="","",INDEX(Macro_Lookup!$C$2:$C$31,MATCH(I69,Macro_Lookup!$A$2:$A$31,0))),""))</f>
        <v/>
      </c>
      <c r="CE69" s="0" t="str">
        <f aca="false">IF(BJ69="","",IFERROR(IF(INDEX(Macro_Lookup!$B$2:$B$31,MATCH(BJ69,Macro_Lookup!$A$2:$A$31,0))="","",INDEX(Macro_Lookup!$B$2:$B$31,MATCH(BJ69,Macro_Lookup!$A$2:$A$31,0))),""))</f>
        <v/>
      </c>
      <c r="CF69" s="0" t="str">
        <f aca="false">IF(BJ69="","",IFERROR(IF(INDEX(Macro_Lookup!$C$2:$C$31,MATCH(BJ69,Macro_Lookup!$A$2:$A$31,0))="","",INDEX(Macro_Lookup!$C$2:$C$31,MATCH(BJ69,Macro_Lookup!$A$2:$A$31,0))),""))</f>
        <v/>
      </c>
      <c r="CG69" s="0" t="n">
        <v>0</v>
      </c>
      <c r="CH69" s="3" t="s">
        <v>104</v>
      </c>
      <c r="CI69" s="3" t="s">
        <v>105</v>
      </c>
    </row>
    <row r="70" customFormat="false" ht="14.25" hidden="false" customHeight="false" outlineLevel="0" collapsed="false">
      <c r="A70" s="0" t="s">
        <v>406</v>
      </c>
      <c r="B70" s="0" t="s">
        <v>407</v>
      </c>
      <c r="C70" s="0" t="s">
        <v>89</v>
      </c>
      <c r="D70" s="0" t="s">
        <v>90</v>
      </c>
      <c r="E70" s="0" t="n">
        <v>0</v>
      </c>
      <c r="F70" s="0" t="s">
        <v>91</v>
      </c>
      <c r="I70" s="0" t="n">
        <v>2019</v>
      </c>
      <c r="K70" s="0" t="s">
        <v>92</v>
      </c>
      <c r="L70" s="2" t="n">
        <v>46295</v>
      </c>
      <c r="M70" s="3" t="n">
        <f aca="false">IF(I70="","",(YEAR(L70)-I70)*12+MONTH(L70)-IF(J70="",1,J70))</f>
        <v>92</v>
      </c>
      <c r="N70" s="3" t="n">
        <f aca="false">IF(M70="","",ROUND(M70/12,2))</f>
        <v>7.67</v>
      </c>
      <c r="O70" s="3" t="s">
        <v>408</v>
      </c>
      <c r="P70" s="3" t="s">
        <v>409</v>
      </c>
      <c r="Q70" s="3" t="s">
        <v>410</v>
      </c>
      <c r="R70" s="0" t="n">
        <v>1</v>
      </c>
      <c r="S70" s="0" t="n">
        <v>0</v>
      </c>
      <c r="T70" s="0" t="n">
        <v>0</v>
      </c>
      <c r="U70" s="0" t="n">
        <v>0</v>
      </c>
      <c r="V70" s="0" t="n">
        <v>0</v>
      </c>
      <c r="W70" s="0" t="n">
        <v>0</v>
      </c>
      <c r="X70" s="3" t="s">
        <v>382</v>
      </c>
      <c r="Y70" s="0" t="n">
        <v>3</v>
      </c>
      <c r="Z70" s="0" t="n">
        <v>1</v>
      </c>
      <c r="AA70" s="0" t="n">
        <v>1</v>
      </c>
      <c r="AB70" s="3" t="s">
        <v>411</v>
      </c>
      <c r="AF70" s="3" t="n">
        <f aca="false">IF(SUMIF(Founders_Clean!$A$2:$A$159,A70,Founders_Clean!$C$2:$C$159)=0,"",SUMIF(Founders_Clean!$A$2:$A$159,A70,Founders_Clean!$C$2:$C$159))</f>
        <v>3</v>
      </c>
      <c r="AG70" s="3" t="n">
        <f aca="false">IF(AF70="","",SUMIF(Founders_Clean!$A$2:$A$159,A70,Founders_Clean!$D$2:$D$159))</f>
        <v>3</v>
      </c>
      <c r="AH70" s="3" t="n">
        <f aca="false">IF(AF70="","",SUMIF(Founders_Clean!$A$2:$A$159,A70,Founders_Clean!$E$2:$E$159))</f>
        <v>0</v>
      </c>
      <c r="AI70" s="3" t="n">
        <f aca="false">IF(AF70="","",IF((AG70+AH70)=0,"",AH70/(AG70+AH70)))</f>
        <v>0</v>
      </c>
      <c r="AJ70" s="3" t="n">
        <f aca="false">IF(AI70="","",IF(AH70&gt;0,1,0))</f>
        <v>0</v>
      </c>
      <c r="AK70" s="3" t="n">
        <f aca="false">IF(AI70="","",ROUND(1-(AI70^2+(1-AI70)^2),3))</f>
        <v>0</v>
      </c>
      <c r="AM70" s="0" t="n">
        <v>2</v>
      </c>
      <c r="AN70" s="3" t="s">
        <v>98</v>
      </c>
      <c r="AO70" s="0" t="n">
        <v>0</v>
      </c>
      <c r="AP70" s="0" t="n">
        <v>0</v>
      </c>
      <c r="AQ70" s="0" t="n">
        <v>0</v>
      </c>
      <c r="AR70" s="0" t="n">
        <v>18</v>
      </c>
      <c r="AS70" s="0" t="n">
        <v>11.3333333333333</v>
      </c>
      <c r="AT70" s="0" t="n">
        <v>125.5</v>
      </c>
      <c r="AU70" s="3" t="s">
        <v>130</v>
      </c>
      <c r="AV70" s="3" t="s">
        <v>122</v>
      </c>
      <c r="AX70" s="3" t="s">
        <v>101</v>
      </c>
      <c r="AY70" s="3" t="s">
        <v>102</v>
      </c>
      <c r="BA70" s="0" t="n">
        <v>0</v>
      </c>
      <c r="BB70" s="0" t="n">
        <v>0</v>
      </c>
      <c r="BC70" s="0" t="n">
        <v>0</v>
      </c>
      <c r="BF70" s="3" t="n">
        <f aca="false">IF(OR(I70="",BC70=""),"",IF(BC70=1,(BD70-I70)*12+IF(BE70="",7,BE70)-IF(J70="",1,J70),M70))</f>
        <v>92</v>
      </c>
      <c r="BG70" s="0" t="n">
        <v>1</v>
      </c>
      <c r="BH70" s="0" t="n">
        <v>2200000</v>
      </c>
      <c r="BI70" s="3" t="s">
        <v>103</v>
      </c>
      <c r="BK70" s="0" t="n">
        <v>1</v>
      </c>
      <c r="BL70" s="3" t="n">
        <f aca="false">COUNTIFS(Investments_Clean!$A$2:$A$150,A70,Investments_Clean!$F$2:$F$150,"Accepted")</f>
        <v>2</v>
      </c>
      <c r="BM70" s="3" t="n">
        <f aca="false">IF(BL70=0,"",IF((COUNTIFS(Investments_Clean!$A$2:$A$150,A70,Investments_Clean!$D$2:$D$150,"VC/PE",Investments_Clean!$F$2:$F$150,"Accepted"))&gt;0,1,0))</f>
        <v>0</v>
      </c>
      <c r="BN70" s="3" t="n">
        <f aca="false">IF(BL70=0,"",IF((COUNTIFS(Investments_Clean!$A$2:$A$150,A70,Investments_Clean!$D$2:$D$150,"Angel",Investments_Clean!$F$2:$F$150,"Accepted"))&gt;0,1,0))</f>
        <v>0</v>
      </c>
      <c r="BO70" s="3" t="n">
        <f aca="false">IF(BL70=0,"",IF((COUNTIFS(Investments_Clean!$A$2:$A$150,A70,Investments_Clean!$D$2:$D$150,"Accelerator",Investments_Clean!$F$2:$F$150,"Accepted"))&gt;0,1,0))</f>
        <v>1</v>
      </c>
      <c r="BP70" s="3" t="n">
        <f aca="false">IF(BL70=0,"",IF((COUNTIFS(Investments_Clean!$A$2:$A$150,A70,Investments_Clean!$D$2:$D$150,"Corporate",Investments_Clean!$F$2:$F$150,"Accepted"))&gt;0,1,0))</f>
        <v>1</v>
      </c>
      <c r="BQ70" s="3" t="n">
        <f aca="false">IF(BL70=0,"",IF((COUNTIFS(Investments_Clean!$A$2:$A$150,A70,Investments_Clean!$D$2:$D$150,"Government",Investments_Clean!$F$2:$F$150,"Accepted"))&gt;0,1,0))</f>
        <v>0</v>
      </c>
      <c r="BR70" s="3" t="n">
        <f aca="false">IF(BL70=0,"",IF((COUNTIFS(Investments_Clean!$A$2:$A$150,A70,Investments_Clean!$D$2:$D$150,"Grant/Philanthropic",Investments_Clean!$F$2:$F$150,"Accepted")+COUNTIFS(Investments_Clean!$A$2:$A$150,A70,Investments_Clean!$D$2:$D$150,"DFI/Impact",Investments_Clean!$F$2:$F$150,"Accepted"))&gt;0,1,0))</f>
        <v>0</v>
      </c>
      <c r="BV70" s="0" t="n">
        <v>15000</v>
      </c>
      <c r="BW70" s="0" t="n">
        <v>35</v>
      </c>
      <c r="BX70" s="0" t="n">
        <v>30.8</v>
      </c>
      <c r="BY70" s="0" t="n">
        <v>10000</v>
      </c>
      <c r="CA70" s="0" t="n">
        <v>4</v>
      </c>
      <c r="CB70" s="0" t="n">
        <v>62.2</v>
      </c>
      <c r="CC70" s="0" t="str">
        <f aca="false">IF(I70="","",IFERROR(IF(INDEX(Macro_Lookup!$B$2:$B$31,MATCH(I70,Macro_Lookup!$A$2:$A$31,0))="","",INDEX(Macro_Lookup!$B$2:$B$31,MATCH(I70,Macro_Lookup!$A$2:$A$31,0))),""))</f>
        <v/>
      </c>
      <c r="CD70" s="0" t="str">
        <f aca="false">IF(I70="","",IFERROR(IF(INDEX(Macro_Lookup!$C$2:$C$31,MATCH(I70,Macro_Lookup!$A$2:$A$31,0))="","",INDEX(Macro_Lookup!$C$2:$C$31,MATCH(I70,Macro_Lookup!$A$2:$A$31,0))),""))</f>
        <v/>
      </c>
      <c r="CE70" s="0" t="str">
        <f aca="false">IF(BJ70="","",IFERROR(IF(INDEX(Macro_Lookup!$B$2:$B$31,MATCH(BJ70,Macro_Lookup!$A$2:$A$31,0))="","",INDEX(Macro_Lookup!$B$2:$B$31,MATCH(BJ70,Macro_Lookup!$A$2:$A$31,0))),""))</f>
        <v/>
      </c>
      <c r="CF70" s="0" t="str">
        <f aca="false">IF(BJ70="","",IFERROR(IF(INDEX(Macro_Lookup!$C$2:$C$31,MATCH(BJ70,Macro_Lookup!$A$2:$A$31,0))="","",INDEX(Macro_Lookup!$C$2:$C$31,MATCH(BJ70,Macro_Lookup!$A$2:$A$31,0))),""))</f>
        <v/>
      </c>
      <c r="CG70" s="0" t="n">
        <v>1</v>
      </c>
      <c r="CH70" s="3" t="s">
        <v>104</v>
      </c>
      <c r="CI70" s="3" t="s">
        <v>105</v>
      </c>
    </row>
    <row r="71" customFormat="false" ht="14.25" hidden="false" customHeight="false" outlineLevel="0" collapsed="false">
      <c r="A71" s="0" t="s">
        <v>412</v>
      </c>
      <c r="B71" s="0" t="s">
        <v>413</v>
      </c>
      <c r="C71" s="0" t="s">
        <v>89</v>
      </c>
      <c r="D71" s="0" t="s">
        <v>90</v>
      </c>
      <c r="E71" s="0" t="n">
        <v>0</v>
      </c>
      <c r="F71" s="0" t="s">
        <v>91</v>
      </c>
      <c r="I71" s="0" t="n">
        <v>2020</v>
      </c>
      <c r="K71" s="0" t="s">
        <v>92</v>
      </c>
      <c r="L71" s="2" t="n">
        <v>46295</v>
      </c>
      <c r="M71" s="3" t="n">
        <f aca="false">IF(I71="","",(YEAR(L71)-I71)*12+MONTH(L71)-IF(J71="",1,J71))</f>
        <v>80</v>
      </c>
      <c r="N71" s="3" t="n">
        <f aca="false">IF(M71="","",ROUND(M71/12,2))</f>
        <v>6.67</v>
      </c>
      <c r="O71" s="3" t="s">
        <v>409</v>
      </c>
      <c r="P71" s="3" t="s">
        <v>409</v>
      </c>
      <c r="Q71" s="3" t="s">
        <v>414</v>
      </c>
      <c r="R71" s="0" t="n">
        <v>1</v>
      </c>
      <c r="S71" s="0" t="n">
        <v>0</v>
      </c>
      <c r="T71" s="0" t="n">
        <v>1</v>
      </c>
      <c r="U71" s="0" t="n">
        <v>0</v>
      </c>
      <c r="V71" s="0" t="n">
        <v>0</v>
      </c>
      <c r="W71" s="0" t="n">
        <v>0</v>
      </c>
      <c r="X71" s="3" t="s">
        <v>382</v>
      </c>
      <c r="Y71" s="0" t="n">
        <v>3</v>
      </c>
      <c r="Z71" s="0" t="n">
        <v>1</v>
      </c>
      <c r="AA71" s="0" t="n">
        <v>0</v>
      </c>
      <c r="AB71" s="3" t="s">
        <v>415</v>
      </c>
      <c r="AF71" s="3" t="n">
        <f aca="false">IF(SUMIF(Founders_Clean!$A$2:$A$159,A71,Founders_Clean!$C$2:$C$159)=0,"",SUMIF(Founders_Clean!$A$2:$A$159,A71,Founders_Clean!$C$2:$C$159))</f>
        <v>1</v>
      </c>
      <c r="AG71" s="3" t="n">
        <f aca="false">IF(AF71="","",SUMIF(Founders_Clean!$A$2:$A$159,A71,Founders_Clean!$D$2:$D$159))</f>
        <v>0</v>
      </c>
      <c r="AH71" s="3" t="n">
        <f aca="false">IF(AF71="","",SUMIF(Founders_Clean!$A$2:$A$159,A71,Founders_Clean!$E$2:$E$159))</f>
        <v>1</v>
      </c>
      <c r="AI71" s="3" t="n">
        <f aca="false">IF(AF71="","",IF((AG71+AH71)=0,"",AH71/(AG71+AH71)))</f>
        <v>1</v>
      </c>
      <c r="AJ71" s="3" t="n">
        <f aca="false">IF(AI71="","",IF(AH71&gt;0,1,0))</f>
        <v>1</v>
      </c>
      <c r="AK71" s="3" t="n">
        <f aca="false">IF(AI71="","",ROUND(1-(AI71^2+(1-AI71)^2),3))</f>
        <v>0</v>
      </c>
      <c r="AM71" s="0" t="n">
        <v>1</v>
      </c>
      <c r="AN71" s="3" t="s">
        <v>147</v>
      </c>
      <c r="AO71" s="0" t="n">
        <v>1</v>
      </c>
      <c r="AP71" s="0" t="n">
        <v>1</v>
      </c>
      <c r="AQ71" s="0" t="n">
        <v>1</v>
      </c>
      <c r="AR71" s="0" t="n">
        <v>7</v>
      </c>
      <c r="AS71" s="0" t="n">
        <v>7</v>
      </c>
      <c r="AT71" s="0" t="n">
        <v>6</v>
      </c>
      <c r="AU71" s="3" t="s">
        <v>155</v>
      </c>
      <c r="AV71" s="3" t="s">
        <v>122</v>
      </c>
      <c r="AX71" s="3" t="s">
        <v>101</v>
      </c>
      <c r="AY71" s="3" t="s">
        <v>102</v>
      </c>
      <c r="BA71" s="0" t="n">
        <v>0</v>
      </c>
      <c r="BB71" s="0" t="n">
        <v>0</v>
      </c>
      <c r="BC71" s="0" t="n">
        <v>0</v>
      </c>
      <c r="BF71" s="3" t="n">
        <f aca="false">IF(OR(I71="",BC71=""),"",IF(BC71=1,(BD71-I71)*12+IF(BE71="",7,BE71)-IF(J71="",1,J71),M71))</f>
        <v>80</v>
      </c>
      <c r="BG71" s="0" t="n">
        <v>0</v>
      </c>
      <c r="BH71" s="0" t="n">
        <v>0</v>
      </c>
      <c r="BI71" s="3" t="s">
        <v>116</v>
      </c>
      <c r="BK71" s="0" t="n">
        <v>0</v>
      </c>
      <c r="BL71" s="3" t="n">
        <f aca="false">COUNTIFS(Investments_Clean!$A$2:$A$150,A71,Investments_Clean!$F$2:$F$150,"Accepted")</f>
        <v>0</v>
      </c>
      <c r="BM71" s="0" t="str">
        <f aca="false">IF(BL71=0,"",IF((COUNTIFS(Investments_Clean!$A$2:$A$150,A71,Investments_Clean!$D$2:$D$150,"VC/PE",Investments_Clean!$F$2:$F$150,"Accepted"))&gt;0,1,0))</f>
        <v/>
      </c>
      <c r="BN71" s="0" t="str">
        <f aca="false">IF(BL71=0,"",IF((COUNTIFS(Investments_Clean!$A$2:$A$150,A71,Investments_Clean!$D$2:$D$150,"Angel",Investments_Clean!$F$2:$F$150,"Accepted"))&gt;0,1,0))</f>
        <v/>
      </c>
      <c r="BO71" s="0" t="str">
        <f aca="false">IF(BL71=0,"",IF((COUNTIFS(Investments_Clean!$A$2:$A$150,A71,Investments_Clean!$D$2:$D$150,"Accelerator",Investments_Clean!$F$2:$F$150,"Accepted"))&gt;0,1,0))</f>
        <v/>
      </c>
      <c r="BP71" s="0" t="str">
        <f aca="false">IF(BL71=0,"",IF((COUNTIFS(Investments_Clean!$A$2:$A$150,A71,Investments_Clean!$D$2:$D$150,"Corporate",Investments_Clean!$F$2:$F$150,"Accepted"))&gt;0,1,0))</f>
        <v/>
      </c>
      <c r="BQ71" s="0" t="str">
        <f aca="false">IF(BL71=0,"",IF((COUNTIFS(Investments_Clean!$A$2:$A$150,A71,Investments_Clean!$D$2:$D$150,"Government",Investments_Clean!$F$2:$F$150,"Accepted"))&gt;0,1,0))</f>
        <v/>
      </c>
      <c r="BR71" s="0" t="str">
        <f aca="false">IF(BL71=0,"",IF((COUNTIFS(Investments_Clean!$A$2:$A$150,A71,Investments_Clean!$D$2:$D$150,"Grant/Philanthropic",Investments_Clean!$F$2:$F$150,"Accepted")+COUNTIFS(Investments_Clean!$A$2:$A$150,A71,Investments_Clean!$D$2:$D$150,"DFI/Impact",Investments_Clean!$F$2:$F$150,"Accepted"))&gt;0,1,0))</f>
        <v/>
      </c>
      <c r="BV71" s="0" t="n">
        <v>8500</v>
      </c>
      <c r="BW71" s="0" t="n">
        <v>15</v>
      </c>
      <c r="BX71" s="0" t="n">
        <v>43.7</v>
      </c>
      <c r="BY71" s="0" t="n">
        <v>50000</v>
      </c>
      <c r="BZ71" s="0" t="n">
        <v>4.2</v>
      </c>
      <c r="CA71" s="0" t="n">
        <v>4</v>
      </c>
      <c r="CB71" s="0" t="n">
        <v>57.1</v>
      </c>
      <c r="CC71" s="0" t="str">
        <f aca="false">IF(I71="","",IFERROR(IF(INDEX(Macro_Lookup!$B$2:$B$31,MATCH(I71,Macro_Lookup!$A$2:$A$31,0))="","",INDEX(Macro_Lookup!$B$2:$B$31,MATCH(I71,Macro_Lookup!$A$2:$A$31,0))),""))</f>
        <v/>
      </c>
      <c r="CD71" s="0" t="str">
        <f aca="false">IF(I71="","",IFERROR(IF(INDEX(Macro_Lookup!$C$2:$C$31,MATCH(I71,Macro_Lookup!$A$2:$A$31,0))="","",INDEX(Macro_Lookup!$C$2:$C$31,MATCH(I71,Macro_Lookup!$A$2:$A$31,0))),""))</f>
        <v/>
      </c>
      <c r="CE71" s="0" t="str">
        <f aca="false">IF(BJ71="","",IFERROR(IF(INDEX(Macro_Lookup!$B$2:$B$31,MATCH(BJ71,Macro_Lookup!$A$2:$A$31,0))="","",INDEX(Macro_Lookup!$B$2:$B$31,MATCH(BJ71,Macro_Lookup!$A$2:$A$31,0))),""))</f>
        <v/>
      </c>
      <c r="CF71" s="0" t="str">
        <f aca="false">IF(BJ71="","",IFERROR(IF(INDEX(Macro_Lookup!$C$2:$C$31,MATCH(BJ71,Macro_Lookup!$A$2:$A$31,0))="","",INDEX(Macro_Lookup!$C$2:$C$31,MATCH(BJ71,Macro_Lookup!$A$2:$A$31,0))),""))</f>
        <v/>
      </c>
      <c r="CG71" s="0" t="n">
        <v>1</v>
      </c>
      <c r="CH71" s="3" t="s">
        <v>104</v>
      </c>
      <c r="CI71" s="3" t="s">
        <v>105</v>
      </c>
    </row>
    <row r="72" customFormat="false" ht="14.25" hidden="false" customHeight="false" outlineLevel="0" collapsed="false">
      <c r="A72" s="0" t="s">
        <v>416</v>
      </c>
      <c r="B72" s="0" t="s">
        <v>417</v>
      </c>
      <c r="C72" s="0" t="s">
        <v>89</v>
      </c>
      <c r="D72" s="0" t="s">
        <v>90</v>
      </c>
      <c r="E72" s="0" t="n">
        <v>0</v>
      </c>
      <c r="F72" s="0" t="s">
        <v>91</v>
      </c>
      <c r="I72" s="0" t="n">
        <v>2022</v>
      </c>
      <c r="J72" s="0" t="n">
        <v>3</v>
      </c>
      <c r="K72" s="0" t="s">
        <v>133</v>
      </c>
      <c r="L72" s="2" t="n">
        <v>46295</v>
      </c>
      <c r="M72" s="3" t="n">
        <f aca="false">IF(I72="","",(YEAR(L72)-I72)*12+MONTH(L72)-IF(J72="",1,J72))</f>
        <v>54</v>
      </c>
      <c r="N72" s="3" t="n">
        <f aca="false">IF(M72="","",ROUND(M72/12,2))</f>
        <v>4.5</v>
      </c>
      <c r="O72" s="3" t="s">
        <v>418</v>
      </c>
      <c r="P72" s="3" t="s">
        <v>409</v>
      </c>
      <c r="Q72" s="3" t="s">
        <v>419</v>
      </c>
      <c r="R72" s="0" t="n">
        <v>1</v>
      </c>
      <c r="S72" s="0" t="n">
        <v>0</v>
      </c>
      <c r="T72" s="0" t="n">
        <v>0</v>
      </c>
      <c r="U72" s="0" t="n">
        <v>0</v>
      </c>
      <c r="V72" s="0" t="n">
        <v>0</v>
      </c>
      <c r="W72" s="0" t="n">
        <v>0</v>
      </c>
      <c r="X72" s="3" t="s">
        <v>382</v>
      </c>
      <c r="Y72" s="0" t="n">
        <v>3</v>
      </c>
      <c r="Z72" s="0" t="n">
        <v>1</v>
      </c>
      <c r="AA72" s="0" t="n">
        <v>1</v>
      </c>
      <c r="AB72" s="3" t="s">
        <v>420</v>
      </c>
      <c r="AF72" s="3" t="n">
        <f aca="false">IF(SUMIF(Founders_Clean!$A$2:$A$159,A72,Founders_Clean!$C$2:$C$159)=0,"",SUMIF(Founders_Clean!$A$2:$A$159,A72,Founders_Clean!$C$2:$C$159))</f>
        <v>3</v>
      </c>
      <c r="AG72" s="3" t="n">
        <f aca="false">IF(AF72="","",SUMIF(Founders_Clean!$A$2:$A$159,A72,Founders_Clean!$D$2:$D$159))</f>
        <v>3</v>
      </c>
      <c r="AH72" s="3" t="n">
        <f aca="false">IF(AF72="","",SUMIF(Founders_Clean!$A$2:$A$159,A72,Founders_Clean!$E$2:$E$159))</f>
        <v>0</v>
      </c>
      <c r="AI72" s="3" t="n">
        <f aca="false">IF(AF72="","",IF((AG72+AH72)=0,"",AH72/(AG72+AH72)))</f>
        <v>0</v>
      </c>
      <c r="AJ72" s="3" t="n">
        <f aca="false">IF(AI72="","",IF(AH72&gt;0,1,0))</f>
        <v>0</v>
      </c>
      <c r="AK72" s="3" t="n">
        <f aca="false">IF(AI72="","",ROUND(1-(AI72^2+(1-AI72)^2),3))</f>
        <v>0</v>
      </c>
      <c r="AM72" s="0" t="n">
        <v>3</v>
      </c>
      <c r="AN72" s="3" t="s">
        <v>120</v>
      </c>
      <c r="AO72" s="0" t="n">
        <v>1</v>
      </c>
      <c r="AP72" s="0" t="n">
        <v>0.666666666666667</v>
      </c>
      <c r="AQ72" s="0" t="n">
        <v>1</v>
      </c>
      <c r="AR72" s="0" t="n">
        <v>7</v>
      </c>
      <c r="AS72" s="0" t="n">
        <v>6.5</v>
      </c>
      <c r="AT72" s="0" t="n">
        <v>30.5</v>
      </c>
      <c r="AU72" s="3" t="s">
        <v>161</v>
      </c>
      <c r="AV72" s="3" t="s">
        <v>122</v>
      </c>
      <c r="AX72" s="3" t="s">
        <v>101</v>
      </c>
      <c r="AY72" s="3" t="s">
        <v>102</v>
      </c>
      <c r="BA72" s="0" t="n">
        <v>0</v>
      </c>
      <c r="BB72" s="0" t="n">
        <v>0</v>
      </c>
      <c r="BC72" s="0" t="n">
        <v>0</v>
      </c>
      <c r="BF72" s="3" t="n">
        <f aca="false">IF(OR(I72="",BC72=""),"",IF(BC72=1,(BD72-I72)*12+IF(BE72="",7,BE72)-IF(J72="",1,J72),M72))</f>
        <v>54</v>
      </c>
      <c r="BG72" s="0" t="n">
        <v>1</v>
      </c>
      <c r="BH72" s="0" t="n">
        <v>1800000</v>
      </c>
      <c r="BI72" s="3" t="s">
        <v>103</v>
      </c>
      <c r="BJ72" s="0" t="n">
        <v>2022</v>
      </c>
      <c r="BK72" s="0" t="n">
        <v>1</v>
      </c>
      <c r="BL72" s="3" t="n">
        <f aca="false">COUNTIFS(Investments_Clean!$A$2:$A$150,A72,Investments_Clean!$F$2:$F$150,"Accepted")</f>
        <v>2</v>
      </c>
      <c r="BM72" s="3" t="n">
        <f aca="false">IF(BL72=0,"",IF((COUNTIFS(Investments_Clean!$A$2:$A$150,A72,Investments_Clean!$D$2:$D$150,"VC/PE",Investments_Clean!$F$2:$F$150,"Accepted"))&gt;0,1,0))</f>
        <v>1</v>
      </c>
      <c r="BN72" s="3" t="n">
        <f aca="false">IF(BL72=0,"",IF((COUNTIFS(Investments_Clean!$A$2:$A$150,A72,Investments_Clean!$D$2:$D$150,"Angel",Investments_Clean!$F$2:$F$150,"Accepted"))&gt;0,1,0))</f>
        <v>0</v>
      </c>
      <c r="BO72" s="3" t="n">
        <f aca="false">IF(BL72=0,"",IF((COUNTIFS(Investments_Clean!$A$2:$A$150,A72,Investments_Clean!$D$2:$D$150,"Accelerator",Investments_Clean!$F$2:$F$150,"Accepted"))&gt;0,1,0))</f>
        <v>0</v>
      </c>
      <c r="BP72" s="3" t="n">
        <f aca="false">IF(BL72=0,"",IF((COUNTIFS(Investments_Clean!$A$2:$A$150,A72,Investments_Clean!$D$2:$D$150,"Corporate",Investments_Clean!$F$2:$F$150,"Accepted"))&gt;0,1,0))</f>
        <v>0</v>
      </c>
      <c r="BQ72" s="3" t="n">
        <f aca="false">IF(BL72=0,"",IF((COUNTIFS(Investments_Clean!$A$2:$A$150,A72,Investments_Clean!$D$2:$D$150,"Government",Investments_Clean!$F$2:$F$150,"Accepted"))&gt;0,1,0))</f>
        <v>0</v>
      </c>
      <c r="BR72" s="3" t="n">
        <f aca="false">IF(BL72=0,"",IF((COUNTIFS(Investments_Clean!$A$2:$A$150,A72,Investments_Clean!$D$2:$D$150,"Grant/Philanthropic",Investments_Clean!$F$2:$F$150,"Accepted")+COUNTIFS(Investments_Clean!$A$2:$A$150,A72,Investments_Clean!$D$2:$D$150,"DFI/Impact",Investments_Clean!$F$2:$F$150,"Accepted"))&gt;0,1,0))</f>
        <v>0</v>
      </c>
      <c r="BV72" s="0" t="n">
        <v>7500</v>
      </c>
      <c r="BW72" s="0" t="n">
        <v>40</v>
      </c>
      <c r="BX72" s="0" t="n">
        <v>1.7</v>
      </c>
      <c r="CA72" s="0" t="n">
        <v>3</v>
      </c>
      <c r="CB72" s="0" t="n">
        <v>38.8</v>
      </c>
      <c r="CC72" s="0" t="str">
        <f aca="false">IF(I72="","",IFERROR(IF(INDEX(Macro_Lookup!$B$2:$B$31,MATCH(I72,Macro_Lookup!$A$2:$A$31,0))="","",INDEX(Macro_Lookup!$B$2:$B$31,MATCH(I72,Macro_Lookup!$A$2:$A$31,0))),""))</f>
        <v/>
      </c>
      <c r="CD72" s="0" t="str">
        <f aca="false">IF(I72="","",IFERROR(IF(INDEX(Macro_Lookup!$C$2:$C$31,MATCH(I72,Macro_Lookup!$A$2:$A$31,0))="","",INDEX(Macro_Lookup!$C$2:$C$31,MATCH(I72,Macro_Lookup!$A$2:$A$31,0))),""))</f>
        <v/>
      </c>
      <c r="CE72" s="0" t="str">
        <f aca="false">IF(BJ72="","",IFERROR(IF(INDEX(Macro_Lookup!$B$2:$B$31,MATCH(BJ72,Macro_Lookup!$A$2:$A$31,0))="","",INDEX(Macro_Lookup!$B$2:$B$31,MATCH(BJ72,Macro_Lookup!$A$2:$A$31,0))),""))</f>
        <v/>
      </c>
      <c r="CF72" s="0" t="str">
        <f aca="false">IF(BJ72="","",IFERROR(IF(INDEX(Macro_Lookup!$C$2:$C$31,MATCH(BJ72,Macro_Lookup!$A$2:$A$31,0))="","",INDEX(Macro_Lookup!$C$2:$C$31,MATCH(BJ72,Macro_Lookup!$A$2:$A$31,0))),""))</f>
        <v/>
      </c>
      <c r="CG72" s="0" t="n">
        <v>1</v>
      </c>
      <c r="CH72" s="3" t="s">
        <v>104</v>
      </c>
      <c r="CI72" s="3" t="s">
        <v>105</v>
      </c>
    </row>
    <row r="73" customFormat="false" ht="14.25" hidden="false" customHeight="false" outlineLevel="0" collapsed="false">
      <c r="A73" s="0" t="s">
        <v>421</v>
      </c>
      <c r="B73" s="0" t="s">
        <v>422</v>
      </c>
      <c r="C73" s="0" t="s">
        <v>89</v>
      </c>
      <c r="D73" s="0" t="s">
        <v>90</v>
      </c>
      <c r="E73" s="0" t="n">
        <v>0</v>
      </c>
      <c r="F73" s="0" t="s">
        <v>91</v>
      </c>
      <c r="I73" s="0" t="n">
        <v>2019</v>
      </c>
      <c r="K73" s="0" t="s">
        <v>92</v>
      </c>
      <c r="L73" s="2" t="n">
        <v>46295</v>
      </c>
      <c r="M73" s="3" t="n">
        <f aca="false">IF(I73="","",(YEAR(L73)-I73)*12+MONTH(L73)-IF(J73="",1,J73))</f>
        <v>92</v>
      </c>
      <c r="N73" s="3" t="n">
        <f aca="false">IF(M73="","",ROUND(M73/12,2))</f>
        <v>7.67</v>
      </c>
      <c r="O73" s="3" t="s">
        <v>409</v>
      </c>
      <c r="P73" s="3" t="s">
        <v>409</v>
      </c>
      <c r="Q73" s="3" t="s">
        <v>423</v>
      </c>
      <c r="R73" s="0" t="n">
        <v>0</v>
      </c>
      <c r="S73" s="0" t="n">
        <v>0</v>
      </c>
      <c r="T73" s="0" t="n">
        <v>0</v>
      </c>
      <c r="U73" s="0" t="n">
        <v>0</v>
      </c>
      <c r="V73" s="0" t="n">
        <v>0</v>
      </c>
      <c r="W73" s="0" t="n">
        <v>0</v>
      </c>
      <c r="X73" s="3" t="s">
        <v>382</v>
      </c>
      <c r="Y73" s="0" t="n">
        <v>3</v>
      </c>
      <c r="Z73" s="0" t="n">
        <v>1</v>
      </c>
      <c r="AA73" s="0" t="n">
        <v>1</v>
      </c>
      <c r="AB73" s="3" t="s">
        <v>424</v>
      </c>
      <c r="AC73" s="0" t="n">
        <v>1</v>
      </c>
      <c r="AD73" s="0" t="n">
        <v>10000</v>
      </c>
      <c r="AE73" s="3" t="s">
        <v>97</v>
      </c>
      <c r="AF73" s="3" t="n">
        <f aca="false">IF(SUMIF(Founders_Clean!$A$2:$A$159,A73,Founders_Clean!$C$2:$C$159)=0,"",SUMIF(Founders_Clean!$A$2:$A$159,A73,Founders_Clean!$C$2:$C$159))</f>
        <v>2</v>
      </c>
      <c r="AG73" s="3" t="n">
        <f aca="false">IF(AF73="","",SUMIF(Founders_Clean!$A$2:$A$159,A73,Founders_Clean!$D$2:$D$159))</f>
        <v>2</v>
      </c>
      <c r="AH73" s="3" t="n">
        <f aca="false">IF(AF73="","",SUMIF(Founders_Clean!$A$2:$A$159,A73,Founders_Clean!$E$2:$E$159))</f>
        <v>0</v>
      </c>
      <c r="AI73" s="3" t="n">
        <f aca="false">IF(AF73="","",IF((AG73+AH73)=0,"",AH73/(AG73+AH73)))</f>
        <v>0</v>
      </c>
      <c r="AJ73" s="3" t="n">
        <f aca="false">IF(AI73="","",IF(AH73&gt;0,1,0))</f>
        <v>0</v>
      </c>
      <c r="AK73" s="3" t="n">
        <f aca="false">IF(AI73="","",ROUND(1-(AI73^2+(1-AI73)^2),3))</f>
        <v>0</v>
      </c>
      <c r="AM73" s="0" t="n">
        <v>2</v>
      </c>
      <c r="AN73" s="3" t="s">
        <v>98</v>
      </c>
      <c r="AO73" s="0" t="n">
        <v>1</v>
      </c>
      <c r="AP73" s="0" t="n">
        <v>0.5</v>
      </c>
      <c r="AQ73" s="0" t="n">
        <v>0</v>
      </c>
      <c r="AR73" s="0" t="n">
        <v>7</v>
      </c>
      <c r="AS73" s="0" t="n">
        <v>7</v>
      </c>
      <c r="AT73" s="0" t="n">
        <v>30.5</v>
      </c>
      <c r="AU73" s="3" t="s">
        <v>161</v>
      </c>
      <c r="AV73" s="3" t="s">
        <v>122</v>
      </c>
      <c r="AX73" s="3" t="s">
        <v>101</v>
      </c>
      <c r="AY73" s="3" t="s">
        <v>102</v>
      </c>
      <c r="BA73" s="0" t="n">
        <v>0</v>
      </c>
      <c r="BB73" s="0" t="n">
        <v>0</v>
      </c>
      <c r="BC73" s="0" t="n">
        <v>0</v>
      </c>
      <c r="BF73" s="3" t="n">
        <f aca="false">IF(OR(I73="",BC73=""),"",IF(BC73=1,(BD73-I73)*12+IF(BE73="",7,BE73)-IF(J73="",1,J73),M73))</f>
        <v>92</v>
      </c>
      <c r="BG73" s="0" t="n">
        <v>1</v>
      </c>
      <c r="BH73" s="0" t="n">
        <v>10000</v>
      </c>
      <c r="BI73" s="3" t="s">
        <v>103</v>
      </c>
      <c r="BK73" s="0" t="n">
        <v>1</v>
      </c>
      <c r="BL73" s="3" t="n">
        <f aca="false">COUNTIFS(Investments_Clean!$A$2:$A$150,A73,Investments_Clean!$F$2:$F$150,"Accepted")</f>
        <v>0</v>
      </c>
      <c r="BM73" s="0" t="str">
        <f aca="false">IF(BL73=0,"",IF((COUNTIFS(Investments_Clean!$A$2:$A$150,A73,Investments_Clean!$D$2:$D$150,"VC/PE",Investments_Clean!$F$2:$F$150,"Accepted"))&gt;0,1,0))</f>
        <v/>
      </c>
      <c r="BN73" s="0" t="str">
        <f aca="false">IF(BL73=0,"",IF((COUNTIFS(Investments_Clean!$A$2:$A$150,A73,Investments_Clean!$D$2:$D$150,"Angel",Investments_Clean!$F$2:$F$150,"Accepted"))&gt;0,1,0))</f>
        <v/>
      </c>
      <c r="BO73" s="0" t="str">
        <f aca="false">IF(BL73=0,"",IF((COUNTIFS(Investments_Clean!$A$2:$A$150,A73,Investments_Clean!$D$2:$D$150,"Accelerator",Investments_Clean!$F$2:$F$150,"Accepted"))&gt;0,1,0))</f>
        <v/>
      </c>
      <c r="BP73" s="0" t="str">
        <f aca="false">IF(BL73=0,"",IF((COUNTIFS(Investments_Clean!$A$2:$A$150,A73,Investments_Clean!$D$2:$D$150,"Corporate",Investments_Clean!$F$2:$F$150,"Accepted"))&gt;0,1,0))</f>
        <v/>
      </c>
      <c r="BQ73" s="0" t="str">
        <f aca="false">IF(BL73=0,"",IF((COUNTIFS(Investments_Clean!$A$2:$A$150,A73,Investments_Clean!$D$2:$D$150,"Government",Investments_Clean!$F$2:$F$150,"Accepted"))&gt;0,1,0))</f>
        <v/>
      </c>
      <c r="BR73" s="0" t="str">
        <f aca="false">IF(BL73=0,"",IF((COUNTIFS(Investments_Clean!$A$2:$A$150,A73,Investments_Clean!$D$2:$D$150,"Grant/Philanthropic",Investments_Clean!$F$2:$F$150,"Accepted")+COUNTIFS(Investments_Clean!$A$2:$A$150,A73,Investments_Clean!$D$2:$D$150,"DFI/Impact",Investments_Clean!$F$2:$F$150,"Accepted"))&gt;0,1,0))</f>
        <v/>
      </c>
      <c r="BV73" s="0" t="n">
        <v>5500</v>
      </c>
      <c r="BW73" s="0" t="n">
        <v>20</v>
      </c>
      <c r="BX73" s="0" t="n">
        <v>50</v>
      </c>
      <c r="CA73" s="0" t="n">
        <v>3</v>
      </c>
      <c r="CB73" s="0" t="n">
        <v>52.5</v>
      </c>
      <c r="CC73" s="0" t="str">
        <f aca="false">IF(I73="","",IFERROR(IF(INDEX(Macro_Lookup!$B$2:$B$31,MATCH(I73,Macro_Lookup!$A$2:$A$31,0))="","",INDEX(Macro_Lookup!$B$2:$B$31,MATCH(I73,Macro_Lookup!$A$2:$A$31,0))),""))</f>
        <v/>
      </c>
      <c r="CD73" s="0" t="str">
        <f aca="false">IF(I73="","",IFERROR(IF(INDEX(Macro_Lookup!$C$2:$C$31,MATCH(I73,Macro_Lookup!$A$2:$A$31,0))="","",INDEX(Macro_Lookup!$C$2:$C$31,MATCH(I73,Macro_Lookup!$A$2:$A$31,0))),""))</f>
        <v/>
      </c>
      <c r="CE73" s="0" t="str">
        <f aca="false">IF(BJ73="","",IFERROR(IF(INDEX(Macro_Lookup!$B$2:$B$31,MATCH(BJ73,Macro_Lookup!$A$2:$A$31,0))="","",INDEX(Macro_Lookup!$B$2:$B$31,MATCH(BJ73,Macro_Lookup!$A$2:$A$31,0))),""))</f>
        <v/>
      </c>
      <c r="CF73" s="0" t="str">
        <f aca="false">IF(BJ73="","",IFERROR(IF(INDEX(Macro_Lookup!$C$2:$C$31,MATCH(BJ73,Macro_Lookup!$A$2:$A$31,0))="","",INDEX(Macro_Lookup!$C$2:$C$31,MATCH(BJ73,Macro_Lookup!$A$2:$A$31,0))),""))</f>
        <v/>
      </c>
      <c r="CG73" s="0" t="n">
        <v>0</v>
      </c>
      <c r="CH73" s="3" t="s">
        <v>104</v>
      </c>
      <c r="CI73" s="3" t="s">
        <v>105</v>
      </c>
    </row>
    <row r="74" customFormat="false" ht="14.25" hidden="false" customHeight="false" outlineLevel="0" collapsed="false">
      <c r="A74" s="0" t="s">
        <v>425</v>
      </c>
      <c r="B74" s="0" t="s">
        <v>426</v>
      </c>
      <c r="C74" s="0" t="s">
        <v>89</v>
      </c>
      <c r="D74" s="0" t="s">
        <v>90</v>
      </c>
      <c r="E74" s="0" t="n">
        <v>0</v>
      </c>
      <c r="F74" s="0" t="s">
        <v>91</v>
      </c>
      <c r="I74" s="0" t="n">
        <v>2018</v>
      </c>
      <c r="K74" s="0" t="s">
        <v>92</v>
      </c>
      <c r="L74" s="2" t="n">
        <v>46295</v>
      </c>
      <c r="M74" s="3" t="n">
        <f aca="false">IF(I74="","",(YEAR(L74)-I74)*12+MONTH(L74)-IF(J74="",1,J74))</f>
        <v>104</v>
      </c>
      <c r="N74" s="3" t="n">
        <f aca="false">IF(M74="","",ROUND(M74/12,2))</f>
        <v>8.67</v>
      </c>
      <c r="O74" s="3" t="s">
        <v>427</v>
      </c>
      <c r="P74" s="3" t="s">
        <v>409</v>
      </c>
      <c r="Q74" s="3" t="s">
        <v>428</v>
      </c>
      <c r="R74" s="0" t="n">
        <v>1</v>
      </c>
      <c r="S74" s="0" t="n">
        <v>0</v>
      </c>
      <c r="T74" s="0" t="n">
        <v>0</v>
      </c>
      <c r="U74" s="0" t="n">
        <v>0</v>
      </c>
      <c r="V74" s="0" t="n">
        <v>0</v>
      </c>
      <c r="W74" s="0" t="n">
        <v>0</v>
      </c>
      <c r="X74" s="3" t="s">
        <v>382</v>
      </c>
      <c r="Y74" s="0" t="n">
        <v>3</v>
      </c>
      <c r="Z74" s="0" t="n">
        <v>1</v>
      </c>
      <c r="AA74" s="0" t="n">
        <v>0</v>
      </c>
      <c r="AB74" s="3" t="s">
        <v>429</v>
      </c>
      <c r="AF74" s="0" t="str">
        <f aca="false">IF(SUMIF(Founders_Clean!$A$2:$A$159,A74,Founders_Clean!$C$2:$C$159)=0,"",SUMIF(Founders_Clean!$A$2:$A$159,A74,Founders_Clean!$C$2:$C$159))</f>
        <v/>
      </c>
      <c r="AG74" s="0" t="str">
        <f aca="false">IF(AF74="","",SUMIF(Founders_Clean!$A$2:$A$159,A74,Founders_Clean!$D$2:$D$159))</f>
        <v/>
      </c>
      <c r="AH74" s="0" t="str">
        <f aca="false">IF(AF74="","",SUMIF(Founders_Clean!$A$2:$A$159,A74,Founders_Clean!$E$2:$E$159))</f>
        <v/>
      </c>
      <c r="AI74" s="0" t="str">
        <f aca="false">IF(AF74="","",IF((AG74+AH74)=0,"",AH74/(AG74+AH74)))</f>
        <v/>
      </c>
      <c r="AJ74" s="0" t="str">
        <f aca="false">IF(AI74="","",IF(AH74&gt;0,1,0))</f>
        <v/>
      </c>
      <c r="AK74" s="0" t="str">
        <f aca="false">IF(AI74="","",ROUND(1-(AI74^2+(1-AI74)^2),3))</f>
        <v/>
      </c>
      <c r="AX74" s="3" t="s">
        <v>262</v>
      </c>
      <c r="AY74" s="3" t="s">
        <v>263</v>
      </c>
      <c r="AZ74" s="3" t="s">
        <v>430</v>
      </c>
      <c r="BB74" s="0" t="n">
        <v>0</v>
      </c>
      <c r="BF74" s="0" t="str">
        <f aca="false">IF(OR(I74="",BC74=""),"",IF(BC74=1,(BD74-I74)*12+IF(BE74="",7,BE74)-IF(J74="",1,J74),M74))</f>
        <v/>
      </c>
      <c r="BL74" s="3" t="n">
        <f aca="false">COUNTIFS(Investments_Clean!$A$2:$A$150,A74,Investments_Clean!$F$2:$F$150,"Accepted")</f>
        <v>0</v>
      </c>
      <c r="BM74" s="0" t="str">
        <f aca="false">IF(BL74=0,"",IF((COUNTIFS(Investments_Clean!$A$2:$A$150,A74,Investments_Clean!$D$2:$D$150,"VC/PE",Investments_Clean!$F$2:$F$150,"Accepted"))&gt;0,1,0))</f>
        <v/>
      </c>
      <c r="BN74" s="0" t="str">
        <f aca="false">IF(BL74=0,"",IF((COUNTIFS(Investments_Clean!$A$2:$A$150,A74,Investments_Clean!$D$2:$D$150,"Angel",Investments_Clean!$F$2:$F$150,"Accepted"))&gt;0,1,0))</f>
        <v/>
      </c>
      <c r="BO74" s="0" t="str">
        <f aca="false">IF(BL74=0,"",IF((COUNTIFS(Investments_Clean!$A$2:$A$150,A74,Investments_Clean!$D$2:$D$150,"Accelerator",Investments_Clean!$F$2:$F$150,"Accepted"))&gt;0,1,0))</f>
        <v/>
      </c>
      <c r="BP74" s="0" t="str">
        <f aca="false">IF(BL74=0,"",IF((COUNTIFS(Investments_Clean!$A$2:$A$150,A74,Investments_Clean!$D$2:$D$150,"Corporate",Investments_Clean!$F$2:$F$150,"Accepted"))&gt;0,1,0))</f>
        <v/>
      </c>
      <c r="BQ74" s="0" t="str">
        <f aca="false">IF(BL74=0,"",IF((COUNTIFS(Investments_Clean!$A$2:$A$150,A74,Investments_Clean!$D$2:$D$150,"Government",Investments_Clean!$F$2:$F$150,"Accepted"))&gt;0,1,0))</f>
        <v/>
      </c>
      <c r="BR74" s="0" t="str">
        <f aca="false">IF(BL74=0,"",IF((COUNTIFS(Investments_Clean!$A$2:$A$150,A74,Investments_Clean!$D$2:$D$150,"Grant/Philanthropic",Investments_Clean!$F$2:$F$150,"Accepted")+COUNTIFS(Investments_Clean!$A$2:$A$150,A74,Investments_Clean!$D$2:$D$150,"DFI/Impact",Investments_Clean!$F$2:$F$150,"Accepted"))&gt;0,1,0))</f>
        <v/>
      </c>
      <c r="BV74" s="0" t="n">
        <v>1000</v>
      </c>
      <c r="BW74" s="0" t="n">
        <v>2.5</v>
      </c>
      <c r="BX74" s="0" t="n">
        <v>31.2</v>
      </c>
      <c r="CA74" s="0" t="n">
        <v>3</v>
      </c>
      <c r="CB74" s="0" t="n">
        <v>30.4</v>
      </c>
      <c r="CC74" s="0" t="str">
        <f aca="false">IF(I74="","",IFERROR(IF(INDEX(Macro_Lookup!$B$2:$B$31,MATCH(I74,Macro_Lookup!$A$2:$A$31,0))="","",INDEX(Macro_Lookup!$B$2:$B$31,MATCH(I74,Macro_Lookup!$A$2:$A$31,0))),""))</f>
        <v/>
      </c>
      <c r="CD74" s="0" t="str">
        <f aca="false">IF(I74="","",IFERROR(IF(INDEX(Macro_Lookup!$C$2:$C$31,MATCH(I74,Macro_Lookup!$A$2:$A$31,0))="","",INDEX(Macro_Lookup!$C$2:$C$31,MATCH(I74,Macro_Lookup!$A$2:$A$31,0))),""))</f>
        <v/>
      </c>
      <c r="CE74" s="0" t="str">
        <f aca="false">IF(BJ74="","",IFERROR(IF(INDEX(Macro_Lookup!$B$2:$B$31,MATCH(BJ74,Macro_Lookup!$A$2:$A$31,0))="","",INDEX(Macro_Lookup!$B$2:$B$31,MATCH(BJ74,Macro_Lookup!$A$2:$A$31,0))),""))</f>
        <v/>
      </c>
      <c r="CF74" s="0" t="str">
        <f aca="false">IF(BJ74="","",IFERROR(IF(INDEX(Macro_Lookup!$C$2:$C$31,MATCH(BJ74,Macro_Lookup!$A$2:$A$31,0))="","",INDEX(Macro_Lookup!$C$2:$C$31,MATCH(BJ74,Macro_Lookup!$A$2:$A$31,0))),""))</f>
        <v/>
      </c>
      <c r="CG74" s="0" t="n">
        <v>6</v>
      </c>
      <c r="CH74" s="3" t="s">
        <v>104</v>
      </c>
      <c r="CI74" s="3" t="s">
        <v>105</v>
      </c>
    </row>
    <row r="75" customFormat="false" ht="14.25" hidden="false" customHeight="false" outlineLevel="0" collapsed="false">
      <c r="A75" s="0" t="s">
        <v>431</v>
      </c>
      <c r="B75" s="0" t="s">
        <v>432</v>
      </c>
      <c r="C75" s="0" t="s">
        <v>89</v>
      </c>
      <c r="D75" s="0" t="s">
        <v>90</v>
      </c>
      <c r="E75" s="0" t="n">
        <v>0</v>
      </c>
      <c r="F75" s="0" t="s">
        <v>91</v>
      </c>
      <c r="I75" s="0" t="n">
        <v>2020</v>
      </c>
      <c r="K75" s="0" t="s">
        <v>92</v>
      </c>
      <c r="L75" s="2" t="n">
        <v>46295</v>
      </c>
      <c r="M75" s="3" t="n">
        <f aca="false">IF(I75="","",(YEAR(L75)-I75)*12+MONTH(L75)-IF(J75="",1,J75))</f>
        <v>80</v>
      </c>
      <c r="N75" s="3" t="n">
        <f aca="false">IF(M75="","",ROUND(M75/12,2))</f>
        <v>6.67</v>
      </c>
      <c r="O75" s="3" t="s">
        <v>433</v>
      </c>
      <c r="P75" s="3" t="s">
        <v>409</v>
      </c>
      <c r="Q75" s="3" t="s">
        <v>434</v>
      </c>
      <c r="R75" s="0" t="n">
        <v>1</v>
      </c>
      <c r="S75" s="0" t="n">
        <v>0</v>
      </c>
      <c r="T75" s="0" t="n">
        <v>0</v>
      </c>
      <c r="U75" s="0" t="n">
        <v>0</v>
      </c>
      <c r="V75" s="0" t="n">
        <v>1</v>
      </c>
      <c r="W75" s="0" t="n">
        <v>0</v>
      </c>
      <c r="X75" s="3" t="s">
        <v>382</v>
      </c>
      <c r="Y75" s="0" t="n">
        <v>3</v>
      </c>
      <c r="Z75" s="0" t="n">
        <v>1</v>
      </c>
      <c r="AA75" s="0" t="n">
        <v>0</v>
      </c>
      <c r="AB75" s="3" t="s">
        <v>435</v>
      </c>
      <c r="AF75" s="3" t="n">
        <f aca="false">IF(SUMIF(Founders_Clean!$A$2:$A$159,A75,Founders_Clean!$C$2:$C$159)=0,"",SUMIF(Founders_Clean!$A$2:$A$159,A75,Founders_Clean!$C$2:$C$159))</f>
        <v>1</v>
      </c>
      <c r="AG75" s="3" t="n">
        <f aca="false">IF(AF75="","",SUMIF(Founders_Clean!$A$2:$A$159,A75,Founders_Clean!$D$2:$D$159))</f>
        <v>1</v>
      </c>
      <c r="AH75" s="3" t="n">
        <f aca="false">IF(AF75="","",SUMIF(Founders_Clean!$A$2:$A$159,A75,Founders_Clean!$E$2:$E$159))</f>
        <v>0</v>
      </c>
      <c r="AI75" s="3" t="n">
        <f aca="false">IF(AF75="","",IF((AG75+AH75)=0,"",AH75/(AG75+AH75)))</f>
        <v>0</v>
      </c>
      <c r="AJ75" s="3" t="n">
        <f aca="false">IF(AI75="","",IF(AH75&gt;0,1,0))</f>
        <v>0</v>
      </c>
      <c r="AK75" s="3" t="n">
        <f aca="false">IF(AI75="","",ROUND(1-(AI75^2+(1-AI75)^2),3))</f>
        <v>0</v>
      </c>
      <c r="AM75" s="0" t="n">
        <v>2</v>
      </c>
      <c r="AN75" s="3" t="s">
        <v>98</v>
      </c>
      <c r="AO75" s="0" t="n">
        <v>1</v>
      </c>
      <c r="AP75" s="0" t="n">
        <v>1</v>
      </c>
      <c r="AQ75" s="0" t="n">
        <v>1</v>
      </c>
      <c r="AR75" s="0" t="n">
        <v>20</v>
      </c>
      <c r="AS75" s="0" t="n">
        <v>20</v>
      </c>
      <c r="AT75" s="0" t="n">
        <v>30.5</v>
      </c>
      <c r="AU75" s="3" t="s">
        <v>161</v>
      </c>
      <c r="AV75" s="3" t="s">
        <v>122</v>
      </c>
      <c r="AX75" s="3" t="s">
        <v>101</v>
      </c>
      <c r="AY75" s="3" t="s">
        <v>102</v>
      </c>
      <c r="BA75" s="0" t="n">
        <v>0</v>
      </c>
      <c r="BB75" s="0" t="n">
        <v>0</v>
      </c>
      <c r="BC75" s="0" t="n">
        <v>0</v>
      </c>
      <c r="BF75" s="3" t="n">
        <f aca="false">IF(OR(I75="",BC75=""),"",IF(BC75=1,(BD75-I75)*12+IF(BE75="",7,BE75)-IF(J75="",1,J75),M75))</f>
        <v>80</v>
      </c>
      <c r="BG75" s="0" t="n">
        <v>0</v>
      </c>
      <c r="BH75" s="0" t="n">
        <v>0</v>
      </c>
      <c r="BI75" s="3" t="s">
        <v>116</v>
      </c>
      <c r="BK75" s="0" t="n">
        <v>0</v>
      </c>
      <c r="BL75" s="3" t="n">
        <f aca="false">COUNTIFS(Investments_Clean!$A$2:$A$150,A75,Investments_Clean!$F$2:$F$150,"Accepted")</f>
        <v>0</v>
      </c>
      <c r="BM75" s="0" t="str">
        <f aca="false">IF(BL75=0,"",IF((COUNTIFS(Investments_Clean!$A$2:$A$150,A75,Investments_Clean!$D$2:$D$150,"VC/PE",Investments_Clean!$F$2:$F$150,"Accepted"))&gt;0,1,0))</f>
        <v/>
      </c>
      <c r="BN75" s="0" t="str">
        <f aca="false">IF(BL75=0,"",IF((COUNTIFS(Investments_Clean!$A$2:$A$150,A75,Investments_Clean!$D$2:$D$150,"Angel",Investments_Clean!$F$2:$F$150,"Accepted"))&gt;0,1,0))</f>
        <v/>
      </c>
      <c r="BO75" s="0" t="str">
        <f aca="false">IF(BL75=0,"",IF((COUNTIFS(Investments_Clean!$A$2:$A$150,A75,Investments_Clean!$D$2:$D$150,"Accelerator",Investments_Clean!$F$2:$F$150,"Accepted"))&gt;0,1,0))</f>
        <v/>
      </c>
      <c r="BP75" s="0" t="str">
        <f aca="false">IF(BL75=0,"",IF((COUNTIFS(Investments_Clean!$A$2:$A$150,A75,Investments_Clean!$D$2:$D$150,"Corporate",Investments_Clean!$F$2:$F$150,"Accepted"))&gt;0,1,0))</f>
        <v/>
      </c>
      <c r="BQ75" s="0" t="str">
        <f aca="false">IF(BL75=0,"",IF((COUNTIFS(Investments_Clean!$A$2:$A$150,A75,Investments_Clean!$D$2:$D$150,"Government",Investments_Clean!$F$2:$F$150,"Accepted"))&gt;0,1,0))</f>
        <v/>
      </c>
      <c r="BR75" s="0" t="str">
        <f aca="false">IF(BL75=0,"",IF((COUNTIFS(Investments_Clean!$A$2:$A$150,A75,Investments_Clean!$D$2:$D$150,"Grant/Philanthropic",Investments_Clean!$F$2:$F$150,"Accepted")+COUNTIFS(Investments_Clean!$A$2:$A$150,A75,Investments_Clean!$D$2:$D$150,"DFI/Impact",Investments_Clean!$F$2:$F$150,"Accepted"))&gt;0,1,0))</f>
        <v/>
      </c>
      <c r="BV75" s="0" t="n">
        <v>11500</v>
      </c>
      <c r="BW75" s="0" t="n">
        <v>40</v>
      </c>
      <c r="BX75" s="0" t="n">
        <v>3.5</v>
      </c>
      <c r="BY75" s="0" t="n">
        <v>10000</v>
      </c>
      <c r="CA75" s="0" t="n">
        <v>4</v>
      </c>
      <c r="CB75" s="0" t="n">
        <v>47.5</v>
      </c>
      <c r="CC75" s="0" t="str">
        <f aca="false">IF(I75="","",IFERROR(IF(INDEX(Macro_Lookup!$B$2:$B$31,MATCH(I75,Macro_Lookup!$A$2:$A$31,0))="","",INDEX(Macro_Lookup!$B$2:$B$31,MATCH(I75,Macro_Lookup!$A$2:$A$31,0))),""))</f>
        <v/>
      </c>
      <c r="CD75" s="0" t="str">
        <f aca="false">IF(I75="","",IFERROR(IF(INDEX(Macro_Lookup!$C$2:$C$31,MATCH(I75,Macro_Lookup!$A$2:$A$31,0))="","",INDEX(Macro_Lookup!$C$2:$C$31,MATCH(I75,Macro_Lookup!$A$2:$A$31,0))),""))</f>
        <v/>
      </c>
      <c r="CE75" s="0" t="str">
        <f aca="false">IF(BJ75="","",IFERROR(IF(INDEX(Macro_Lookup!$B$2:$B$31,MATCH(BJ75,Macro_Lookup!$A$2:$A$31,0))="","",INDEX(Macro_Lookup!$B$2:$B$31,MATCH(BJ75,Macro_Lookup!$A$2:$A$31,0))),""))</f>
        <v/>
      </c>
      <c r="CF75" s="0" t="str">
        <f aca="false">IF(BJ75="","",IFERROR(IF(INDEX(Macro_Lookup!$C$2:$C$31,MATCH(BJ75,Macro_Lookup!$A$2:$A$31,0))="","",INDEX(Macro_Lookup!$C$2:$C$31,MATCH(BJ75,Macro_Lookup!$A$2:$A$31,0))),""))</f>
        <v/>
      </c>
      <c r="CG75" s="0" t="n">
        <v>1</v>
      </c>
      <c r="CH75" s="3" t="s">
        <v>104</v>
      </c>
      <c r="CI75" s="3" t="s">
        <v>105</v>
      </c>
    </row>
    <row r="76" customFormat="false" ht="14.25" hidden="false" customHeight="false" outlineLevel="0" collapsed="false">
      <c r="A76" s="0" t="s">
        <v>436</v>
      </c>
      <c r="B76" s="0" t="s">
        <v>437</v>
      </c>
      <c r="C76" s="0" t="s">
        <v>89</v>
      </c>
      <c r="D76" s="0" t="s">
        <v>90</v>
      </c>
      <c r="E76" s="0" t="n">
        <v>0</v>
      </c>
      <c r="F76" s="0" t="s">
        <v>91</v>
      </c>
      <c r="I76" s="0" t="n">
        <v>2022</v>
      </c>
      <c r="K76" s="0" t="s">
        <v>92</v>
      </c>
      <c r="L76" s="2" t="n">
        <v>46295</v>
      </c>
      <c r="M76" s="3" t="n">
        <f aca="false">IF(I76="","",(YEAR(L76)-I76)*12+MONTH(L76)-IF(J76="",1,J76))</f>
        <v>56</v>
      </c>
      <c r="N76" s="3" t="n">
        <f aca="false">IF(M76="","",ROUND(M76/12,2))</f>
        <v>4.67</v>
      </c>
      <c r="O76" s="3" t="s">
        <v>404</v>
      </c>
      <c r="P76" s="3" t="s">
        <v>94</v>
      </c>
      <c r="Q76" s="3" t="s">
        <v>438</v>
      </c>
      <c r="R76" s="0" t="n">
        <v>0</v>
      </c>
      <c r="S76" s="0" t="n">
        <v>0</v>
      </c>
      <c r="T76" s="0" t="n">
        <v>0</v>
      </c>
      <c r="U76" s="0" t="n">
        <v>0</v>
      </c>
      <c r="V76" s="0" t="n">
        <v>0</v>
      </c>
      <c r="W76" s="0" t="n">
        <v>1</v>
      </c>
      <c r="X76" s="3" t="s">
        <v>382</v>
      </c>
      <c r="Y76" s="0" t="n">
        <v>3</v>
      </c>
      <c r="Z76" s="0" t="n">
        <v>1</v>
      </c>
      <c r="AA76" s="0" t="n">
        <v>1</v>
      </c>
      <c r="AB76" s="3" t="s">
        <v>232</v>
      </c>
      <c r="AF76" s="3" t="n">
        <f aca="false">IF(SUMIF(Founders_Clean!$A$2:$A$159,A76,Founders_Clean!$C$2:$C$159)=0,"",SUMIF(Founders_Clean!$A$2:$A$159,A76,Founders_Clean!$C$2:$C$159))</f>
        <v>2</v>
      </c>
      <c r="AG76" s="3" t="n">
        <f aca="false">IF(AF76="","",SUMIF(Founders_Clean!$A$2:$A$159,A76,Founders_Clean!$D$2:$D$159))</f>
        <v>2</v>
      </c>
      <c r="AH76" s="3" t="n">
        <f aca="false">IF(AF76="","",SUMIF(Founders_Clean!$A$2:$A$159,A76,Founders_Clean!$E$2:$E$159))</f>
        <v>0</v>
      </c>
      <c r="AI76" s="3" t="n">
        <f aca="false">IF(AF76="","",IF((AG76+AH76)=0,"",AH76/(AG76+AH76)))</f>
        <v>0</v>
      </c>
      <c r="AJ76" s="3" t="n">
        <f aca="false">IF(AI76="","",IF(AH76&gt;0,1,0))</f>
        <v>0</v>
      </c>
      <c r="AK76" s="3" t="n">
        <f aca="false">IF(AI76="","",ROUND(1-(AI76^2+(1-AI76)^2),3))</f>
        <v>0</v>
      </c>
      <c r="AM76" s="0" t="n">
        <v>2</v>
      </c>
      <c r="AN76" s="3" t="s">
        <v>98</v>
      </c>
      <c r="AO76" s="0" t="n">
        <v>0</v>
      </c>
      <c r="AP76" s="0" t="n">
        <v>0</v>
      </c>
      <c r="AQ76" s="0" t="n">
        <v>0</v>
      </c>
      <c r="AR76" s="0" t="n">
        <v>8</v>
      </c>
      <c r="AS76" s="0" t="n">
        <v>8</v>
      </c>
      <c r="AT76" s="0" t="n">
        <v>30.5</v>
      </c>
      <c r="AU76" s="3" t="s">
        <v>161</v>
      </c>
      <c r="AV76" s="3" t="s">
        <v>122</v>
      </c>
      <c r="AX76" s="3" t="s">
        <v>101</v>
      </c>
      <c r="AY76" s="3" t="s">
        <v>102</v>
      </c>
      <c r="BA76" s="0" t="n">
        <v>0</v>
      </c>
      <c r="BB76" s="0" t="n">
        <v>0</v>
      </c>
      <c r="BC76" s="0" t="n">
        <v>0</v>
      </c>
      <c r="BF76" s="3" t="n">
        <f aca="false">IF(OR(I76="",BC76=""),"",IF(BC76=1,(BD76-I76)*12+IF(BE76="",7,BE76)-IF(J76="",1,J76),M76))</f>
        <v>56</v>
      </c>
      <c r="BG76" s="0" t="n">
        <v>1</v>
      </c>
      <c r="BK76" s="0" t="n">
        <v>1</v>
      </c>
      <c r="BL76" s="3" t="n">
        <f aca="false">COUNTIFS(Investments_Clean!$A$2:$A$150,A76,Investments_Clean!$F$2:$F$150,"Accepted")</f>
        <v>0</v>
      </c>
      <c r="BM76" s="0" t="str">
        <f aca="false">IF(BL76=0,"",IF((COUNTIFS(Investments_Clean!$A$2:$A$150,A76,Investments_Clean!$D$2:$D$150,"VC/PE",Investments_Clean!$F$2:$F$150,"Accepted"))&gt;0,1,0))</f>
        <v/>
      </c>
      <c r="BN76" s="0" t="str">
        <f aca="false">IF(BL76=0,"",IF((COUNTIFS(Investments_Clean!$A$2:$A$150,A76,Investments_Clean!$D$2:$D$150,"Angel",Investments_Clean!$F$2:$F$150,"Accepted"))&gt;0,1,0))</f>
        <v/>
      </c>
      <c r="BO76" s="0" t="str">
        <f aca="false">IF(BL76=0,"",IF((COUNTIFS(Investments_Clean!$A$2:$A$150,A76,Investments_Clean!$D$2:$D$150,"Accelerator",Investments_Clean!$F$2:$F$150,"Accepted"))&gt;0,1,0))</f>
        <v/>
      </c>
      <c r="BP76" s="0" t="str">
        <f aca="false">IF(BL76=0,"",IF((COUNTIFS(Investments_Clean!$A$2:$A$150,A76,Investments_Clean!$D$2:$D$150,"Corporate",Investments_Clean!$F$2:$F$150,"Accepted"))&gt;0,1,0))</f>
        <v/>
      </c>
      <c r="BQ76" s="0" t="str">
        <f aca="false">IF(BL76=0,"",IF((COUNTIFS(Investments_Clean!$A$2:$A$150,A76,Investments_Clean!$D$2:$D$150,"Government",Investments_Clean!$F$2:$F$150,"Accepted"))&gt;0,1,0))</f>
        <v/>
      </c>
      <c r="BR76" s="0" t="str">
        <f aca="false">IF(BL76=0,"",IF((COUNTIFS(Investments_Clean!$A$2:$A$150,A76,Investments_Clean!$D$2:$D$150,"Grant/Philanthropic",Investments_Clean!$F$2:$F$150,"Accepted")+COUNTIFS(Investments_Clean!$A$2:$A$150,A76,Investments_Clean!$D$2:$D$150,"DFI/Impact",Investments_Clean!$F$2:$F$150,"Accepted"))&gt;0,1,0))</f>
        <v/>
      </c>
      <c r="BV76" s="0" t="n">
        <v>17500</v>
      </c>
      <c r="BW76" s="0" t="n">
        <v>27.5</v>
      </c>
      <c r="BX76" s="0" t="n">
        <v>51.1</v>
      </c>
      <c r="BY76" s="0" t="n">
        <v>1000</v>
      </c>
      <c r="CA76" s="0" t="n">
        <v>4</v>
      </c>
      <c r="CB76" s="0" t="n">
        <v>59</v>
      </c>
      <c r="CC76" s="0" t="str">
        <f aca="false">IF(I76="","",IFERROR(IF(INDEX(Macro_Lookup!$B$2:$B$31,MATCH(I76,Macro_Lookup!$A$2:$A$31,0))="","",INDEX(Macro_Lookup!$B$2:$B$31,MATCH(I76,Macro_Lookup!$A$2:$A$31,0))),""))</f>
        <v/>
      </c>
      <c r="CD76" s="0" t="str">
        <f aca="false">IF(I76="","",IFERROR(IF(INDEX(Macro_Lookup!$C$2:$C$31,MATCH(I76,Macro_Lookup!$A$2:$A$31,0))="","",INDEX(Macro_Lookup!$C$2:$C$31,MATCH(I76,Macro_Lookup!$A$2:$A$31,0))),""))</f>
        <v/>
      </c>
      <c r="CE76" s="0" t="str">
        <f aca="false">IF(BJ76="","",IFERROR(IF(INDEX(Macro_Lookup!$B$2:$B$31,MATCH(BJ76,Macro_Lookup!$A$2:$A$31,0))="","",INDEX(Macro_Lookup!$B$2:$B$31,MATCH(BJ76,Macro_Lookup!$A$2:$A$31,0))),""))</f>
        <v/>
      </c>
      <c r="CF76" s="0" t="str">
        <f aca="false">IF(BJ76="","",IFERROR(IF(INDEX(Macro_Lookup!$C$2:$C$31,MATCH(BJ76,Macro_Lookup!$A$2:$A$31,0))="","",INDEX(Macro_Lookup!$C$2:$C$31,MATCH(BJ76,Macro_Lookup!$A$2:$A$31,0))),""))</f>
        <v/>
      </c>
      <c r="CG76" s="0" t="n">
        <v>1</v>
      </c>
      <c r="CH76" s="3" t="s">
        <v>104</v>
      </c>
      <c r="CI76" s="3" t="s">
        <v>105</v>
      </c>
    </row>
    <row r="77" customFormat="false" ht="14.25" hidden="false" customHeight="false" outlineLevel="0" collapsed="false">
      <c r="A77" s="0" t="s">
        <v>439</v>
      </c>
      <c r="B77" s="0" t="s">
        <v>440</v>
      </c>
      <c r="C77" s="0" t="s">
        <v>89</v>
      </c>
      <c r="D77" s="0" t="s">
        <v>90</v>
      </c>
      <c r="E77" s="0" t="n">
        <v>0</v>
      </c>
      <c r="F77" s="0" t="s">
        <v>91</v>
      </c>
      <c r="I77" s="0" t="n">
        <v>2017</v>
      </c>
      <c r="K77" s="0" t="s">
        <v>92</v>
      </c>
      <c r="L77" s="2" t="n">
        <v>46295</v>
      </c>
      <c r="M77" s="3" t="n">
        <f aca="false">IF(I77="","",(YEAR(L77)-I77)*12+MONTH(L77)-IF(J77="",1,J77))</f>
        <v>116</v>
      </c>
      <c r="N77" s="3" t="n">
        <f aca="false">IF(M77="","",ROUND(M77/12,2))</f>
        <v>9.67</v>
      </c>
      <c r="O77" s="3" t="s">
        <v>409</v>
      </c>
      <c r="P77" s="3" t="s">
        <v>409</v>
      </c>
      <c r="Q77" s="3" t="s">
        <v>441</v>
      </c>
      <c r="R77" s="0" t="n">
        <v>0</v>
      </c>
      <c r="S77" s="0" t="n">
        <v>0</v>
      </c>
      <c r="T77" s="0" t="n">
        <v>0</v>
      </c>
      <c r="U77" s="0" t="n">
        <v>0</v>
      </c>
      <c r="V77" s="0" t="n">
        <v>0</v>
      </c>
      <c r="W77" s="0" t="n">
        <v>0</v>
      </c>
      <c r="X77" s="3" t="s">
        <v>442</v>
      </c>
      <c r="AF77" s="0" t="str">
        <f aca="false">IF(SUMIF(Founders_Clean!$A$2:$A$159,A77,Founders_Clean!$C$2:$C$159)=0,"",SUMIF(Founders_Clean!$A$2:$A$159,A77,Founders_Clean!$C$2:$C$159))</f>
        <v/>
      </c>
      <c r="AG77" s="0" t="str">
        <f aca="false">IF(AF77="","",SUMIF(Founders_Clean!$A$2:$A$159,A77,Founders_Clean!$D$2:$D$159))</f>
        <v/>
      </c>
      <c r="AH77" s="0" t="str">
        <f aca="false">IF(AF77="","",SUMIF(Founders_Clean!$A$2:$A$159,A77,Founders_Clean!$E$2:$E$159))</f>
        <v/>
      </c>
      <c r="AI77" s="0" t="str">
        <f aca="false">IF(AF77="","",IF((AG77+AH77)=0,"",AH77/(AG77+AH77)))</f>
        <v/>
      </c>
      <c r="AJ77" s="0" t="str">
        <f aca="false">IF(AI77="","",IF(AH77&gt;0,1,0))</f>
        <v/>
      </c>
      <c r="AK77" s="0" t="str">
        <f aca="false">IF(AI77="","",ROUND(1-(AI77^2+(1-AI77)^2),3))</f>
        <v/>
      </c>
      <c r="AX77" s="3" t="s">
        <v>262</v>
      </c>
      <c r="AY77" s="3" t="s">
        <v>263</v>
      </c>
      <c r="AZ77" s="3" t="s">
        <v>430</v>
      </c>
      <c r="BB77" s="0" t="n">
        <v>0</v>
      </c>
      <c r="BF77" s="0" t="str">
        <f aca="false">IF(OR(I77="",BC77=""),"",IF(BC77=1,(BD77-I77)*12+IF(BE77="",7,BE77)-IF(J77="",1,J77),M77))</f>
        <v/>
      </c>
      <c r="BL77" s="3" t="n">
        <f aca="false">COUNTIFS(Investments_Clean!$A$2:$A$150,A77,Investments_Clean!$F$2:$F$150,"Accepted")</f>
        <v>0</v>
      </c>
      <c r="BM77" s="0" t="str">
        <f aca="false">IF(BL77=0,"",IF((COUNTIFS(Investments_Clean!$A$2:$A$150,A77,Investments_Clean!$D$2:$D$150,"VC/PE",Investments_Clean!$F$2:$F$150,"Accepted"))&gt;0,1,0))</f>
        <v/>
      </c>
      <c r="BN77" s="0" t="str">
        <f aca="false">IF(BL77=0,"",IF((COUNTIFS(Investments_Clean!$A$2:$A$150,A77,Investments_Clean!$D$2:$D$150,"Angel",Investments_Clean!$F$2:$F$150,"Accepted"))&gt;0,1,0))</f>
        <v/>
      </c>
      <c r="BO77" s="0" t="str">
        <f aca="false">IF(BL77=0,"",IF((COUNTIFS(Investments_Clean!$A$2:$A$150,A77,Investments_Clean!$D$2:$D$150,"Accelerator",Investments_Clean!$F$2:$F$150,"Accepted"))&gt;0,1,0))</f>
        <v/>
      </c>
      <c r="BP77" s="0" t="str">
        <f aca="false">IF(BL77=0,"",IF((COUNTIFS(Investments_Clean!$A$2:$A$150,A77,Investments_Clean!$D$2:$D$150,"Corporate",Investments_Clean!$F$2:$F$150,"Accepted"))&gt;0,1,0))</f>
        <v/>
      </c>
      <c r="BQ77" s="0" t="str">
        <f aca="false">IF(BL77=0,"",IF((COUNTIFS(Investments_Clean!$A$2:$A$150,A77,Investments_Clean!$D$2:$D$150,"Government",Investments_Clean!$F$2:$F$150,"Accepted"))&gt;0,1,0))</f>
        <v/>
      </c>
      <c r="BR77" s="0" t="str">
        <f aca="false">IF(BL77=0,"",IF((COUNTIFS(Investments_Clean!$A$2:$A$150,A77,Investments_Clean!$D$2:$D$150,"Grant/Philanthropic",Investments_Clean!$F$2:$F$150,"Accepted")+COUNTIFS(Investments_Clean!$A$2:$A$150,A77,Investments_Clean!$D$2:$D$150,"DFI/Impact",Investments_Clean!$F$2:$F$150,"Accepted"))&gt;0,1,0))</f>
        <v/>
      </c>
      <c r="BV77" s="0" t="n">
        <v>1000</v>
      </c>
      <c r="BW77" s="0" t="n">
        <v>2.5</v>
      </c>
      <c r="BX77" s="0" t="n">
        <v>37.1</v>
      </c>
      <c r="CA77" s="0" t="n">
        <v>3</v>
      </c>
      <c r="CB77" s="0" t="n">
        <v>33.8</v>
      </c>
      <c r="CC77" s="0" t="str">
        <f aca="false">IF(I77="","",IFERROR(IF(INDEX(Macro_Lookup!$B$2:$B$31,MATCH(I77,Macro_Lookup!$A$2:$A$31,0))="","",INDEX(Macro_Lookup!$B$2:$B$31,MATCH(I77,Macro_Lookup!$A$2:$A$31,0))),""))</f>
        <v/>
      </c>
      <c r="CD77" s="0" t="str">
        <f aca="false">IF(I77="","",IFERROR(IF(INDEX(Macro_Lookup!$C$2:$C$31,MATCH(I77,Macro_Lookup!$A$2:$A$31,0))="","",INDEX(Macro_Lookup!$C$2:$C$31,MATCH(I77,Macro_Lookup!$A$2:$A$31,0))),""))</f>
        <v/>
      </c>
      <c r="CE77" s="0" t="str">
        <f aca="false">IF(BJ77="","",IFERROR(IF(INDEX(Macro_Lookup!$B$2:$B$31,MATCH(BJ77,Macro_Lookup!$A$2:$A$31,0))="","",INDEX(Macro_Lookup!$B$2:$B$31,MATCH(BJ77,Macro_Lookup!$A$2:$A$31,0))),""))</f>
        <v/>
      </c>
      <c r="CF77" s="0" t="str">
        <f aca="false">IF(BJ77="","",IFERROR(IF(INDEX(Macro_Lookup!$C$2:$C$31,MATCH(BJ77,Macro_Lookup!$A$2:$A$31,0))="","",INDEX(Macro_Lookup!$C$2:$C$31,MATCH(BJ77,Macro_Lookup!$A$2:$A$31,0))),""))</f>
        <v/>
      </c>
      <c r="CG77" s="0" t="n">
        <v>7</v>
      </c>
      <c r="CH77" s="3" t="s">
        <v>104</v>
      </c>
      <c r="CI77" s="3" t="s">
        <v>105</v>
      </c>
    </row>
    <row r="78" customFormat="false" ht="14.25" hidden="false" customHeight="false" outlineLevel="0" collapsed="false">
      <c r="A78" s="0" t="s">
        <v>443</v>
      </c>
      <c r="B78" s="0" t="s">
        <v>444</v>
      </c>
      <c r="C78" s="0" t="s">
        <v>89</v>
      </c>
      <c r="D78" s="0" t="s">
        <v>90</v>
      </c>
      <c r="E78" s="0" t="n">
        <v>0</v>
      </c>
      <c r="F78" s="0" t="s">
        <v>91</v>
      </c>
      <c r="I78" s="0" t="n">
        <v>2020</v>
      </c>
      <c r="K78" s="0" t="s">
        <v>92</v>
      </c>
      <c r="L78" s="2" t="n">
        <v>46295</v>
      </c>
      <c r="M78" s="3" t="n">
        <f aca="false">IF(I78="","",(YEAR(L78)-I78)*12+MONTH(L78)-IF(J78="",1,J78))</f>
        <v>80</v>
      </c>
      <c r="N78" s="3" t="n">
        <f aca="false">IF(M78="","",ROUND(M78/12,2))</f>
        <v>6.67</v>
      </c>
      <c r="O78" s="3" t="s">
        <v>445</v>
      </c>
      <c r="P78" s="3" t="s">
        <v>446</v>
      </c>
      <c r="Q78" s="3" t="s">
        <v>447</v>
      </c>
      <c r="R78" s="0" t="n">
        <v>0</v>
      </c>
      <c r="S78" s="0" t="n">
        <v>0</v>
      </c>
      <c r="T78" s="0" t="n">
        <v>0</v>
      </c>
      <c r="U78" s="0" t="n">
        <v>1</v>
      </c>
      <c r="V78" s="0" t="n">
        <v>0</v>
      </c>
      <c r="W78" s="0" t="n">
        <v>0</v>
      </c>
      <c r="X78" s="3" t="s">
        <v>382</v>
      </c>
      <c r="Y78" s="0" t="n">
        <v>3</v>
      </c>
      <c r="Z78" s="0" t="n">
        <v>1</v>
      </c>
      <c r="AA78" s="0" t="n">
        <v>1</v>
      </c>
      <c r="AB78" s="3" t="s">
        <v>448</v>
      </c>
      <c r="AC78" s="0" t="n">
        <v>1</v>
      </c>
      <c r="AD78" s="0" t="n">
        <v>96000</v>
      </c>
      <c r="AE78" s="3" t="s">
        <v>97</v>
      </c>
      <c r="AF78" s="3" t="n">
        <f aca="false">IF(SUMIF(Founders_Clean!$A$2:$A$159,A78,Founders_Clean!$C$2:$C$159)=0,"",SUMIF(Founders_Clean!$A$2:$A$159,A78,Founders_Clean!$C$2:$C$159))</f>
        <v>3</v>
      </c>
      <c r="AG78" s="3" t="n">
        <f aca="false">IF(AF78="","",SUMIF(Founders_Clean!$A$2:$A$159,A78,Founders_Clean!$D$2:$D$159))</f>
        <v>2</v>
      </c>
      <c r="AH78" s="3" t="n">
        <f aca="false">IF(AF78="","",SUMIF(Founders_Clean!$A$2:$A$159,A78,Founders_Clean!$E$2:$E$159))</f>
        <v>1</v>
      </c>
      <c r="AI78" s="3" t="n">
        <f aca="false">IF(AF78="","",IF((AG78+AH78)=0,"",AH78/(AG78+AH78)))</f>
        <v>0.333333333333333</v>
      </c>
      <c r="AJ78" s="3" t="n">
        <f aca="false">IF(AI78="","",IF(AH78&gt;0,1,0))</f>
        <v>1</v>
      </c>
      <c r="AK78" s="3" t="n">
        <f aca="false">IF(AI78="","",ROUND(1-(AI78^2+(1-AI78)^2),3))</f>
        <v>0.444</v>
      </c>
      <c r="AM78" s="0" t="n">
        <v>2</v>
      </c>
      <c r="AN78" s="3" t="s">
        <v>98</v>
      </c>
      <c r="AO78" s="0" t="n">
        <v>1</v>
      </c>
      <c r="AP78" s="0" t="n">
        <v>1</v>
      </c>
      <c r="AQ78" s="0" t="n">
        <v>1</v>
      </c>
      <c r="AR78" s="0" t="n">
        <v>6</v>
      </c>
      <c r="AS78" s="0" t="n">
        <v>6</v>
      </c>
      <c r="AT78" s="0" t="n">
        <v>125.5</v>
      </c>
      <c r="AU78" s="3" t="s">
        <v>130</v>
      </c>
      <c r="AV78" s="3" t="s">
        <v>122</v>
      </c>
      <c r="AX78" s="3" t="s">
        <v>101</v>
      </c>
      <c r="AY78" s="3" t="s">
        <v>102</v>
      </c>
      <c r="BA78" s="0" t="n">
        <v>0</v>
      </c>
      <c r="BB78" s="0" t="n">
        <v>0</v>
      </c>
      <c r="BC78" s="0" t="n">
        <v>0</v>
      </c>
      <c r="BF78" s="3" t="n">
        <f aca="false">IF(OR(I78="",BC78=""),"",IF(BC78=1,(BD78-I78)*12+IF(BE78="",7,BE78)-IF(J78="",1,J78),M78))</f>
        <v>80</v>
      </c>
      <c r="BG78" s="0" t="n">
        <v>1</v>
      </c>
      <c r="BH78" s="0" t="n">
        <v>2000000</v>
      </c>
      <c r="BI78" s="3" t="s">
        <v>103</v>
      </c>
      <c r="BJ78" s="0" t="n">
        <v>2025</v>
      </c>
      <c r="BK78" s="0" t="n">
        <v>1</v>
      </c>
      <c r="BL78" s="3" t="n">
        <f aca="false">COUNTIFS(Investments_Clean!$A$2:$A$150,A78,Investments_Clean!$F$2:$F$150,"Accepted")</f>
        <v>1</v>
      </c>
      <c r="BM78" s="3" t="n">
        <f aca="false">IF(BL78=0,"",IF((COUNTIFS(Investments_Clean!$A$2:$A$150,A78,Investments_Clean!$D$2:$D$150,"VC/PE",Investments_Clean!$F$2:$F$150,"Accepted"))&gt;0,1,0))</f>
        <v>0</v>
      </c>
      <c r="BN78" s="3" t="n">
        <f aca="false">IF(BL78=0,"",IF((COUNTIFS(Investments_Clean!$A$2:$A$150,A78,Investments_Clean!$D$2:$D$150,"Angel",Investments_Clean!$F$2:$F$150,"Accepted"))&gt;0,1,0))</f>
        <v>0</v>
      </c>
      <c r="BO78" s="3" t="n">
        <f aca="false">IF(BL78=0,"",IF((COUNTIFS(Investments_Clean!$A$2:$A$150,A78,Investments_Clean!$D$2:$D$150,"Accelerator",Investments_Clean!$F$2:$F$150,"Accepted"))&gt;0,1,0))</f>
        <v>1</v>
      </c>
      <c r="BP78" s="3" t="n">
        <f aca="false">IF(BL78=0,"",IF((COUNTIFS(Investments_Clean!$A$2:$A$150,A78,Investments_Clean!$D$2:$D$150,"Corporate",Investments_Clean!$F$2:$F$150,"Accepted"))&gt;0,1,0))</f>
        <v>0</v>
      </c>
      <c r="BQ78" s="3" t="n">
        <f aca="false">IF(BL78=0,"",IF((COUNTIFS(Investments_Clean!$A$2:$A$150,A78,Investments_Clean!$D$2:$D$150,"Government",Investments_Clean!$F$2:$F$150,"Accepted"))&gt;0,1,0))</f>
        <v>0</v>
      </c>
      <c r="BR78" s="3" t="n">
        <f aca="false">IF(BL78=0,"",IF((COUNTIFS(Investments_Clean!$A$2:$A$150,A78,Investments_Clean!$D$2:$D$150,"Grant/Philanthropic",Investments_Clean!$F$2:$F$150,"Accepted")+COUNTIFS(Investments_Clean!$A$2:$A$150,A78,Investments_Clean!$D$2:$D$150,"DFI/Impact",Investments_Clean!$F$2:$F$150,"Accepted"))&gt;0,1,0))</f>
        <v>0</v>
      </c>
      <c r="BV78" s="0" t="n">
        <v>17500</v>
      </c>
      <c r="BW78" s="0" t="n">
        <v>40</v>
      </c>
      <c r="BX78" s="0" t="n">
        <v>1.6</v>
      </c>
      <c r="CA78" s="0" t="n">
        <v>3</v>
      </c>
      <c r="CB78" s="0" t="n">
        <v>48.8</v>
      </c>
      <c r="CC78" s="0" t="str">
        <f aca="false">IF(I78="","",IFERROR(IF(INDEX(Macro_Lookup!$B$2:$B$31,MATCH(I78,Macro_Lookup!$A$2:$A$31,0))="","",INDEX(Macro_Lookup!$B$2:$B$31,MATCH(I78,Macro_Lookup!$A$2:$A$31,0))),""))</f>
        <v/>
      </c>
      <c r="CD78" s="0" t="str">
        <f aca="false">IF(I78="","",IFERROR(IF(INDEX(Macro_Lookup!$C$2:$C$31,MATCH(I78,Macro_Lookup!$A$2:$A$31,0))="","",INDEX(Macro_Lookup!$C$2:$C$31,MATCH(I78,Macro_Lookup!$A$2:$A$31,0))),""))</f>
        <v/>
      </c>
      <c r="CE78" s="0" t="str">
        <f aca="false">IF(BJ78="","",IFERROR(IF(INDEX(Macro_Lookup!$B$2:$B$31,MATCH(BJ78,Macro_Lookup!$A$2:$A$31,0))="","",INDEX(Macro_Lookup!$B$2:$B$31,MATCH(BJ78,Macro_Lookup!$A$2:$A$31,0))),""))</f>
        <v/>
      </c>
      <c r="CF78" s="0" t="str">
        <f aca="false">IF(BJ78="","",IFERROR(IF(INDEX(Macro_Lookup!$C$2:$C$31,MATCH(BJ78,Macro_Lookup!$A$2:$A$31,0))="","",INDEX(Macro_Lookup!$C$2:$C$31,MATCH(BJ78,Macro_Lookup!$A$2:$A$31,0))),""))</f>
        <v/>
      </c>
      <c r="CG78" s="0" t="n">
        <v>0</v>
      </c>
      <c r="CH78" s="3" t="s">
        <v>104</v>
      </c>
      <c r="CI78" s="3" t="s">
        <v>105</v>
      </c>
    </row>
    <row r="79" customFormat="false" ht="14.25" hidden="false" customHeight="false" outlineLevel="0" collapsed="false">
      <c r="A79" s="0" t="s">
        <v>449</v>
      </c>
      <c r="B79" s="0" t="s">
        <v>450</v>
      </c>
      <c r="C79" s="0" t="s">
        <v>89</v>
      </c>
      <c r="D79" s="0" t="s">
        <v>90</v>
      </c>
      <c r="E79" s="0" t="n">
        <v>0</v>
      </c>
      <c r="F79" s="0" t="s">
        <v>91</v>
      </c>
      <c r="I79" s="0" t="n">
        <v>2018</v>
      </c>
      <c r="J79" s="0" t="n">
        <v>4</v>
      </c>
      <c r="K79" s="0" t="s">
        <v>133</v>
      </c>
      <c r="L79" s="2" t="n">
        <v>46295</v>
      </c>
      <c r="M79" s="3" t="n">
        <f aca="false">IF(I79="","",(YEAR(L79)-I79)*12+MONTH(L79)-IF(J79="",1,J79))</f>
        <v>101</v>
      </c>
      <c r="N79" s="3" t="n">
        <f aca="false">IF(M79="","",ROUND(M79/12,2))</f>
        <v>8.42</v>
      </c>
      <c r="O79" s="3" t="s">
        <v>451</v>
      </c>
      <c r="P79" s="3" t="s">
        <v>446</v>
      </c>
      <c r="Q79" s="3" t="s">
        <v>452</v>
      </c>
      <c r="R79" s="0" t="n">
        <v>1</v>
      </c>
      <c r="S79" s="0" t="n">
        <v>0</v>
      </c>
      <c r="T79" s="0" t="n">
        <v>0</v>
      </c>
      <c r="U79" s="0" t="n">
        <v>1</v>
      </c>
      <c r="V79" s="0" t="n">
        <v>0</v>
      </c>
      <c r="W79" s="0" t="n">
        <v>0</v>
      </c>
      <c r="X79" s="3" t="s">
        <v>382</v>
      </c>
      <c r="Y79" s="0" t="n">
        <v>3</v>
      </c>
      <c r="Z79" s="0" t="n">
        <v>1</v>
      </c>
      <c r="AA79" s="0" t="n">
        <v>0</v>
      </c>
      <c r="AB79" s="3" t="s">
        <v>453</v>
      </c>
      <c r="AF79" s="3" t="n">
        <f aca="false">IF(SUMIF(Founders_Clean!$A$2:$A$159,A79,Founders_Clean!$C$2:$C$159)=0,"",SUMIF(Founders_Clean!$A$2:$A$159,A79,Founders_Clean!$C$2:$C$159))</f>
        <v>1</v>
      </c>
      <c r="AG79" s="3" t="n">
        <f aca="false">IF(AF79="","",SUMIF(Founders_Clean!$A$2:$A$159,A79,Founders_Clean!$D$2:$D$159))</f>
        <v>1</v>
      </c>
      <c r="AH79" s="3" t="n">
        <f aca="false">IF(AF79="","",SUMIF(Founders_Clean!$A$2:$A$159,A79,Founders_Clean!$E$2:$E$159))</f>
        <v>0</v>
      </c>
      <c r="AI79" s="3" t="n">
        <f aca="false">IF(AF79="","",IF((AG79+AH79)=0,"",AH79/(AG79+AH79)))</f>
        <v>0</v>
      </c>
      <c r="AJ79" s="3" t="n">
        <f aca="false">IF(AI79="","",IF(AH79&gt;0,1,0))</f>
        <v>0</v>
      </c>
      <c r="AK79" s="3" t="n">
        <f aca="false">IF(AI79="","",ROUND(1-(AI79^2+(1-AI79)^2),3))</f>
        <v>0</v>
      </c>
      <c r="AM79" s="0" t="n">
        <v>1</v>
      </c>
      <c r="AN79" s="3" t="s">
        <v>147</v>
      </c>
      <c r="AO79" s="0" t="n">
        <v>0</v>
      </c>
      <c r="AP79" s="0" t="n">
        <v>0</v>
      </c>
      <c r="AQ79" s="0" t="n">
        <v>1</v>
      </c>
      <c r="AR79" s="0" t="n">
        <v>12</v>
      </c>
      <c r="AS79" s="0" t="n">
        <v>12</v>
      </c>
      <c r="AT79" s="0" t="n">
        <v>30.5</v>
      </c>
      <c r="AU79" s="3" t="s">
        <v>161</v>
      </c>
      <c r="AV79" s="3" t="s">
        <v>122</v>
      </c>
      <c r="AX79" s="3" t="s">
        <v>101</v>
      </c>
      <c r="AY79" s="3" t="s">
        <v>102</v>
      </c>
      <c r="BA79" s="0" t="n">
        <v>0</v>
      </c>
      <c r="BB79" s="0" t="n">
        <v>0</v>
      </c>
      <c r="BC79" s="0" t="n">
        <v>0</v>
      </c>
      <c r="BF79" s="3" t="n">
        <f aca="false">IF(OR(I79="",BC79=""),"",IF(BC79=1,(BD79-I79)*12+IF(BE79="",7,BE79)-IF(J79="",1,J79),M79))</f>
        <v>101</v>
      </c>
      <c r="BL79" s="3" t="n">
        <f aca="false">COUNTIFS(Investments_Clean!$A$2:$A$150,A79,Investments_Clean!$F$2:$F$150,"Accepted")</f>
        <v>0</v>
      </c>
      <c r="BM79" s="0" t="str">
        <f aca="false">IF(BL79=0,"",IF((COUNTIFS(Investments_Clean!$A$2:$A$150,A79,Investments_Clean!$D$2:$D$150,"VC/PE",Investments_Clean!$F$2:$F$150,"Accepted"))&gt;0,1,0))</f>
        <v/>
      </c>
      <c r="BN79" s="0" t="str">
        <f aca="false">IF(BL79=0,"",IF((COUNTIFS(Investments_Clean!$A$2:$A$150,A79,Investments_Clean!$D$2:$D$150,"Angel",Investments_Clean!$F$2:$F$150,"Accepted"))&gt;0,1,0))</f>
        <v/>
      </c>
      <c r="BO79" s="0" t="str">
        <f aca="false">IF(BL79=0,"",IF((COUNTIFS(Investments_Clean!$A$2:$A$150,A79,Investments_Clean!$D$2:$D$150,"Accelerator",Investments_Clean!$F$2:$F$150,"Accepted"))&gt;0,1,0))</f>
        <v/>
      </c>
      <c r="BP79" s="0" t="str">
        <f aca="false">IF(BL79=0,"",IF((COUNTIFS(Investments_Clean!$A$2:$A$150,A79,Investments_Clean!$D$2:$D$150,"Corporate",Investments_Clean!$F$2:$F$150,"Accepted"))&gt;0,1,0))</f>
        <v/>
      </c>
      <c r="BQ79" s="0" t="str">
        <f aca="false">IF(BL79=0,"",IF((COUNTIFS(Investments_Clean!$A$2:$A$150,A79,Investments_Clean!$D$2:$D$150,"Government",Investments_Clean!$F$2:$F$150,"Accepted"))&gt;0,1,0))</f>
        <v/>
      </c>
      <c r="BR79" s="0" t="str">
        <f aca="false">IF(BL79=0,"",IF((COUNTIFS(Investments_Clean!$A$2:$A$150,A79,Investments_Clean!$D$2:$D$150,"Grant/Philanthropic",Investments_Clean!$F$2:$F$150,"Accepted")+COUNTIFS(Investments_Clean!$A$2:$A$150,A79,Investments_Clean!$D$2:$D$150,"DFI/Impact",Investments_Clean!$F$2:$F$150,"Accepted"))&gt;0,1,0))</f>
        <v/>
      </c>
      <c r="BT79" s="0" t="n">
        <v>185</v>
      </c>
      <c r="BV79" s="0" t="n">
        <v>8500</v>
      </c>
      <c r="BW79" s="0" t="n">
        <v>27.5</v>
      </c>
      <c r="BX79" s="0" t="n">
        <v>32.1</v>
      </c>
      <c r="CA79" s="0" t="n">
        <v>3</v>
      </c>
      <c r="CB79" s="0" t="n">
        <v>56.2</v>
      </c>
      <c r="CC79" s="0" t="str">
        <f aca="false">IF(I79="","",IFERROR(IF(INDEX(Macro_Lookup!$B$2:$B$31,MATCH(I79,Macro_Lookup!$A$2:$A$31,0))="","",INDEX(Macro_Lookup!$B$2:$B$31,MATCH(I79,Macro_Lookup!$A$2:$A$31,0))),""))</f>
        <v/>
      </c>
      <c r="CD79" s="0" t="str">
        <f aca="false">IF(I79="","",IFERROR(IF(INDEX(Macro_Lookup!$C$2:$C$31,MATCH(I79,Macro_Lookup!$A$2:$A$31,0))="","",INDEX(Macro_Lookup!$C$2:$C$31,MATCH(I79,Macro_Lookup!$A$2:$A$31,0))),""))</f>
        <v/>
      </c>
      <c r="CE79" s="0" t="str">
        <f aca="false">IF(BJ79="","",IFERROR(IF(INDEX(Macro_Lookup!$B$2:$B$31,MATCH(BJ79,Macro_Lookup!$A$2:$A$31,0))="","",INDEX(Macro_Lookup!$B$2:$B$31,MATCH(BJ79,Macro_Lookup!$A$2:$A$31,0))),""))</f>
        <v/>
      </c>
      <c r="CF79" s="0" t="str">
        <f aca="false">IF(BJ79="","",IFERROR(IF(INDEX(Macro_Lookup!$C$2:$C$31,MATCH(BJ79,Macro_Lookup!$A$2:$A$31,0))="","",INDEX(Macro_Lookup!$C$2:$C$31,MATCH(BJ79,Macro_Lookup!$A$2:$A$31,0))),""))</f>
        <v/>
      </c>
      <c r="CG79" s="0" t="n">
        <v>1</v>
      </c>
      <c r="CH79" s="3" t="s">
        <v>104</v>
      </c>
      <c r="CI79" s="3" t="s">
        <v>105</v>
      </c>
    </row>
    <row r="80" customFormat="false" ht="14.25" hidden="false" customHeight="false" outlineLevel="0" collapsed="false">
      <c r="A80" s="0" t="s">
        <v>454</v>
      </c>
      <c r="B80" s="0" t="s">
        <v>455</v>
      </c>
      <c r="C80" s="0" t="s">
        <v>89</v>
      </c>
      <c r="D80" s="0" t="s">
        <v>90</v>
      </c>
      <c r="E80" s="0" t="n">
        <v>0</v>
      </c>
      <c r="F80" s="0" t="s">
        <v>91</v>
      </c>
      <c r="I80" s="0" t="n">
        <v>2021</v>
      </c>
      <c r="K80" s="0" t="s">
        <v>92</v>
      </c>
      <c r="L80" s="2" t="n">
        <v>46295</v>
      </c>
      <c r="M80" s="3" t="n">
        <f aca="false">IF(I80="","",(YEAR(L80)-I80)*12+MONTH(L80)-IF(J80="",1,J80))</f>
        <v>68</v>
      </c>
      <c r="N80" s="3" t="n">
        <f aca="false">IF(M80="","",ROUND(M80/12,2))</f>
        <v>5.67</v>
      </c>
      <c r="O80" s="3" t="s">
        <v>456</v>
      </c>
      <c r="P80" s="3" t="s">
        <v>446</v>
      </c>
      <c r="Q80" s="3" t="s">
        <v>457</v>
      </c>
      <c r="R80" s="0" t="n">
        <v>1</v>
      </c>
      <c r="S80" s="0" t="n">
        <v>0</v>
      </c>
      <c r="T80" s="0" t="n">
        <v>0</v>
      </c>
      <c r="U80" s="0" t="n">
        <v>1</v>
      </c>
      <c r="V80" s="0" t="n">
        <v>0</v>
      </c>
      <c r="W80" s="0" t="n">
        <v>0</v>
      </c>
      <c r="X80" s="3" t="s">
        <v>382</v>
      </c>
      <c r="Y80" s="0" t="n">
        <v>3</v>
      </c>
      <c r="Z80" s="0" t="n">
        <v>1</v>
      </c>
      <c r="AA80" s="0" t="n">
        <v>1</v>
      </c>
      <c r="AB80" s="3" t="s">
        <v>458</v>
      </c>
      <c r="AC80" s="0" t="n">
        <v>1</v>
      </c>
      <c r="AD80" s="0" t="n">
        <v>91000</v>
      </c>
      <c r="AE80" s="3" t="s">
        <v>97</v>
      </c>
      <c r="AF80" s="3" t="n">
        <f aca="false">IF(SUMIF(Founders_Clean!$A$2:$A$159,A80,Founders_Clean!$C$2:$C$159)=0,"",SUMIF(Founders_Clean!$A$2:$A$159,A80,Founders_Clean!$C$2:$C$159))</f>
        <v>1</v>
      </c>
      <c r="AG80" s="3" t="n">
        <f aca="false">IF(AF80="","",SUMIF(Founders_Clean!$A$2:$A$159,A80,Founders_Clean!$D$2:$D$159))</f>
        <v>1</v>
      </c>
      <c r="AH80" s="3" t="n">
        <f aca="false">IF(AF80="","",SUMIF(Founders_Clean!$A$2:$A$159,A80,Founders_Clean!$E$2:$E$159))</f>
        <v>0</v>
      </c>
      <c r="AI80" s="3" t="n">
        <f aca="false">IF(AF80="","",IF((AG80+AH80)=0,"",AH80/(AG80+AH80)))</f>
        <v>0</v>
      </c>
      <c r="AJ80" s="3" t="n">
        <f aca="false">IF(AI80="","",IF(AH80&gt;0,1,0))</f>
        <v>0</v>
      </c>
      <c r="AK80" s="3" t="n">
        <f aca="false">IF(AI80="","",ROUND(1-(AI80^2+(1-AI80)^2),3))</f>
        <v>0</v>
      </c>
      <c r="AM80" s="0" t="n">
        <v>1</v>
      </c>
      <c r="AN80" s="3" t="s">
        <v>147</v>
      </c>
      <c r="AO80" s="0" t="n">
        <v>1</v>
      </c>
      <c r="AP80" s="0" t="n">
        <v>1</v>
      </c>
      <c r="AQ80" s="0" t="n">
        <v>1</v>
      </c>
      <c r="AR80" s="0" t="n">
        <v>6</v>
      </c>
      <c r="AS80" s="0" t="n">
        <v>6</v>
      </c>
      <c r="AT80" s="0" t="n">
        <v>30.5</v>
      </c>
      <c r="AU80" s="3" t="s">
        <v>161</v>
      </c>
      <c r="AV80" s="3" t="s">
        <v>122</v>
      </c>
      <c r="AX80" s="3" t="s">
        <v>101</v>
      </c>
      <c r="AY80" s="3" t="s">
        <v>102</v>
      </c>
      <c r="BA80" s="0" t="n">
        <v>0</v>
      </c>
      <c r="BB80" s="0" t="n">
        <v>0</v>
      </c>
      <c r="BC80" s="0" t="n">
        <v>0</v>
      </c>
      <c r="BF80" s="3" t="n">
        <f aca="false">IF(OR(I80="",BC80=""),"",IF(BC80=1,(BD80-I80)*12+IF(BE80="",7,BE80)-IF(J80="",1,J80),M80))</f>
        <v>68</v>
      </c>
      <c r="BG80" s="0" t="n">
        <v>1</v>
      </c>
      <c r="BH80" s="0" t="n">
        <v>2500000</v>
      </c>
      <c r="BI80" s="3" t="s">
        <v>103</v>
      </c>
      <c r="BJ80" s="0" t="n">
        <v>2025</v>
      </c>
      <c r="BK80" s="0" t="n">
        <v>1</v>
      </c>
      <c r="BL80" s="3" t="n">
        <f aca="false">COUNTIFS(Investments_Clean!$A$2:$A$150,A80,Investments_Clean!$F$2:$F$150,"Accepted")</f>
        <v>1</v>
      </c>
      <c r="BM80" s="3" t="n">
        <f aca="false">IF(BL80=0,"",IF((COUNTIFS(Investments_Clean!$A$2:$A$150,A80,Investments_Clean!$D$2:$D$150,"VC/PE",Investments_Clean!$F$2:$F$150,"Accepted"))&gt;0,1,0))</f>
        <v>1</v>
      </c>
      <c r="BN80" s="3" t="n">
        <f aca="false">IF(BL80=0,"",IF((COUNTIFS(Investments_Clean!$A$2:$A$150,A80,Investments_Clean!$D$2:$D$150,"Angel",Investments_Clean!$F$2:$F$150,"Accepted"))&gt;0,1,0))</f>
        <v>0</v>
      </c>
      <c r="BO80" s="3" t="n">
        <f aca="false">IF(BL80=0,"",IF((COUNTIFS(Investments_Clean!$A$2:$A$150,A80,Investments_Clean!$D$2:$D$150,"Accelerator",Investments_Clean!$F$2:$F$150,"Accepted"))&gt;0,1,0))</f>
        <v>0</v>
      </c>
      <c r="BP80" s="3" t="n">
        <f aca="false">IF(BL80=0,"",IF((COUNTIFS(Investments_Clean!$A$2:$A$150,A80,Investments_Clean!$D$2:$D$150,"Corporate",Investments_Clean!$F$2:$F$150,"Accepted"))&gt;0,1,0))</f>
        <v>0</v>
      </c>
      <c r="BQ80" s="3" t="n">
        <f aca="false">IF(BL80=0,"",IF((COUNTIFS(Investments_Clean!$A$2:$A$150,A80,Investments_Clean!$D$2:$D$150,"Government",Investments_Clean!$F$2:$F$150,"Accepted"))&gt;0,1,0))</f>
        <v>0</v>
      </c>
      <c r="BR80" s="3" t="n">
        <f aca="false">IF(BL80=0,"",IF((COUNTIFS(Investments_Clean!$A$2:$A$150,A80,Investments_Clean!$D$2:$D$150,"Grant/Philanthropic",Investments_Clean!$F$2:$F$150,"Accepted")+COUNTIFS(Investments_Clean!$A$2:$A$150,A80,Investments_Clean!$D$2:$D$150,"DFI/Impact",Investments_Clean!$F$2:$F$150,"Accepted"))&gt;0,1,0))</f>
        <v>0</v>
      </c>
      <c r="BT80" s="0" t="n">
        <v>1000</v>
      </c>
      <c r="BV80" s="0" t="n">
        <v>2500</v>
      </c>
      <c r="BW80" s="0" t="n">
        <v>27.5</v>
      </c>
      <c r="BX80" s="0" t="n">
        <v>45.1</v>
      </c>
      <c r="BY80" s="0" t="n">
        <v>5000</v>
      </c>
      <c r="BZ80" s="0" t="n">
        <v>3.8</v>
      </c>
      <c r="CA80" s="0" t="n">
        <v>4</v>
      </c>
      <c r="CB80" s="0" t="n">
        <v>49</v>
      </c>
      <c r="CC80" s="0" t="str">
        <f aca="false">IF(I80="","",IFERROR(IF(INDEX(Macro_Lookup!$B$2:$B$31,MATCH(I80,Macro_Lookup!$A$2:$A$31,0))="","",INDEX(Macro_Lookup!$B$2:$B$31,MATCH(I80,Macro_Lookup!$A$2:$A$31,0))),""))</f>
        <v/>
      </c>
      <c r="CD80" s="0" t="str">
        <f aca="false">IF(I80="","",IFERROR(IF(INDEX(Macro_Lookup!$C$2:$C$31,MATCH(I80,Macro_Lookup!$A$2:$A$31,0))="","",INDEX(Macro_Lookup!$C$2:$C$31,MATCH(I80,Macro_Lookup!$A$2:$A$31,0))),""))</f>
        <v/>
      </c>
      <c r="CE80" s="0" t="str">
        <f aca="false">IF(BJ80="","",IFERROR(IF(INDEX(Macro_Lookup!$B$2:$B$31,MATCH(BJ80,Macro_Lookup!$A$2:$A$31,0))="","",INDEX(Macro_Lookup!$B$2:$B$31,MATCH(BJ80,Macro_Lookup!$A$2:$A$31,0))),""))</f>
        <v/>
      </c>
      <c r="CF80" s="0" t="str">
        <f aca="false">IF(BJ80="","",IFERROR(IF(INDEX(Macro_Lookup!$C$2:$C$31,MATCH(BJ80,Macro_Lookup!$A$2:$A$31,0))="","",INDEX(Macro_Lookup!$C$2:$C$31,MATCH(BJ80,Macro_Lookup!$A$2:$A$31,0))),""))</f>
        <v/>
      </c>
      <c r="CG80" s="0" t="n">
        <v>0</v>
      </c>
      <c r="CH80" s="3" t="s">
        <v>104</v>
      </c>
      <c r="CI80" s="3" t="s">
        <v>105</v>
      </c>
    </row>
    <row r="81" customFormat="false" ht="14.25" hidden="false" customHeight="false" outlineLevel="0" collapsed="false">
      <c r="A81" s="0" t="s">
        <v>459</v>
      </c>
      <c r="B81" s="0" t="s">
        <v>460</v>
      </c>
      <c r="C81" s="0" t="s">
        <v>461</v>
      </c>
      <c r="D81" s="0" t="s">
        <v>461</v>
      </c>
      <c r="E81" s="0" t="n">
        <v>1</v>
      </c>
      <c r="F81" s="0" t="s">
        <v>91</v>
      </c>
      <c r="I81" s="0" t="n">
        <v>2015</v>
      </c>
      <c r="K81" s="0" t="s">
        <v>92</v>
      </c>
      <c r="L81" s="2" t="n">
        <v>46295</v>
      </c>
      <c r="M81" s="3" t="n">
        <f aca="false">IF(I81="","",(YEAR(L81)-I81)*12+MONTH(L81)-IF(J81="",1,J81))</f>
        <v>140</v>
      </c>
      <c r="N81" s="3" t="n">
        <f aca="false">IF(M81="","",ROUND(M81/12,2))</f>
        <v>11.67</v>
      </c>
      <c r="O81" s="3" t="s">
        <v>462</v>
      </c>
      <c r="P81" s="3" t="s">
        <v>446</v>
      </c>
      <c r="Q81" s="3" t="s">
        <v>463</v>
      </c>
      <c r="R81" s="0" t="n">
        <v>1</v>
      </c>
      <c r="S81" s="0" t="n">
        <v>0</v>
      </c>
      <c r="T81" s="0" t="n">
        <v>0</v>
      </c>
      <c r="U81" s="0" t="n">
        <v>0</v>
      </c>
      <c r="V81" s="0" t="n">
        <v>0</v>
      </c>
      <c r="W81" s="0" t="n">
        <v>0</v>
      </c>
      <c r="X81" s="3" t="s">
        <v>382</v>
      </c>
      <c r="Y81" s="0" t="n">
        <v>3</v>
      </c>
      <c r="Z81" s="0" t="n">
        <v>1</v>
      </c>
      <c r="AA81" s="0" t="n">
        <v>0</v>
      </c>
      <c r="AB81" s="3" t="s">
        <v>464</v>
      </c>
      <c r="AF81" s="3" t="n">
        <f aca="false">IF(SUMIF(Founders_Clean!$A$2:$A$159,A81,Founders_Clean!$C$2:$C$159)=0,"",SUMIF(Founders_Clean!$A$2:$A$159,A81,Founders_Clean!$C$2:$C$159))</f>
        <v>4</v>
      </c>
      <c r="AG81" s="3" t="n">
        <f aca="false">IF(AF81="","",SUMIF(Founders_Clean!$A$2:$A$159,A81,Founders_Clean!$D$2:$D$159))</f>
        <v>3</v>
      </c>
      <c r="AH81" s="3" t="n">
        <f aca="false">IF(AF81="","",SUMIF(Founders_Clean!$A$2:$A$159,A81,Founders_Clean!$E$2:$E$159))</f>
        <v>1</v>
      </c>
      <c r="AI81" s="3" t="n">
        <f aca="false">IF(AF81="","",IF((AG81+AH81)=0,"",AH81/(AG81+AH81)))</f>
        <v>0.25</v>
      </c>
      <c r="AJ81" s="3" t="n">
        <f aca="false">IF(AI81="","",IF(AH81&gt;0,1,0))</f>
        <v>1</v>
      </c>
      <c r="AK81" s="3" t="n">
        <f aca="false">IF(AI81="","",ROUND(1-(AI81^2+(1-AI81)^2),3))</f>
        <v>0.375</v>
      </c>
      <c r="AM81" s="0" t="n">
        <v>2</v>
      </c>
      <c r="AN81" s="3" t="s">
        <v>98</v>
      </c>
      <c r="AO81" s="0" t="n">
        <v>1</v>
      </c>
      <c r="AP81" s="0" t="n">
        <v>0.5</v>
      </c>
      <c r="AQ81" s="0" t="n">
        <v>1</v>
      </c>
      <c r="AR81" s="0" t="n">
        <v>15</v>
      </c>
      <c r="AS81" s="0" t="n">
        <v>12</v>
      </c>
      <c r="AT81" s="0" t="n">
        <v>125.5</v>
      </c>
      <c r="AU81" s="3" t="s">
        <v>130</v>
      </c>
      <c r="AV81" s="3" t="s">
        <v>122</v>
      </c>
      <c r="AX81" s="3" t="s">
        <v>101</v>
      </c>
      <c r="AY81" s="3" t="s">
        <v>102</v>
      </c>
      <c r="BA81" s="0" t="n">
        <v>0</v>
      </c>
      <c r="BB81" s="0" t="n">
        <v>0</v>
      </c>
      <c r="BC81" s="0" t="n">
        <v>0</v>
      </c>
      <c r="BF81" s="3" t="n">
        <f aca="false">IF(OR(I81="",BC81=""),"",IF(BC81=1,(BD81-I81)*12+IF(BE81="",7,BE81)-IF(J81="",1,J81),M81))</f>
        <v>140</v>
      </c>
      <c r="BG81" s="0" t="n">
        <v>1</v>
      </c>
      <c r="BH81" s="0" t="n">
        <v>1180000</v>
      </c>
      <c r="BI81" s="3" t="s">
        <v>103</v>
      </c>
      <c r="BK81" s="0" t="n">
        <v>1</v>
      </c>
      <c r="BL81" s="3" t="n">
        <f aca="false">COUNTIFS(Investments_Clean!$A$2:$A$150,A81,Investments_Clean!$F$2:$F$150,"Accepted")</f>
        <v>2</v>
      </c>
      <c r="BM81" s="3" t="n">
        <f aca="false">IF(BL81=0,"",IF((COUNTIFS(Investments_Clean!$A$2:$A$150,A81,Investments_Clean!$D$2:$D$150,"VC/PE",Investments_Clean!$F$2:$F$150,"Accepted"))&gt;0,1,0))</f>
        <v>1</v>
      </c>
      <c r="BN81" s="3" t="n">
        <f aca="false">IF(BL81=0,"",IF((COUNTIFS(Investments_Clean!$A$2:$A$150,A81,Investments_Clean!$D$2:$D$150,"Angel",Investments_Clean!$F$2:$F$150,"Accepted"))&gt;0,1,0))</f>
        <v>0</v>
      </c>
      <c r="BO81" s="3" t="n">
        <f aca="false">IF(BL81=0,"",IF((COUNTIFS(Investments_Clean!$A$2:$A$150,A81,Investments_Clean!$D$2:$D$150,"Accelerator",Investments_Clean!$F$2:$F$150,"Accepted"))&gt;0,1,0))</f>
        <v>0</v>
      </c>
      <c r="BP81" s="3" t="n">
        <f aca="false">IF(BL81=0,"",IF((COUNTIFS(Investments_Clean!$A$2:$A$150,A81,Investments_Clean!$D$2:$D$150,"Corporate",Investments_Clean!$F$2:$F$150,"Accepted"))&gt;0,1,0))</f>
        <v>0</v>
      </c>
      <c r="BQ81" s="3" t="n">
        <f aca="false">IF(BL81=0,"",IF((COUNTIFS(Investments_Clean!$A$2:$A$150,A81,Investments_Clean!$D$2:$D$150,"Government",Investments_Clean!$F$2:$F$150,"Accepted"))&gt;0,1,0))</f>
        <v>1</v>
      </c>
      <c r="BR81" s="3" t="n">
        <f aca="false">IF(BL81=0,"",IF((COUNTIFS(Investments_Clean!$A$2:$A$150,A81,Investments_Clean!$D$2:$D$150,"Grant/Philanthropic",Investments_Clean!$F$2:$F$150,"Accepted")+COUNTIFS(Investments_Clean!$A$2:$A$150,A81,Investments_Clean!$D$2:$D$150,"DFI/Impact",Investments_Clean!$F$2:$F$150,"Accepted"))&gt;0,1,0))</f>
        <v>0</v>
      </c>
      <c r="BV81" s="0" t="n">
        <v>22500</v>
      </c>
      <c r="BW81" s="0" t="n">
        <v>32.5</v>
      </c>
      <c r="BX81" s="0" t="n">
        <v>24.6</v>
      </c>
      <c r="CA81" s="0" t="n">
        <v>3</v>
      </c>
      <c r="CB81" s="0" t="n">
        <v>65.4</v>
      </c>
      <c r="CC81" s="0" t="str">
        <f aca="false">IF(I81="","",IFERROR(IF(INDEX(Macro_Lookup!$B$2:$B$31,MATCH(I81,Macro_Lookup!$A$2:$A$31,0))="","",INDEX(Macro_Lookup!$B$2:$B$31,MATCH(I81,Macro_Lookup!$A$2:$A$31,0))),""))</f>
        <v/>
      </c>
      <c r="CD81" s="0" t="str">
        <f aca="false">IF(I81="","",IFERROR(IF(INDEX(Macro_Lookup!$C$2:$C$31,MATCH(I81,Macro_Lookup!$A$2:$A$31,0))="","",INDEX(Macro_Lookup!$C$2:$C$31,MATCH(I81,Macro_Lookup!$A$2:$A$31,0))),""))</f>
        <v/>
      </c>
      <c r="CE81" s="0" t="str">
        <f aca="false">IF(BJ81="","",IFERROR(IF(INDEX(Macro_Lookup!$B$2:$B$31,MATCH(BJ81,Macro_Lookup!$A$2:$A$31,0))="","",INDEX(Macro_Lookup!$B$2:$B$31,MATCH(BJ81,Macro_Lookup!$A$2:$A$31,0))),""))</f>
        <v/>
      </c>
      <c r="CF81" s="0" t="str">
        <f aca="false">IF(BJ81="","",IFERROR(IF(INDEX(Macro_Lookup!$C$2:$C$31,MATCH(BJ81,Macro_Lookup!$A$2:$A$31,0))="","",INDEX(Macro_Lookup!$C$2:$C$31,MATCH(BJ81,Macro_Lookup!$A$2:$A$31,0))),""))</f>
        <v/>
      </c>
      <c r="CG81" s="0" t="n">
        <v>1</v>
      </c>
      <c r="CH81" s="3" t="s">
        <v>104</v>
      </c>
      <c r="CI81" s="3" t="s">
        <v>105</v>
      </c>
    </row>
    <row r="82" customFormat="false" ht="14.25" hidden="false" customHeight="false" outlineLevel="0" collapsed="false">
      <c r="A82" s="0" t="s">
        <v>465</v>
      </c>
      <c r="B82" s="0" t="s">
        <v>466</v>
      </c>
      <c r="C82" s="0" t="s">
        <v>89</v>
      </c>
      <c r="D82" s="0" t="s">
        <v>90</v>
      </c>
      <c r="E82" s="0" t="n">
        <v>0</v>
      </c>
      <c r="F82" s="0" t="s">
        <v>91</v>
      </c>
      <c r="I82" s="0" t="n">
        <v>2015</v>
      </c>
      <c r="K82" s="0" t="s">
        <v>92</v>
      </c>
      <c r="L82" s="2" t="n">
        <v>46295</v>
      </c>
      <c r="M82" s="3" t="n">
        <f aca="false">IF(I82="","",(YEAR(L82)-I82)*12+MONTH(L82)-IF(J82="",1,J82))</f>
        <v>140</v>
      </c>
      <c r="N82" s="3" t="n">
        <f aca="false">IF(M82="","",ROUND(M82/12,2))</f>
        <v>11.67</v>
      </c>
      <c r="O82" s="3" t="s">
        <v>467</v>
      </c>
      <c r="P82" s="3" t="s">
        <v>446</v>
      </c>
      <c r="Q82" s="3" t="s">
        <v>468</v>
      </c>
      <c r="R82" s="0" t="n">
        <v>1</v>
      </c>
      <c r="S82" s="0" t="n">
        <v>0</v>
      </c>
      <c r="T82" s="0" t="n">
        <v>0</v>
      </c>
      <c r="U82" s="0" t="n">
        <v>1</v>
      </c>
      <c r="V82" s="0" t="n">
        <v>1</v>
      </c>
      <c r="W82" s="0" t="n">
        <v>0</v>
      </c>
      <c r="X82" s="3" t="s">
        <v>469</v>
      </c>
      <c r="Y82" s="0" t="n">
        <v>3</v>
      </c>
      <c r="Z82" s="0" t="n">
        <v>1</v>
      </c>
      <c r="AA82" s="0" t="n">
        <v>1</v>
      </c>
      <c r="AB82" s="3" t="s">
        <v>470</v>
      </c>
      <c r="AF82" s="3" t="n">
        <f aca="false">IF(SUMIF(Founders_Clean!$A$2:$A$159,A82,Founders_Clean!$C$2:$C$159)=0,"",SUMIF(Founders_Clean!$A$2:$A$159,A82,Founders_Clean!$C$2:$C$159))</f>
        <v>2</v>
      </c>
      <c r="AG82" s="3" t="n">
        <f aca="false">IF(AF82="","",SUMIF(Founders_Clean!$A$2:$A$159,A82,Founders_Clean!$D$2:$D$159))</f>
        <v>2</v>
      </c>
      <c r="AH82" s="3" t="n">
        <f aca="false">IF(AF82="","",SUMIF(Founders_Clean!$A$2:$A$159,A82,Founders_Clean!$E$2:$E$159))</f>
        <v>0</v>
      </c>
      <c r="AI82" s="3" t="n">
        <f aca="false">IF(AF82="","",IF((AG82+AH82)=0,"",AH82/(AG82+AH82)))</f>
        <v>0</v>
      </c>
      <c r="AJ82" s="3" t="n">
        <f aca="false">IF(AI82="","",IF(AH82&gt;0,1,0))</f>
        <v>0</v>
      </c>
      <c r="AK82" s="3" t="n">
        <f aca="false">IF(AI82="","",ROUND(1-(AI82^2+(1-AI82)^2),3))</f>
        <v>0</v>
      </c>
      <c r="AM82" s="0" t="n">
        <v>2</v>
      </c>
      <c r="AN82" s="3" t="s">
        <v>98</v>
      </c>
      <c r="AO82" s="0" t="n">
        <v>1</v>
      </c>
      <c r="AP82" s="0" t="n">
        <v>1</v>
      </c>
      <c r="AR82" s="0" t="n">
        <v>11</v>
      </c>
      <c r="AS82" s="0" t="n">
        <v>11</v>
      </c>
      <c r="AT82" s="0" t="n">
        <v>30.5</v>
      </c>
      <c r="AU82" s="3" t="s">
        <v>161</v>
      </c>
      <c r="AV82" s="3" t="s">
        <v>122</v>
      </c>
      <c r="AX82" s="3" t="s">
        <v>101</v>
      </c>
      <c r="AY82" s="3" t="s">
        <v>102</v>
      </c>
      <c r="BA82" s="0" t="n">
        <v>0</v>
      </c>
      <c r="BB82" s="0" t="n">
        <v>0</v>
      </c>
      <c r="BC82" s="0" t="n">
        <v>0</v>
      </c>
      <c r="BF82" s="3" t="n">
        <f aca="false">IF(OR(I82="",BC82=""),"",IF(BC82=1,(BD82-I82)*12+IF(BE82="",7,BE82)-IF(J82="",1,J82),M82))</f>
        <v>140</v>
      </c>
      <c r="BG82" s="0" t="n">
        <v>1</v>
      </c>
      <c r="BI82" s="3" t="s">
        <v>109</v>
      </c>
      <c r="BK82" s="0" t="n">
        <v>1</v>
      </c>
      <c r="BL82" s="3" t="n">
        <f aca="false">COUNTIFS(Investments_Clean!$A$2:$A$150,A82,Investments_Clean!$F$2:$F$150,"Accepted")</f>
        <v>0</v>
      </c>
      <c r="BM82" s="0" t="str">
        <f aca="false">IF(BL82=0,"",IF((COUNTIFS(Investments_Clean!$A$2:$A$150,A82,Investments_Clean!$D$2:$D$150,"VC/PE",Investments_Clean!$F$2:$F$150,"Accepted"))&gt;0,1,0))</f>
        <v/>
      </c>
      <c r="BN82" s="0" t="str">
        <f aca="false">IF(BL82=0,"",IF((COUNTIFS(Investments_Clean!$A$2:$A$150,A82,Investments_Clean!$D$2:$D$150,"Angel",Investments_Clean!$F$2:$F$150,"Accepted"))&gt;0,1,0))</f>
        <v/>
      </c>
      <c r="BO82" s="0" t="str">
        <f aca="false">IF(BL82=0,"",IF((COUNTIFS(Investments_Clean!$A$2:$A$150,A82,Investments_Clean!$D$2:$D$150,"Accelerator",Investments_Clean!$F$2:$F$150,"Accepted"))&gt;0,1,0))</f>
        <v/>
      </c>
      <c r="BP82" s="0" t="str">
        <f aca="false">IF(BL82=0,"",IF((COUNTIFS(Investments_Clean!$A$2:$A$150,A82,Investments_Clean!$D$2:$D$150,"Corporate",Investments_Clean!$F$2:$F$150,"Accepted"))&gt;0,1,0))</f>
        <v/>
      </c>
      <c r="BQ82" s="0" t="str">
        <f aca="false">IF(BL82=0,"",IF((COUNTIFS(Investments_Clean!$A$2:$A$150,A82,Investments_Clean!$D$2:$D$150,"Government",Investments_Clean!$F$2:$F$150,"Accepted"))&gt;0,1,0))</f>
        <v/>
      </c>
      <c r="BR82" s="0" t="str">
        <f aca="false">IF(BL82=0,"",IF((COUNTIFS(Investments_Clean!$A$2:$A$150,A82,Investments_Clean!$D$2:$D$150,"Grant/Philanthropic",Investments_Clean!$F$2:$F$150,"Accepted")+COUNTIFS(Investments_Clean!$A$2:$A$150,A82,Investments_Clean!$D$2:$D$150,"DFI/Impact",Investments_Clean!$F$2:$F$150,"Accepted"))&gt;0,1,0))</f>
        <v/>
      </c>
      <c r="BT82" s="0" t="n">
        <v>25</v>
      </c>
      <c r="BU82" s="0" t="n">
        <v>8</v>
      </c>
      <c r="BV82" s="0" t="n">
        <v>2500</v>
      </c>
      <c r="BW82" s="0" t="n">
        <v>22.5</v>
      </c>
      <c r="BX82" s="0" t="n">
        <v>5</v>
      </c>
      <c r="CA82" s="0" t="n">
        <v>3</v>
      </c>
      <c r="CB82" s="0" t="n">
        <v>25.4</v>
      </c>
      <c r="CC82" s="0" t="str">
        <f aca="false">IF(I82="","",IFERROR(IF(INDEX(Macro_Lookup!$B$2:$B$31,MATCH(I82,Macro_Lookup!$A$2:$A$31,0))="","",INDEX(Macro_Lookup!$B$2:$B$31,MATCH(I82,Macro_Lookup!$A$2:$A$31,0))),""))</f>
        <v/>
      </c>
      <c r="CD82" s="0" t="str">
        <f aca="false">IF(I82="","",IFERROR(IF(INDEX(Macro_Lookup!$C$2:$C$31,MATCH(I82,Macro_Lookup!$A$2:$A$31,0))="","",INDEX(Macro_Lookup!$C$2:$C$31,MATCH(I82,Macro_Lookup!$A$2:$A$31,0))),""))</f>
        <v/>
      </c>
      <c r="CE82" s="0" t="str">
        <f aca="false">IF(BJ82="","",IFERROR(IF(INDEX(Macro_Lookup!$B$2:$B$31,MATCH(BJ82,Macro_Lookup!$A$2:$A$31,0))="","",INDEX(Macro_Lookup!$B$2:$B$31,MATCH(BJ82,Macro_Lookup!$A$2:$A$31,0))),""))</f>
        <v/>
      </c>
      <c r="CF82" s="0" t="str">
        <f aca="false">IF(BJ82="","",IFERROR(IF(INDEX(Macro_Lookup!$C$2:$C$31,MATCH(BJ82,Macro_Lookup!$A$2:$A$31,0))="","",INDEX(Macro_Lookup!$C$2:$C$31,MATCH(BJ82,Macro_Lookup!$A$2:$A$31,0))),""))</f>
        <v/>
      </c>
      <c r="CG82" s="0" t="n">
        <v>2</v>
      </c>
      <c r="CH82" s="3" t="s">
        <v>104</v>
      </c>
      <c r="CI82" s="3" t="s">
        <v>105</v>
      </c>
    </row>
    <row r="83" customFormat="false" ht="14.25" hidden="false" customHeight="false" outlineLevel="0" collapsed="false">
      <c r="A83" s="0" t="s">
        <v>471</v>
      </c>
      <c r="B83" s="0" t="s">
        <v>472</v>
      </c>
      <c r="C83" s="0" t="s">
        <v>461</v>
      </c>
      <c r="D83" s="0" t="s">
        <v>461</v>
      </c>
      <c r="E83" s="0" t="n">
        <v>1</v>
      </c>
      <c r="F83" s="0" t="s">
        <v>91</v>
      </c>
      <c r="I83" s="0" t="n">
        <v>2021</v>
      </c>
      <c r="K83" s="0" t="s">
        <v>92</v>
      </c>
      <c r="L83" s="2" t="n">
        <v>46295</v>
      </c>
      <c r="M83" s="3" t="n">
        <f aca="false">IF(I83="","",(YEAR(L83)-I83)*12+MONTH(L83)-IF(J83="",1,J83))</f>
        <v>68</v>
      </c>
      <c r="N83" s="3" t="n">
        <f aca="false">IF(M83="","",ROUND(M83/12,2))</f>
        <v>5.67</v>
      </c>
      <c r="O83" s="3" t="s">
        <v>473</v>
      </c>
      <c r="P83" s="3" t="s">
        <v>409</v>
      </c>
      <c r="Q83" s="3" t="s">
        <v>474</v>
      </c>
      <c r="R83" s="0" t="n">
        <v>1</v>
      </c>
      <c r="S83" s="0" t="n">
        <v>0</v>
      </c>
      <c r="T83" s="0" t="n">
        <v>1</v>
      </c>
      <c r="U83" s="0" t="n">
        <v>1</v>
      </c>
      <c r="V83" s="0" t="n">
        <v>0</v>
      </c>
      <c r="W83" s="0" t="n">
        <v>0</v>
      </c>
      <c r="X83" s="3" t="s">
        <v>469</v>
      </c>
      <c r="Y83" s="0" t="n">
        <v>3</v>
      </c>
      <c r="Z83" s="0" t="n">
        <v>1</v>
      </c>
      <c r="AA83" s="0" t="n">
        <v>1</v>
      </c>
      <c r="AB83" s="3" t="s">
        <v>475</v>
      </c>
      <c r="AF83" s="3" t="n">
        <f aca="false">IF(SUMIF(Founders_Clean!$A$2:$A$159,A83,Founders_Clean!$C$2:$C$159)=0,"",SUMIF(Founders_Clean!$A$2:$A$159,A83,Founders_Clean!$C$2:$C$159))</f>
        <v>2</v>
      </c>
      <c r="AG83" s="3" t="n">
        <f aca="false">IF(AF83="","",SUMIF(Founders_Clean!$A$2:$A$159,A83,Founders_Clean!$D$2:$D$159))</f>
        <v>2</v>
      </c>
      <c r="AH83" s="3" t="n">
        <f aca="false">IF(AF83="","",SUMIF(Founders_Clean!$A$2:$A$159,A83,Founders_Clean!$E$2:$E$159))</f>
        <v>0</v>
      </c>
      <c r="AI83" s="3" t="n">
        <f aca="false">IF(AF83="","",IF((AG83+AH83)=0,"",AH83/(AG83+AH83)))</f>
        <v>0</v>
      </c>
      <c r="AJ83" s="3" t="n">
        <f aca="false">IF(AI83="","",IF(AH83&gt;0,1,0))</f>
        <v>0</v>
      </c>
      <c r="AK83" s="3" t="n">
        <f aca="false">IF(AI83="","",ROUND(1-(AI83^2+(1-AI83)^2),3))</f>
        <v>0</v>
      </c>
      <c r="AM83" s="0" t="n">
        <v>2</v>
      </c>
      <c r="AN83" s="3" t="s">
        <v>98</v>
      </c>
      <c r="AR83" s="0" t="n">
        <v>23</v>
      </c>
      <c r="AS83" s="0" t="n">
        <v>23</v>
      </c>
      <c r="AT83" s="0" t="n">
        <v>30.5</v>
      </c>
      <c r="AU83" s="3" t="s">
        <v>161</v>
      </c>
      <c r="AV83" s="3" t="s">
        <v>122</v>
      </c>
      <c r="AX83" s="3" t="s">
        <v>101</v>
      </c>
      <c r="AY83" s="3" t="s">
        <v>102</v>
      </c>
      <c r="BA83" s="0" t="n">
        <v>0</v>
      </c>
      <c r="BB83" s="0" t="n">
        <v>0</v>
      </c>
      <c r="BC83" s="0" t="n">
        <v>0</v>
      </c>
      <c r="BF83" s="3" t="n">
        <f aca="false">IF(OR(I83="",BC83=""),"",IF(BC83=1,(BD83-I83)*12+IF(BE83="",7,BE83)-IF(J83="",1,J83),M83))</f>
        <v>68</v>
      </c>
      <c r="BG83" s="0" t="n">
        <v>1</v>
      </c>
      <c r="BH83" s="0" t="n">
        <v>500000</v>
      </c>
      <c r="BI83" s="3" t="s">
        <v>103</v>
      </c>
      <c r="BK83" s="0" t="n">
        <v>1</v>
      </c>
      <c r="BL83" s="3" t="n">
        <f aca="false">COUNTIFS(Investments_Clean!$A$2:$A$150,A83,Investments_Clean!$F$2:$F$150,"Accepted")</f>
        <v>1</v>
      </c>
      <c r="BM83" s="3" t="n">
        <f aca="false">IF(BL83=0,"",IF((COUNTIFS(Investments_Clean!$A$2:$A$150,A83,Investments_Clean!$D$2:$D$150,"VC/PE",Investments_Clean!$F$2:$F$150,"Accepted"))&gt;0,1,0))</f>
        <v>0</v>
      </c>
      <c r="BN83" s="3" t="n">
        <f aca="false">IF(BL83=0,"",IF((COUNTIFS(Investments_Clean!$A$2:$A$150,A83,Investments_Clean!$D$2:$D$150,"Angel",Investments_Clean!$F$2:$F$150,"Accepted"))&gt;0,1,0))</f>
        <v>0</v>
      </c>
      <c r="BO83" s="3" t="n">
        <f aca="false">IF(BL83=0,"",IF((COUNTIFS(Investments_Clean!$A$2:$A$150,A83,Investments_Clean!$D$2:$D$150,"Accelerator",Investments_Clean!$F$2:$F$150,"Accepted"))&gt;0,1,0))</f>
        <v>0</v>
      </c>
      <c r="BP83" s="3" t="n">
        <f aca="false">IF(BL83=0,"",IF((COUNTIFS(Investments_Clean!$A$2:$A$150,A83,Investments_Clean!$D$2:$D$150,"Corporate",Investments_Clean!$F$2:$F$150,"Accepted"))&gt;0,1,0))</f>
        <v>1</v>
      </c>
      <c r="BQ83" s="3" t="n">
        <f aca="false">IF(BL83=0,"",IF((COUNTIFS(Investments_Clean!$A$2:$A$150,A83,Investments_Clean!$D$2:$D$150,"Government",Investments_Clean!$F$2:$F$150,"Accepted"))&gt;0,1,0))</f>
        <v>0</v>
      </c>
      <c r="BR83" s="3" t="n">
        <f aca="false">IF(BL83=0,"",IF((COUNTIFS(Investments_Clean!$A$2:$A$150,A83,Investments_Clean!$D$2:$D$150,"Grant/Philanthropic",Investments_Clean!$F$2:$F$150,"Accepted")+COUNTIFS(Investments_Clean!$A$2:$A$150,A83,Investments_Clean!$D$2:$D$150,"DFI/Impact",Investments_Clean!$F$2:$F$150,"Accepted"))&gt;0,1,0))</f>
        <v>0</v>
      </c>
      <c r="BS83" s="0" t="n">
        <v>4</v>
      </c>
      <c r="BT83" s="0" t="n">
        <v>40</v>
      </c>
      <c r="BU83" s="0" t="n">
        <v>15</v>
      </c>
      <c r="BV83" s="0" t="n">
        <v>10000</v>
      </c>
      <c r="BW83" s="0" t="n">
        <v>42.5</v>
      </c>
      <c r="BX83" s="0" t="n">
        <v>12</v>
      </c>
      <c r="BZ83" s="0" t="n">
        <v>4.2</v>
      </c>
      <c r="CA83" s="0" t="n">
        <v>3</v>
      </c>
      <c r="CB83" s="0" t="n">
        <v>54.6</v>
      </c>
      <c r="CC83" s="0" t="str">
        <f aca="false">IF(I83="","",IFERROR(IF(INDEX(Macro_Lookup!$B$2:$B$31,MATCH(I83,Macro_Lookup!$A$2:$A$31,0))="","",INDEX(Macro_Lookup!$B$2:$B$31,MATCH(I83,Macro_Lookup!$A$2:$A$31,0))),""))</f>
        <v/>
      </c>
      <c r="CD83" s="0" t="str">
        <f aca="false">IF(I83="","",IFERROR(IF(INDEX(Macro_Lookup!$C$2:$C$31,MATCH(I83,Macro_Lookup!$A$2:$A$31,0))="","",INDEX(Macro_Lookup!$C$2:$C$31,MATCH(I83,Macro_Lookup!$A$2:$A$31,0))),""))</f>
        <v/>
      </c>
      <c r="CE83" s="0" t="str">
        <f aca="false">IF(BJ83="","",IFERROR(IF(INDEX(Macro_Lookup!$B$2:$B$31,MATCH(BJ83,Macro_Lookup!$A$2:$A$31,0))="","",INDEX(Macro_Lookup!$B$2:$B$31,MATCH(BJ83,Macro_Lookup!$A$2:$A$31,0))),""))</f>
        <v/>
      </c>
      <c r="CF83" s="0" t="str">
        <f aca="false">IF(BJ83="","",IFERROR(IF(INDEX(Macro_Lookup!$C$2:$C$31,MATCH(BJ83,Macro_Lookup!$A$2:$A$31,0))="","",INDEX(Macro_Lookup!$C$2:$C$31,MATCH(BJ83,Macro_Lookup!$A$2:$A$31,0))),""))</f>
        <v/>
      </c>
      <c r="CG83" s="0" t="n">
        <v>3</v>
      </c>
      <c r="CH83" s="3" t="s">
        <v>104</v>
      </c>
      <c r="CI83" s="3" t="s">
        <v>105</v>
      </c>
    </row>
    <row r="84" customFormat="false" ht="14.25" hidden="false" customHeight="false" outlineLevel="0" collapsed="false">
      <c r="A84" s="0" t="s">
        <v>476</v>
      </c>
      <c r="B84" s="0" t="s">
        <v>477</v>
      </c>
      <c r="C84" s="0" t="s">
        <v>89</v>
      </c>
      <c r="D84" s="0" t="s">
        <v>90</v>
      </c>
      <c r="E84" s="0" t="n">
        <v>0</v>
      </c>
      <c r="F84" s="0" t="s">
        <v>91</v>
      </c>
      <c r="I84" s="0" t="n">
        <v>2015</v>
      </c>
      <c r="K84" s="0" t="s">
        <v>92</v>
      </c>
      <c r="L84" s="2" t="n">
        <v>46295</v>
      </c>
      <c r="M84" s="3" t="n">
        <f aca="false">IF(I84="","",(YEAR(L84)-I84)*12+MONTH(L84)-IF(J84="",1,J84))</f>
        <v>140</v>
      </c>
      <c r="N84" s="3" t="n">
        <f aca="false">IF(M84="","",ROUND(M84/12,2))</f>
        <v>11.67</v>
      </c>
      <c r="O84" s="3" t="s">
        <v>478</v>
      </c>
      <c r="P84" s="3" t="s">
        <v>446</v>
      </c>
      <c r="Q84" s="3" t="s">
        <v>479</v>
      </c>
      <c r="R84" s="0" t="n">
        <v>0</v>
      </c>
      <c r="S84" s="0" t="n">
        <v>0</v>
      </c>
      <c r="T84" s="0" t="n">
        <v>0</v>
      </c>
      <c r="U84" s="0" t="n">
        <v>0</v>
      </c>
      <c r="V84" s="0" t="n">
        <v>0</v>
      </c>
      <c r="W84" s="0" t="n">
        <v>0</v>
      </c>
      <c r="X84" s="3" t="s">
        <v>469</v>
      </c>
      <c r="Y84" s="0" t="n">
        <v>3</v>
      </c>
      <c r="Z84" s="0" t="n">
        <v>1</v>
      </c>
      <c r="AA84" s="0" t="n">
        <v>0</v>
      </c>
      <c r="AB84" s="3" t="s">
        <v>480</v>
      </c>
      <c r="AF84" s="3" t="n">
        <f aca="false">IF(SUMIF(Founders_Clean!$A$2:$A$159,A84,Founders_Clean!$C$2:$C$159)=0,"",SUMIF(Founders_Clean!$A$2:$A$159,A84,Founders_Clean!$C$2:$C$159))</f>
        <v>1</v>
      </c>
      <c r="AG84" s="3" t="n">
        <f aca="false">IF(AF84="","",SUMIF(Founders_Clean!$A$2:$A$159,A84,Founders_Clean!$D$2:$D$159))</f>
        <v>1</v>
      </c>
      <c r="AH84" s="3" t="n">
        <f aca="false">IF(AF84="","",SUMIF(Founders_Clean!$A$2:$A$159,A84,Founders_Clean!$E$2:$E$159))</f>
        <v>0</v>
      </c>
      <c r="AI84" s="3" t="n">
        <f aca="false">IF(AF84="","",IF((AG84+AH84)=0,"",AH84/(AG84+AH84)))</f>
        <v>0</v>
      </c>
      <c r="AJ84" s="3" t="n">
        <f aca="false">IF(AI84="","",IF(AH84&gt;0,1,0))</f>
        <v>0</v>
      </c>
      <c r="AK84" s="3" t="n">
        <f aca="false">IF(AI84="","",ROUND(1-(AI84^2+(1-AI84)^2),3))</f>
        <v>0</v>
      </c>
      <c r="AM84" s="0" t="n">
        <v>1</v>
      </c>
      <c r="AN84" s="3" t="s">
        <v>147</v>
      </c>
      <c r="AQ84" s="0" t="n">
        <v>1</v>
      </c>
      <c r="AR84" s="0" t="n">
        <v>11</v>
      </c>
      <c r="AS84" s="0" t="n">
        <v>11</v>
      </c>
      <c r="AT84" s="0" t="n">
        <v>350.5</v>
      </c>
      <c r="AU84" s="3" t="s">
        <v>121</v>
      </c>
      <c r="AV84" s="3" t="s">
        <v>122</v>
      </c>
      <c r="AX84" s="3" t="s">
        <v>101</v>
      </c>
      <c r="AY84" s="3" t="s">
        <v>102</v>
      </c>
      <c r="BA84" s="0" t="n">
        <v>0</v>
      </c>
      <c r="BB84" s="0" t="n">
        <v>0</v>
      </c>
      <c r="BC84" s="0" t="n">
        <v>0</v>
      </c>
      <c r="BF84" s="3" t="n">
        <f aca="false">IF(OR(I84="",BC84=""),"",IF(BC84=1,(BD84-I84)*12+IF(BE84="",7,BE84)-IF(J84="",1,J84),M84))</f>
        <v>140</v>
      </c>
      <c r="BG84" s="0" t="n">
        <v>1</v>
      </c>
      <c r="BH84" s="0" t="n">
        <v>0</v>
      </c>
      <c r="BI84" s="3" t="s">
        <v>116</v>
      </c>
      <c r="BK84" s="0" t="n">
        <v>0</v>
      </c>
      <c r="BL84" s="3" t="n">
        <f aca="false">COUNTIFS(Investments_Clean!$A$2:$A$150,A84,Investments_Clean!$F$2:$F$150,"Accepted")</f>
        <v>0</v>
      </c>
      <c r="BM84" s="0" t="str">
        <f aca="false">IF(BL84=0,"",IF((COUNTIFS(Investments_Clean!$A$2:$A$150,A84,Investments_Clean!$D$2:$D$150,"VC/PE",Investments_Clean!$F$2:$F$150,"Accepted"))&gt;0,1,0))</f>
        <v/>
      </c>
      <c r="BN84" s="0" t="str">
        <f aca="false">IF(BL84=0,"",IF((COUNTIFS(Investments_Clean!$A$2:$A$150,A84,Investments_Clean!$D$2:$D$150,"Angel",Investments_Clean!$F$2:$F$150,"Accepted"))&gt;0,1,0))</f>
        <v/>
      </c>
      <c r="BO84" s="0" t="str">
        <f aca="false">IF(BL84=0,"",IF((COUNTIFS(Investments_Clean!$A$2:$A$150,A84,Investments_Clean!$D$2:$D$150,"Accelerator",Investments_Clean!$F$2:$F$150,"Accepted"))&gt;0,1,0))</f>
        <v/>
      </c>
      <c r="BP84" s="0" t="str">
        <f aca="false">IF(BL84=0,"",IF((COUNTIFS(Investments_Clean!$A$2:$A$150,A84,Investments_Clean!$D$2:$D$150,"Corporate",Investments_Clean!$F$2:$F$150,"Accepted"))&gt;0,1,0))</f>
        <v/>
      </c>
      <c r="BQ84" s="0" t="str">
        <f aca="false">IF(BL84=0,"",IF((COUNTIFS(Investments_Clean!$A$2:$A$150,A84,Investments_Clean!$D$2:$D$150,"Government",Investments_Clean!$F$2:$F$150,"Accepted"))&gt;0,1,0))</f>
        <v/>
      </c>
      <c r="BR84" s="0" t="str">
        <f aca="false">IF(BL84=0,"",IF((COUNTIFS(Investments_Clean!$A$2:$A$150,A84,Investments_Clean!$D$2:$D$150,"Grant/Philanthropic",Investments_Clean!$F$2:$F$150,"Accepted")+COUNTIFS(Investments_Clean!$A$2:$A$150,A84,Investments_Clean!$D$2:$D$150,"DFI/Impact",Investments_Clean!$F$2:$F$150,"Accepted"))&gt;0,1,0))</f>
        <v/>
      </c>
      <c r="BS84" s="0" t="n">
        <v>4</v>
      </c>
      <c r="BT84" s="0" t="n">
        <v>12.8</v>
      </c>
      <c r="BU84" s="0" t="n">
        <v>20</v>
      </c>
      <c r="BV84" s="0" t="n">
        <v>17500</v>
      </c>
      <c r="BW84" s="0" t="n">
        <v>27.5</v>
      </c>
      <c r="BX84" s="0" t="n">
        <v>25</v>
      </c>
      <c r="CA84" s="0" t="n">
        <v>3</v>
      </c>
      <c r="CB84" s="0" t="n">
        <v>60</v>
      </c>
      <c r="CC84" s="0" t="str">
        <f aca="false">IF(I84="","",IFERROR(IF(INDEX(Macro_Lookup!$B$2:$B$31,MATCH(I84,Macro_Lookup!$A$2:$A$31,0))="","",INDEX(Macro_Lookup!$B$2:$B$31,MATCH(I84,Macro_Lookup!$A$2:$A$31,0))),""))</f>
        <v/>
      </c>
      <c r="CD84" s="0" t="str">
        <f aca="false">IF(I84="","",IFERROR(IF(INDEX(Macro_Lookup!$C$2:$C$31,MATCH(I84,Macro_Lookup!$A$2:$A$31,0))="","",INDEX(Macro_Lookup!$C$2:$C$31,MATCH(I84,Macro_Lookup!$A$2:$A$31,0))),""))</f>
        <v/>
      </c>
      <c r="CE84" s="0" t="str">
        <f aca="false">IF(BJ84="","",IFERROR(IF(INDEX(Macro_Lookup!$B$2:$B$31,MATCH(BJ84,Macro_Lookup!$A$2:$A$31,0))="","",INDEX(Macro_Lookup!$B$2:$B$31,MATCH(BJ84,Macro_Lookup!$A$2:$A$31,0))),""))</f>
        <v/>
      </c>
      <c r="CF84" s="0" t="str">
        <f aca="false">IF(BJ84="","",IFERROR(IF(INDEX(Macro_Lookup!$C$2:$C$31,MATCH(BJ84,Macro_Lookup!$A$2:$A$31,0))="","",INDEX(Macro_Lookup!$C$2:$C$31,MATCH(BJ84,Macro_Lookup!$A$2:$A$31,0))),""))</f>
        <v/>
      </c>
      <c r="CG84" s="0" t="n">
        <v>2</v>
      </c>
      <c r="CH84" s="3" t="s">
        <v>104</v>
      </c>
      <c r="CI84" s="3" t="s">
        <v>105</v>
      </c>
    </row>
    <row r="85" customFormat="false" ht="14.25" hidden="false" customHeight="false" outlineLevel="0" collapsed="false">
      <c r="A85" s="0" t="s">
        <v>481</v>
      </c>
      <c r="B85" s="0" t="s">
        <v>482</v>
      </c>
      <c r="C85" s="0" t="s">
        <v>89</v>
      </c>
      <c r="D85" s="0" t="s">
        <v>90</v>
      </c>
      <c r="E85" s="0" t="n">
        <v>0</v>
      </c>
      <c r="F85" s="0" t="s">
        <v>483</v>
      </c>
      <c r="I85" s="0" t="n">
        <v>2018</v>
      </c>
      <c r="K85" s="0" t="s">
        <v>92</v>
      </c>
      <c r="L85" s="2" t="n">
        <v>46295</v>
      </c>
      <c r="M85" s="3" t="n">
        <f aca="false">IF(I85="","",(YEAR(L85)-I85)*12+MONTH(L85)-IF(J85="",1,J85))</f>
        <v>104</v>
      </c>
      <c r="N85" s="3" t="n">
        <f aca="false">IF(M85="","",ROUND(M85/12,2))</f>
        <v>8.67</v>
      </c>
      <c r="O85" s="3" t="s">
        <v>484</v>
      </c>
      <c r="P85" s="3" t="s">
        <v>259</v>
      </c>
      <c r="Q85" s="3" t="s">
        <v>485</v>
      </c>
      <c r="R85" s="0" t="n">
        <v>0</v>
      </c>
      <c r="S85" s="0" t="n">
        <v>0</v>
      </c>
      <c r="T85" s="0" t="n">
        <v>0</v>
      </c>
      <c r="U85" s="0" t="n">
        <v>0</v>
      </c>
      <c r="V85" s="0" t="n">
        <v>0</v>
      </c>
      <c r="W85" s="0" t="n">
        <v>1</v>
      </c>
      <c r="X85" s="3" t="s">
        <v>469</v>
      </c>
      <c r="Y85" s="0" t="n">
        <v>3</v>
      </c>
      <c r="Z85" s="0" t="n">
        <v>1</v>
      </c>
      <c r="AA85" s="0" t="n">
        <v>0</v>
      </c>
      <c r="AB85" s="3" t="s">
        <v>486</v>
      </c>
      <c r="AF85" s="3" t="n">
        <f aca="false">IF(SUMIF(Founders_Clean!$A$2:$A$159,A85,Founders_Clean!$C$2:$C$159)=0,"",SUMIF(Founders_Clean!$A$2:$A$159,A85,Founders_Clean!$C$2:$C$159))</f>
        <v>2</v>
      </c>
      <c r="AG85" s="3" t="n">
        <f aca="false">IF(AF85="","",SUMIF(Founders_Clean!$A$2:$A$159,A85,Founders_Clean!$D$2:$D$159))</f>
        <v>0</v>
      </c>
      <c r="AH85" s="3" t="n">
        <f aca="false">IF(AF85="","",SUMIF(Founders_Clean!$A$2:$A$159,A85,Founders_Clean!$E$2:$E$159))</f>
        <v>2</v>
      </c>
      <c r="AI85" s="3" t="n">
        <f aca="false">IF(AF85="","",IF((AG85+AH85)=0,"",AH85/(AG85+AH85)))</f>
        <v>1</v>
      </c>
      <c r="AJ85" s="3" t="n">
        <f aca="false">IF(AI85="","",IF(AH85&gt;0,1,0))</f>
        <v>1</v>
      </c>
      <c r="AK85" s="3" t="n">
        <f aca="false">IF(AI85="","",ROUND(1-(AI85^2+(1-AI85)^2),3))</f>
        <v>0</v>
      </c>
      <c r="AM85" s="0" t="n">
        <v>2</v>
      </c>
      <c r="AN85" s="3" t="s">
        <v>98</v>
      </c>
      <c r="AO85" s="0" t="n">
        <v>1</v>
      </c>
      <c r="AP85" s="0" t="n">
        <v>1</v>
      </c>
      <c r="AR85" s="0" t="n">
        <v>8</v>
      </c>
      <c r="AS85" s="0" t="n">
        <v>8</v>
      </c>
      <c r="AT85" s="0" t="n">
        <v>30.5</v>
      </c>
      <c r="AU85" s="3" t="s">
        <v>161</v>
      </c>
      <c r="AV85" s="3" t="s">
        <v>122</v>
      </c>
      <c r="AX85" s="3" t="s">
        <v>101</v>
      </c>
      <c r="AY85" s="3" t="s">
        <v>102</v>
      </c>
      <c r="BA85" s="0" t="n">
        <v>0</v>
      </c>
      <c r="BB85" s="0" t="n">
        <v>0</v>
      </c>
      <c r="BC85" s="0" t="n">
        <v>0</v>
      </c>
      <c r="BF85" s="3" t="n">
        <f aca="false">IF(OR(I85="",BC85=""),"",IF(BC85=1,(BD85-I85)*12+IF(BE85="",7,BE85)-IF(J85="",1,J85),M85))</f>
        <v>104</v>
      </c>
      <c r="BG85" s="0" t="n">
        <v>1</v>
      </c>
      <c r="BI85" s="3" t="s">
        <v>109</v>
      </c>
      <c r="BK85" s="0" t="n">
        <v>1</v>
      </c>
      <c r="BL85" s="3" t="n">
        <f aca="false">COUNTIFS(Investments_Clean!$A$2:$A$150,A85,Investments_Clean!$F$2:$F$150,"Accepted")</f>
        <v>1</v>
      </c>
      <c r="BM85" s="3" t="n">
        <f aca="false">IF(BL85=0,"",IF((COUNTIFS(Investments_Clean!$A$2:$A$150,A85,Investments_Clean!$D$2:$D$150,"VC/PE",Investments_Clean!$F$2:$F$150,"Accepted"))&gt;0,1,0))</f>
        <v>0</v>
      </c>
      <c r="BN85" s="3" t="n">
        <f aca="false">IF(BL85=0,"",IF((COUNTIFS(Investments_Clean!$A$2:$A$150,A85,Investments_Clean!$D$2:$D$150,"Angel",Investments_Clean!$F$2:$F$150,"Accepted"))&gt;0,1,0))</f>
        <v>0</v>
      </c>
      <c r="BO85" s="3" t="n">
        <f aca="false">IF(BL85=0,"",IF((COUNTIFS(Investments_Clean!$A$2:$A$150,A85,Investments_Clean!$D$2:$D$150,"Accelerator",Investments_Clean!$F$2:$F$150,"Accepted"))&gt;0,1,0))</f>
        <v>1</v>
      </c>
      <c r="BP85" s="3" t="n">
        <f aca="false">IF(BL85=0,"",IF((COUNTIFS(Investments_Clean!$A$2:$A$150,A85,Investments_Clean!$D$2:$D$150,"Corporate",Investments_Clean!$F$2:$F$150,"Accepted"))&gt;0,1,0))</f>
        <v>0</v>
      </c>
      <c r="BQ85" s="3" t="n">
        <f aca="false">IF(BL85=0,"",IF((COUNTIFS(Investments_Clean!$A$2:$A$150,A85,Investments_Clean!$D$2:$D$150,"Government",Investments_Clean!$F$2:$F$150,"Accepted"))&gt;0,1,0))</f>
        <v>0</v>
      </c>
      <c r="BR85" s="3" t="n">
        <f aca="false">IF(BL85=0,"",IF((COUNTIFS(Investments_Clean!$A$2:$A$150,A85,Investments_Clean!$D$2:$D$150,"Grant/Philanthropic",Investments_Clean!$F$2:$F$150,"Accepted")+COUNTIFS(Investments_Clean!$A$2:$A$150,A85,Investments_Clean!$D$2:$D$150,"DFI/Impact",Investments_Clean!$F$2:$F$150,"Accepted"))&gt;0,1,0))</f>
        <v>0</v>
      </c>
      <c r="BT85" s="0" t="n">
        <v>20</v>
      </c>
      <c r="BU85" s="0" t="n">
        <v>5</v>
      </c>
      <c r="BV85" s="0" t="n">
        <v>2500</v>
      </c>
      <c r="BW85" s="0" t="n">
        <v>22.5</v>
      </c>
      <c r="BX85" s="0" t="n">
        <v>15</v>
      </c>
      <c r="CA85" s="0" t="n">
        <v>3</v>
      </c>
      <c r="CB85" s="0" t="n">
        <v>34.2</v>
      </c>
      <c r="CC85" s="0" t="str">
        <f aca="false">IF(I85="","",IFERROR(IF(INDEX(Macro_Lookup!$B$2:$B$31,MATCH(I85,Macro_Lookup!$A$2:$A$31,0))="","",INDEX(Macro_Lookup!$B$2:$B$31,MATCH(I85,Macro_Lookup!$A$2:$A$31,0))),""))</f>
        <v/>
      </c>
      <c r="CD85" s="0" t="str">
        <f aca="false">IF(I85="","",IFERROR(IF(INDEX(Macro_Lookup!$C$2:$C$31,MATCH(I85,Macro_Lookup!$A$2:$A$31,0))="","",INDEX(Macro_Lookup!$C$2:$C$31,MATCH(I85,Macro_Lookup!$A$2:$A$31,0))),""))</f>
        <v/>
      </c>
      <c r="CE85" s="0" t="str">
        <f aca="false">IF(BJ85="","",IFERROR(IF(INDEX(Macro_Lookup!$B$2:$B$31,MATCH(BJ85,Macro_Lookup!$A$2:$A$31,0))="","",INDEX(Macro_Lookup!$B$2:$B$31,MATCH(BJ85,Macro_Lookup!$A$2:$A$31,0))),""))</f>
        <v/>
      </c>
      <c r="CF85" s="0" t="str">
        <f aca="false">IF(BJ85="","",IFERROR(IF(INDEX(Macro_Lookup!$C$2:$C$31,MATCH(BJ85,Macro_Lookup!$A$2:$A$31,0))="","",INDEX(Macro_Lookup!$C$2:$C$31,MATCH(BJ85,Macro_Lookup!$A$2:$A$31,0))),""))</f>
        <v/>
      </c>
      <c r="CG85" s="0" t="n">
        <v>2</v>
      </c>
      <c r="CH85" s="3" t="s">
        <v>104</v>
      </c>
      <c r="CI85" s="3" t="s">
        <v>105</v>
      </c>
    </row>
    <row r="86" customFormat="false" ht="14.25" hidden="false" customHeight="false" outlineLevel="0" collapsed="false">
      <c r="A86" s="0" t="s">
        <v>487</v>
      </c>
      <c r="B86" s="0" t="s">
        <v>488</v>
      </c>
      <c r="C86" s="0" t="s">
        <v>89</v>
      </c>
      <c r="D86" s="0" t="s">
        <v>90</v>
      </c>
      <c r="E86" s="0" t="n">
        <v>0</v>
      </c>
      <c r="F86" s="0" t="s">
        <v>91</v>
      </c>
      <c r="G86" s="0" t="s">
        <v>465</v>
      </c>
      <c r="I86" s="0" t="n">
        <v>2017</v>
      </c>
      <c r="K86" s="0" t="s">
        <v>92</v>
      </c>
      <c r="L86" s="2" t="n">
        <v>46295</v>
      </c>
      <c r="M86" s="3" t="n">
        <f aca="false">IF(I86="","",(YEAR(L86)-I86)*12+MONTH(L86)-IF(J86="",1,J86))</f>
        <v>116</v>
      </c>
      <c r="N86" s="3" t="n">
        <f aca="false">IF(M86="","",ROUND(M86/12,2))</f>
        <v>9.67</v>
      </c>
      <c r="O86" s="3" t="s">
        <v>489</v>
      </c>
      <c r="P86" s="3" t="s">
        <v>446</v>
      </c>
      <c r="Q86" s="3" t="s">
        <v>468</v>
      </c>
      <c r="R86" s="0" t="n">
        <v>1</v>
      </c>
      <c r="S86" s="0" t="n">
        <v>0</v>
      </c>
      <c r="T86" s="0" t="n">
        <v>0</v>
      </c>
      <c r="U86" s="0" t="n">
        <v>1</v>
      </c>
      <c r="V86" s="0" t="n">
        <v>1</v>
      </c>
      <c r="W86" s="0" t="n">
        <v>0</v>
      </c>
      <c r="X86" s="3" t="s">
        <v>469</v>
      </c>
      <c r="Y86" s="0" t="n">
        <v>3</v>
      </c>
      <c r="Z86" s="0" t="n">
        <v>1</v>
      </c>
      <c r="AA86" s="0" t="n">
        <v>1</v>
      </c>
      <c r="AB86" s="3" t="s">
        <v>490</v>
      </c>
      <c r="AF86" s="3" t="n">
        <f aca="false">IF(SUMIF(Founders_Clean!$A$2:$A$159,A86,Founders_Clean!$C$2:$C$159)=0,"",SUMIF(Founders_Clean!$A$2:$A$159,A86,Founders_Clean!$C$2:$C$159))</f>
        <v>2</v>
      </c>
      <c r="AG86" s="3" t="n">
        <f aca="false">IF(AF86="","",SUMIF(Founders_Clean!$A$2:$A$159,A86,Founders_Clean!$D$2:$D$159))</f>
        <v>2</v>
      </c>
      <c r="AH86" s="3" t="n">
        <f aca="false">IF(AF86="","",SUMIF(Founders_Clean!$A$2:$A$159,A86,Founders_Clean!$E$2:$E$159))</f>
        <v>0</v>
      </c>
      <c r="AI86" s="3" t="n">
        <f aca="false">IF(AF86="","",IF((AG86+AH86)=0,"",AH86/(AG86+AH86)))</f>
        <v>0</v>
      </c>
      <c r="AJ86" s="3" t="n">
        <f aca="false">IF(AI86="","",IF(AH86&gt;0,1,0))</f>
        <v>0</v>
      </c>
      <c r="AK86" s="3" t="n">
        <f aca="false">IF(AI86="","",ROUND(1-(AI86^2+(1-AI86)^2),3))</f>
        <v>0</v>
      </c>
      <c r="AM86" s="0" t="n">
        <v>2</v>
      </c>
      <c r="AN86" s="3" t="s">
        <v>98</v>
      </c>
      <c r="AO86" s="0" t="n">
        <v>1</v>
      </c>
      <c r="AP86" s="0" t="n">
        <v>1</v>
      </c>
      <c r="AQ86" s="0" t="n">
        <v>1</v>
      </c>
      <c r="AR86" s="0" t="n">
        <v>11</v>
      </c>
      <c r="AS86" s="0" t="n">
        <v>11</v>
      </c>
      <c r="AT86" s="0" t="n">
        <v>30.5</v>
      </c>
      <c r="AU86" s="3" t="s">
        <v>161</v>
      </c>
      <c r="AV86" s="3" t="s">
        <v>122</v>
      </c>
      <c r="AX86" s="3" t="s">
        <v>101</v>
      </c>
      <c r="AY86" s="3" t="s">
        <v>102</v>
      </c>
      <c r="BA86" s="0" t="n">
        <v>0</v>
      </c>
      <c r="BB86" s="0" t="n">
        <v>0</v>
      </c>
      <c r="BC86" s="0" t="n">
        <v>0</v>
      </c>
      <c r="BF86" s="3" t="n">
        <f aca="false">IF(OR(I86="",BC86=""),"",IF(BC86=1,(BD86-I86)*12+IF(BE86="",7,BE86)-IF(J86="",1,J86),M86))</f>
        <v>116</v>
      </c>
      <c r="BG86" s="0" t="n">
        <v>1</v>
      </c>
      <c r="BI86" s="3" t="s">
        <v>109</v>
      </c>
      <c r="BK86" s="0" t="n">
        <v>1</v>
      </c>
      <c r="BL86" s="3" t="n">
        <f aca="false">COUNTIFS(Investments_Clean!$A$2:$A$150,A86,Investments_Clean!$F$2:$F$150,"Accepted")</f>
        <v>1</v>
      </c>
      <c r="BM86" s="3" t="n">
        <f aca="false">IF(BL86=0,"",IF((COUNTIFS(Investments_Clean!$A$2:$A$150,A86,Investments_Clean!$D$2:$D$150,"VC/PE",Investments_Clean!$F$2:$F$150,"Accepted"))&gt;0,1,0))</f>
        <v>0</v>
      </c>
      <c r="BN86" s="3" t="n">
        <f aca="false">IF(BL86=0,"",IF((COUNTIFS(Investments_Clean!$A$2:$A$150,A86,Investments_Clean!$D$2:$D$150,"Angel",Investments_Clean!$F$2:$F$150,"Accepted"))&gt;0,1,0))</f>
        <v>0</v>
      </c>
      <c r="BO86" s="3" t="n">
        <f aca="false">IF(BL86=0,"",IF((COUNTIFS(Investments_Clean!$A$2:$A$150,A86,Investments_Clean!$D$2:$D$150,"Accelerator",Investments_Clean!$F$2:$F$150,"Accepted"))&gt;0,1,0))</f>
        <v>1</v>
      </c>
      <c r="BP86" s="3" t="n">
        <f aca="false">IF(BL86=0,"",IF((COUNTIFS(Investments_Clean!$A$2:$A$150,A86,Investments_Clean!$D$2:$D$150,"Corporate",Investments_Clean!$F$2:$F$150,"Accepted"))&gt;0,1,0))</f>
        <v>0</v>
      </c>
      <c r="BQ86" s="3" t="n">
        <f aca="false">IF(BL86=0,"",IF((COUNTIFS(Investments_Clean!$A$2:$A$150,A86,Investments_Clean!$D$2:$D$150,"Government",Investments_Clean!$F$2:$F$150,"Accepted"))&gt;0,1,0))</f>
        <v>0</v>
      </c>
      <c r="BR86" s="3" t="n">
        <f aca="false">IF(BL86=0,"",IF((COUNTIFS(Investments_Clean!$A$2:$A$150,A86,Investments_Clean!$D$2:$D$150,"Grant/Philanthropic",Investments_Clean!$F$2:$F$150,"Accepted")+COUNTIFS(Investments_Clean!$A$2:$A$150,A86,Investments_Clean!$D$2:$D$150,"DFI/Impact",Investments_Clean!$F$2:$F$150,"Accepted"))&gt;0,1,0))</f>
        <v>0</v>
      </c>
      <c r="BS86" s="0" t="n">
        <v>3</v>
      </c>
      <c r="BT86" s="0" t="n">
        <v>30</v>
      </c>
      <c r="BU86" s="0" t="n">
        <v>12</v>
      </c>
      <c r="BV86" s="0" t="n">
        <v>25000</v>
      </c>
      <c r="BW86" s="0" t="n">
        <v>30</v>
      </c>
      <c r="BX86" s="0" t="n">
        <v>10</v>
      </c>
      <c r="BZ86" s="0" t="n">
        <v>3.8</v>
      </c>
      <c r="CA86" s="0" t="n">
        <v>3</v>
      </c>
      <c r="CB86" s="0" t="n">
        <v>55</v>
      </c>
      <c r="CC86" s="0" t="str">
        <f aca="false">IF(I86="","",IFERROR(IF(INDEX(Macro_Lookup!$B$2:$B$31,MATCH(I86,Macro_Lookup!$A$2:$A$31,0))="","",INDEX(Macro_Lookup!$B$2:$B$31,MATCH(I86,Macro_Lookup!$A$2:$A$31,0))),""))</f>
        <v/>
      </c>
      <c r="CD86" s="0" t="str">
        <f aca="false">IF(I86="","",IFERROR(IF(INDEX(Macro_Lookup!$C$2:$C$31,MATCH(I86,Macro_Lookup!$A$2:$A$31,0))="","",INDEX(Macro_Lookup!$C$2:$C$31,MATCH(I86,Macro_Lookup!$A$2:$A$31,0))),""))</f>
        <v/>
      </c>
      <c r="CE86" s="0" t="str">
        <f aca="false">IF(BJ86="","",IFERROR(IF(INDEX(Macro_Lookup!$B$2:$B$31,MATCH(BJ86,Macro_Lookup!$A$2:$A$31,0))="","",INDEX(Macro_Lookup!$B$2:$B$31,MATCH(BJ86,Macro_Lookup!$A$2:$A$31,0))),""))</f>
        <v/>
      </c>
      <c r="CF86" s="0" t="str">
        <f aca="false">IF(BJ86="","",IFERROR(IF(INDEX(Macro_Lookup!$C$2:$C$31,MATCH(BJ86,Macro_Lookup!$A$2:$A$31,0))="","",INDEX(Macro_Lookup!$C$2:$C$31,MATCH(BJ86,Macro_Lookup!$A$2:$A$31,0))),""))</f>
        <v/>
      </c>
      <c r="CG86" s="0" t="n">
        <v>1</v>
      </c>
      <c r="CH86" s="3" t="s">
        <v>104</v>
      </c>
      <c r="CI86" s="3" t="s">
        <v>105</v>
      </c>
    </row>
    <row r="87" customFormat="false" ht="14.25" hidden="false" customHeight="false" outlineLevel="0" collapsed="false">
      <c r="A87" s="0" t="s">
        <v>491</v>
      </c>
      <c r="B87" s="0" t="s">
        <v>492</v>
      </c>
      <c r="C87" s="0" t="s">
        <v>89</v>
      </c>
      <c r="D87" s="0" t="s">
        <v>90</v>
      </c>
      <c r="E87" s="0" t="n">
        <v>0</v>
      </c>
      <c r="F87" s="0" t="s">
        <v>91</v>
      </c>
      <c r="I87" s="0" t="n">
        <v>2021</v>
      </c>
      <c r="K87" s="0" t="s">
        <v>92</v>
      </c>
      <c r="L87" s="2" t="n">
        <v>46295</v>
      </c>
      <c r="M87" s="3" t="n">
        <f aca="false">IF(I87="","",(YEAR(L87)-I87)*12+MONTH(L87)-IF(J87="",1,J87))</f>
        <v>68</v>
      </c>
      <c r="N87" s="3" t="n">
        <f aca="false">IF(M87="","",ROUND(M87/12,2))</f>
        <v>5.67</v>
      </c>
      <c r="O87" s="3" t="s">
        <v>493</v>
      </c>
      <c r="P87" s="3" t="s">
        <v>94</v>
      </c>
      <c r="Q87" s="3" t="s">
        <v>494</v>
      </c>
      <c r="R87" s="0" t="n">
        <v>1</v>
      </c>
      <c r="S87" s="0" t="n">
        <v>0</v>
      </c>
      <c r="T87" s="0" t="n">
        <v>0</v>
      </c>
      <c r="U87" s="0" t="n">
        <v>0</v>
      </c>
      <c r="V87" s="0" t="n">
        <v>0</v>
      </c>
      <c r="W87" s="0" t="n">
        <v>0</v>
      </c>
      <c r="X87" s="3" t="s">
        <v>469</v>
      </c>
      <c r="Y87" s="0" t="n">
        <v>3</v>
      </c>
      <c r="Z87" s="0" t="n">
        <v>1</v>
      </c>
      <c r="AA87" s="0" t="n">
        <v>1</v>
      </c>
      <c r="AB87" s="3" t="s">
        <v>495</v>
      </c>
      <c r="AC87" s="0" t="n">
        <v>1</v>
      </c>
      <c r="AD87" s="0" t="n">
        <v>9000</v>
      </c>
      <c r="AE87" s="3" t="s">
        <v>97</v>
      </c>
      <c r="AF87" s="3" t="n">
        <f aca="false">IF(SUMIF(Founders_Clean!$A$2:$A$159,A87,Founders_Clean!$C$2:$C$159)=0,"",SUMIF(Founders_Clean!$A$2:$A$159,A87,Founders_Clean!$C$2:$C$159))</f>
        <v>2</v>
      </c>
      <c r="AG87" s="3" t="n">
        <f aca="false">IF(AF87="","",SUMIF(Founders_Clean!$A$2:$A$159,A87,Founders_Clean!$D$2:$D$159))</f>
        <v>2</v>
      </c>
      <c r="AH87" s="3" t="n">
        <f aca="false">IF(AF87="","",SUMIF(Founders_Clean!$A$2:$A$159,A87,Founders_Clean!$E$2:$E$159))</f>
        <v>0</v>
      </c>
      <c r="AI87" s="3" t="n">
        <f aca="false">IF(AF87="","",IF((AG87+AH87)=0,"",AH87/(AG87+AH87)))</f>
        <v>0</v>
      </c>
      <c r="AJ87" s="3" t="n">
        <f aca="false">IF(AI87="","",IF(AH87&gt;0,1,0))</f>
        <v>0</v>
      </c>
      <c r="AK87" s="3" t="n">
        <f aca="false">IF(AI87="","",ROUND(1-(AI87^2+(1-AI87)^2),3))</f>
        <v>0</v>
      </c>
      <c r="AM87" s="0" t="n">
        <v>2</v>
      </c>
      <c r="AN87" s="3" t="s">
        <v>98</v>
      </c>
      <c r="AR87" s="0" t="n">
        <v>25</v>
      </c>
      <c r="AS87" s="0" t="n">
        <v>25</v>
      </c>
      <c r="AT87" s="0" t="n">
        <v>30.5</v>
      </c>
      <c r="AU87" s="3" t="s">
        <v>161</v>
      </c>
      <c r="AV87" s="3" t="s">
        <v>122</v>
      </c>
      <c r="AX87" s="3" t="s">
        <v>101</v>
      </c>
      <c r="AY87" s="3" t="s">
        <v>102</v>
      </c>
      <c r="BA87" s="0" t="n">
        <v>0</v>
      </c>
      <c r="BB87" s="0" t="n">
        <v>0</v>
      </c>
      <c r="BC87" s="0" t="n">
        <v>0</v>
      </c>
      <c r="BF87" s="3" t="n">
        <f aca="false">IF(OR(I87="",BC87=""),"",IF(BC87=1,(BD87-I87)*12+IF(BE87="",7,BE87)-IF(J87="",1,J87),M87))</f>
        <v>68</v>
      </c>
      <c r="BG87" s="0" t="n">
        <v>1</v>
      </c>
      <c r="BH87" s="0" t="n">
        <v>200000</v>
      </c>
      <c r="BI87" s="3" t="s">
        <v>103</v>
      </c>
      <c r="BK87" s="0" t="n">
        <v>1</v>
      </c>
      <c r="BL87" s="3" t="n">
        <f aca="false">COUNTIFS(Investments_Clean!$A$2:$A$150,A87,Investments_Clean!$F$2:$F$150,"Accepted")</f>
        <v>1</v>
      </c>
      <c r="BM87" s="3" t="n">
        <f aca="false">IF(BL87=0,"",IF((COUNTIFS(Investments_Clean!$A$2:$A$150,A87,Investments_Clean!$D$2:$D$150,"VC/PE",Investments_Clean!$F$2:$F$150,"Accepted"))&gt;0,1,0))</f>
        <v>0</v>
      </c>
      <c r="BN87" s="3" t="n">
        <f aca="false">IF(BL87=0,"",IF((COUNTIFS(Investments_Clean!$A$2:$A$150,A87,Investments_Clean!$D$2:$D$150,"Angel",Investments_Clean!$F$2:$F$150,"Accepted"))&gt;0,1,0))</f>
        <v>1</v>
      </c>
      <c r="BO87" s="3" t="n">
        <f aca="false">IF(BL87=0,"",IF((COUNTIFS(Investments_Clean!$A$2:$A$150,A87,Investments_Clean!$D$2:$D$150,"Accelerator",Investments_Clean!$F$2:$F$150,"Accepted"))&gt;0,1,0))</f>
        <v>0</v>
      </c>
      <c r="BP87" s="3" t="n">
        <f aca="false">IF(BL87=0,"",IF((COUNTIFS(Investments_Clean!$A$2:$A$150,A87,Investments_Clean!$D$2:$D$150,"Corporate",Investments_Clean!$F$2:$F$150,"Accepted"))&gt;0,1,0))</f>
        <v>0</v>
      </c>
      <c r="BQ87" s="3" t="n">
        <f aca="false">IF(BL87=0,"",IF((COUNTIFS(Investments_Clean!$A$2:$A$150,A87,Investments_Clean!$D$2:$D$150,"Government",Investments_Clean!$F$2:$F$150,"Accepted"))&gt;0,1,0))</f>
        <v>0</v>
      </c>
      <c r="BR87" s="3" t="n">
        <f aca="false">IF(BL87=0,"",IF((COUNTIFS(Investments_Clean!$A$2:$A$150,A87,Investments_Clean!$D$2:$D$150,"Grant/Philanthropic",Investments_Clean!$F$2:$F$150,"Accepted")+COUNTIFS(Investments_Clean!$A$2:$A$150,A87,Investments_Clean!$D$2:$D$150,"DFI/Impact",Investments_Clean!$F$2:$F$150,"Accepted"))&gt;0,1,0))</f>
        <v>0</v>
      </c>
      <c r="BS87" s="0" t="n">
        <v>3</v>
      </c>
      <c r="BT87" s="0" t="n">
        <v>50</v>
      </c>
      <c r="BU87" s="0" t="n">
        <v>25</v>
      </c>
      <c r="BV87" s="0" t="n">
        <v>2500</v>
      </c>
      <c r="BW87" s="0" t="n">
        <v>37.5</v>
      </c>
      <c r="BX87" s="0" t="n">
        <v>8</v>
      </c>
      <c r="CA87" s="0" t="n">
        <v>3</v>
      </c>
      <c r="CB87" s="0" t="n">
        <v>37.5</v>
      </c>
      <c r="CC87" s="0" t="str">
        <f aca="false">IF(I87="","",IFERROR(IF(INDEX(Macro_Lookup!$B$2:$B$31,MATCH(I87,Macro_Lookup!$A$2:$A$31,0))="","",INDEX(Macro_Lookup!$B$2:$B$31,MATCH(I87,Macro_Lookup!$A$2:$A$31,0))),""))</f>
        <v/>
      </c>
      <c r="CD87" s="0" t="str">
        <f aca="false">IF(I87="","",IFERROR(IF(INDEX(Macro_Lookup!$C$2:$C$31,MATCH(I87,Macro_Lookup!$A$2:$A$31,0))="","",INDEX(Macro_Lookup!$C$2:$C$31,MATCH(I87,Macro_Lookup!$A$2:$A$31,0))),""))</f>
        <v/>
      </c>
      <c r="CE87" s="0" t="str">
        <f aca="false">IF(BJ87="","",IFERROR(IF(INDEX(Macro_Lookup!$B$2:$B$31,MATCH(BJ87,Macro_Lookup!$A$2:$A$31,0))="","",INDEX(Macro_Lookup!$B$2:$B$31,MATCH(BJ87,Macro_Lookup!$A$2:$A$31,0))),""))</f>
        <v/>
      </c>
      <c r="CF87" s="0" t="str">
        <f aca="false">IF(BJ87="","",IFERROR(IF(INDEX(Macro_Lookup!$C$2:$C$31,MATCH(BJ87,Macro_Lookup!$A$2:$A$31,0))="","",INDEX(Macro_Lookup!$C$2:$C$31,MATCH(BJ87,Macro_Lookup!$A$2:$A$31,0))),""))</f>
        <v/>
      </c>
      <c r="CG87" s="0" t="n">
        <v>2</v>
      </c>
      <c r="CH87" s="3" t="s">
        <v>104</v>
      </c>
      <c r="CI87" s="3" t="s">
        <v>105</v>
      </c>
    </row>
    <row r="88" customFormat="false" ht="14.25" hidden="false" customHeight="false" outlineLevel="0" collapsed="false">
      <c r="A88" s="0" t="s">
        <v>496</v>
      </c>
      <c r="B88" s="0" t="s">
        <v>497</v>
      </c>
      <c r="C88" s="0" t="s">
        <v>89</v>
      </c>
      <c r="D88" s="0" t="s">
        <v>90</v>
      </c>
      <c r="E88" s="0" t="n">
        <v>0</v>
      </c>
      <c r="F88" s="0" t="s">
        <v>91</v>
      </c>
      <c r="I88" s="0" t="n">
        <v>2014</v>
      </c>
      <c r="K88" s="0" t="s">
        <v>92</v>
      </c>
      <c r="L88" s="2" t="n">
        <v>46295</v>
      </c>
      <c r="M88" s="3" t="n">
        <f aca="false">IF(I88="","",(YEAR(L88)-I88)*12+MONTH(L88)-IF(J88="",1,J88))</f>
        <v>152</v>
      </c>
      <c r="N88" s="3" t="n">
        <f aca="false">IF(M88="","",ROUND(M88/12,2))</f>
        <v>12.67</v>
      </c>
      <c r="O88" s="3" t="s">
        <v>498</v>
      </c>
      <c r="P88" s="3" t="s">
        <v>446</v>
      </c>
      <c r="Q88" s="3" t="s">
        <v>499</v>
      </c>
      <c r="R88" s="0" t="n">
        <v>1</v>
      </c>
      <c r="S88" s="0" t="n">
        <v>1</v>
      </c>
      <c r="T88" s="0" t="n">
        <v>0</v>
      </c>
      <c r="U88" s="0" t="n">
        <v>1</v>
      </c>
      <c r="V88" s="0" t="n">
        <v>1</v>
      </c>
      <c r="W88" s="0" t="n">
        <v>0</v>
      </c>
      <c r="X88" s="3" t="s">
        <v>469</v>
      </c>
      <c r="Y88" s="0" t="n">
        <v>3</v>
      </c>
      <c r="Z88" s="0" t="n">
        <v>1</v>
      </c>
      <c r="AA88" s="0" t="n">
        <v>0</v>
      </c>
      <c r="AB88" s="3" t="s">
        <v>500</v>
      </c>
      <c r="AF88" s="3" t="n">
        <f aca="false">IF(SUMIF(Founders_Clean!$A$2:$A$159,A88,Founders_Clean!$C$2:$C$159)=0,"",SUMIF(Founders_Clean!$A$2:$A$159,A88,Founders_Clean!$C$2:$C$159))</f>
        <v>1</v>
      </c>
      <c r="AG88" s="3" t="n">
        <f aca="false">IF(AF88="","",SUMIF(Founders_Clean!$A$2:$A$159,A88,Founders_Clean!$D$2:$D$159))</f>
        <v>1</v>
      </c>
      <c r="AH88" s="3" t="n">
        <f aca="false">IF(AF88="","",SUMIF(Founders_Clean!$A$2:$A$159,A88,Founders_Clean!$E$2:$E$159))</f>
        <v>0</v>
      </c>
      <c r="AI88" s="3" t="n">
        <f aca="false">IF(AF88="","",IF((AG88+AH88)=0,"",AH88/(AG88+AH88)))</f>
        <v>0</v>
      </c>
      <c r="AJ88" s="3" t="n">
        <f aca="false">IF(AI88="","",IF(AH88&gt;0,1,0))</f>
        <v>0</v>
      </c>
      <c r="AK88" s="3" t="n">
        <f aca="false">IF(AI88="","",ROUND(1-(AI88^2+(1-AI88)^2),3))</f>
        <v>0</v>
      </c>
      <c r="AM88" s="0" t="n">
        <v>1</v>
      </c>
      <c r="AN88" s="3" t="s">
        <v>147</v>
      </c>
      <c r="AO88" s="0" t="n">
        <v>1</v>
      </c>
      <c r="AP88" s="0" t="n">
        <v>1</v>
      </c>
      <c r="AR88" s="0" t="n">
        <v>12</v>
      </c>
      <c r="AS88" s="0" t="n">
        <v>12</v>
      </c>
      <c r="AT88" s="0" t="n">
        <v>30.5</v>
      </c>
      <c r="AU88" s="3" t="s">
        <v>161</v>
      </c>
      <c r="AV88" s="3" t="s">
        <v>122</v>
      </c>
      <c r="AX88" s="3" t="s">
        <v>101</v>
      </c>
      <c r="AY88" s="3" t="s">
        <v>102</v>
      </c>
      <c r="BA88" s="0" t="n">
        <v>0</v>
      </c>
      <c r="BB88" s="0" t="n">
        <v>0</v>
      </c>
      <c r="BC88" s="0" t="n">
        <v>0</v>
      </c>
      <c r="BF88" s="3" t="n">
        <f aca="false">IF(OR(I88="",BC88=""),"",IF(BC88=1,(BD88-I88)*12+IF(BE88="",7,BE88)-IF(J88="",1,J88),M88))</f>
        <v>152</v>
      </c>
      <c r="BG88" s="0" t="n">
        <v>1</v>
      </c>
      <c r="BI88" s="3" t="s">
        <v>109</v>
      </c>
      <c r="BK88" s="0" t="n">
        <v>1</v>
      </c>
      <c r="BL88" s="3" t="n">
        <f aca="false">COUNTIFS(Investments_Clean!$A$2:$A$150,A88,Investments_Clean!$F$2:$F$150,"Accepted")</f>
        <v>0</v>
      </c>
      <c r="BM88" s="0" t="str">
        <f aca="false">IF(BL88=0,"",IF((COUNTIFS(Investments_Clean!$A$2:$A$150,A88,Investments_Clean!$D$2:$D$150,"VC/PE",Investments_Clean!$F$2:$F$150,"Accepted"))&gt;0,1,0))</f>
        <v/>
      </c>
      <c r="BN88" s="0" t="str">
        <f aca="false">IF(BL88=0,"",IF((COUNTIFS(Investments_Clean!$A$2:$A$150,A88,Investments_Clean!$D$2:$D$150,"Angel",Investments_Clean!$F$2:$F$150,"Accepted"))&gt;0,1,0))</f>
        <v/>
      </c>
      <c r="BO88" s="0" t="str">
        <f aca="false">IF(BL88=0,"",IF((COUNTIFS(Investments_Clean!$A$2:$A$150,A88,Investments_Clean!$D$2:$D$150,"Accelerator",Investments_Clean!$F$2:$F$150,"Accepted"))&gt;0,1,0))</f>
        <v/>
      </c>
      <c r="BP88" s="0" t="str">
        <f aca="false">IF(BL88=0,"",IF((COUNTIFS(Investments_Clean!$A$2:$A$150,A88,Investments_Clean!$D$2:$D$150,"Corporate",Investments_Clean!$F$2:$F$150,"Accepted"))&gt;0,1,0))</f>
        <v/>
      </c>
      <c r="BQ88" s="0" t="str">
        <f aca="false">IF(BL88=0,"",IF((COUNTIFS(Investments_Clean!$A$2:$A$150,A88,Investments_Clean!$D$2:$D$150,"Government",Investments_Clean!$F$2:$F$150,"Accepted"))&gt;0,1,0))</f>
        <v/>
      </c>
      <c r="BR88" s="0" t="str">
        <f aca="false">IF(BL88=0,"",IF((COUNTIFS(Investments_Clean!$A$2:$A$150,A88,Investments_Clean!$D$2:$D$150,"Grant/Philanthropic",Investments_Clean!$F$2:$F$150,"Accepted")+COUNTIFS(Investments_Clean!$A$2:$A$150,A88,Investments_Clean!$D$2:$D$150,"DFI/Impact",Investments_Clean!$F$2:$F$150,"Accepted"))&gt;0,1,0))</f>
        <v/>
      </c>
      <c r="BT88" s="0" t="n">
        <v>15</v>
      </c>
      <c r="BU88" s="0" t="n">
        <v>4</v>
      </c>
      <c r="BV88" s="0" t="n">
        <v>2500</v>
      </c>
      <c r="BW88" s="0" t="n">
        <v>5</v>
      </c>
      <c r="BX88" s="0" t="n">
        <v>4</v>
      </c>
      <c r="BZ88" s="0" t="n">
        <v>3.5</v>
      </c>
      <c r="CA88" s="0" t="n">
        <v>3</v>
      </c>
      <c r="CB88" s="0" t="n">
        <v>16.7</v>
      </c>
      <c r="CC88" s="0" t="str">
        <f aca="false">IF(I88="","",IFERROR(IF(INDEX(Macro_Lookup!$B$2:$B$31,MATCH(I88,Macro_Lookup!$A$2:$A$31,0))="","",INDEX(Macro_Lookup!$B$2:$B$31,MATCH(I88,Macro_Lookup!$A$2:$A$31,0))),""))</f>
        <v/>
      </c>
      <c r="CD88" s="0" t="str">
        <f aca="false">IF(I88="","",IFERROR(IF(INDEX(Macro_Lookup!$C$2:$C$31,MATCH(I88,Macro_Lookup!$A$2:$A$31,0))="","",INDEX(Macro_Lookup!$C$2:$C$31,MATCH(I88,Macro_Lookup!$A$2:$A$31,0))),""))</f>
        <v/>
      </c>
      <c r="CE88" s="0" t="str">
        <f aca="false">IF(BJ88="","",IFERROR(IF(INDEX(Macro_Lookup!$B$2:$B$31,MATCH(BJ88,Macro_Lookup!$A$2:$A$31,0))="","",INDEX(Macro_Lookup!$B$2:$B$31,MATCH(BJ88,Macro_Lookup!$A$2:$A$31,0))),""))</f>
        <v/>
      </c>
      <c r="CF88" s="0" t="str">
        <f aca="false">IF(BJ88="","",IFERROR(IF(INDEX(Macro_Lookup!$C$2:$C$31,MATCH(BJ88,Macro_Lookup!$A$2:$A$31,0))="","",INDEX(Macro_Lookup!$C$2:$C$31,MATCH(BJ88,Macro_Lookup!$A$2:$A$31,0))),""))</f>
        <v/>
      </c>
      <c r="CG88" s="0" t="n">
        <v>2</v>
      </c>
      <c r="CH88" s="3" t="s">
        <v>104</v>
      </c>
      <c r="CI88" s="3" t="s">
        <v>105</v>
      </c>
    </row>
    <row r="89" customFormat="false" ht="14.25" hidden="false" customHeight="false" outlineLevel="0" collapsed="false">
      <c r="A89" s="0" t="s">
        <v>501</v>
      </c>
      <c r="B89" s="0" t="s">
        <v>502</v>
      </c>
      <c r="C89" s="0" t="s">
        <v>89</v>
      </c>
      <c r="D89" s="0" t="s">
        <v>90</v>
      </c>
      <c r="E89" s="0" t="n">
        <v>0</v>
      </c>
      <c r="F89" s="0" t="s">
        <v>91</v>
      </c>
      <c r="I89" s="0" t="n">
        <v>2014</v>
      </c>
      <c r="K89" s="0" t="s">
        <v>92</v>
      </c>
      <c r="L89" s="2" t="n">
        <v>46295</v>
      </c>
      <c r="M89" s="3" t="n">
        <f aca="false">IF(I89="","",(YEAR(L89)-I89)*12+MONTH(L89)-IF(J89="",1,J89))</f>
        <v>152</v>
      </c>
      <c r="N89" s="3" t="n">
        <f aca="false">IF(M89="","",ROUND(M89/12,2))</f>
        <v>12.67</v>
      </c>
      <c r="O89" s="3" t="s">
        <v>503</v>
      </c>
      <c r="P89" s="3" t="s">
        <v>446</v>
      </c>
      <c r="Q89" s="3" t="s">
        <v>504</v>
      </c>
      <c r="R89" s="0" t="n">
        <v>1</v>
      </c>
      <c r="S89" s="0" t="n">
        <v>1</v>
      </c>
      <c r="T89" s="0" t="n">
        <v>0</v>
      </c>
      <c r="U89" s="0" t="n">
        <v>1</v>
      </c>
      <c r="V89" s="0" t="n">
        <v>0</v>
      </c>
      <c r="W89" s="0" t="n">
        <v>0</v>
      </c>
      <c r="X89" s="3" t="s">
        <v>469</v>
      </c>
      <c r="Y89" s="0" t="n">
        <v>3</v>
      </c>
      <c r="Z89" s="0" t="n">
        <v>1</v>
      </c>
      <c r="AA89" s="0" t="n">
        <v>0</v>
      </c>
      <c r="AB89" s="3" t="s">
        <v>500</v>
      </c>
      <c r="AF89" s="3" t="n">
        <f aca="false">IF(SUMIF(Founders_Clean!$A$2:$A$159,A89,Founders_Clean!$C$2:$C$159)=0,"",SUMIF(Founders_Clean!$A$2:$A$159,A89,Founders_Clean!$C$2:$C$159))</f>
        <v>1</v>
      </c>
      <c r="AG89" s="3" t="n">
        <f aca="false">IF(AF89="","",SUMIF(Founders_Clean!$A$2:$A$159,A89,Founders_Clean!$D$2:$D$159))</f>
        <v>1</v>
      </c>
      <c r="AH89" s="3" t="n">
        <f aca="false">IF(AF89="","",SUMIF(Founders_Clean!$A$2:$A$159,A89,Founders_Clean!$E$2:$E$159))</f>
        <v>0</v>
      </c>
      <c r="AI89" s="3" t="n">
        <f aca="false">IF(AF89="","",IF((AG89+AH89)=0,"",AH89/(AG89+AH89)))</f>
        <v>0</v>
      </c>
      <c r="AJ89" s="3" t="n">
        <f aca="false">IF(AI89="","",IF(AH89&gt;0,1,0))</f>
        <v>0</v>
      </c>
      <c r="AK89" s="3" t="n">
        <f aca="false">IF(AI89="","",ROUND(1-(AI89^2+(1-AI89)^2),3))</f>
        <v>0</v>
      </c>
      <c r="AM89" s="0" t="n">
        <v>2</v>
      </c>
      <c r="AN89" s="3" t="s">
        <v>98</v>
      </c>
      <c r="AR89" s="0" t="n">
        <v>12</v>
      </c>
      <c r="AS89" s="0" t="n">
        <v>12</v>
      </c>
      <c r="AT89" s="0" t="n">
        <v>125.5</v>
      </c>
      <c r="AU89" s="3" t="s">
        <v>130</v>
      </c>
      <c r="AV89" s="3" t="s">
        <v>122</v>
      </c>
      <c r="AX89" s="3" t="s">
        <v>101</v>
      </c>
      <c r="AY89" s="3" t="s">
        <v>102</v>
      </c>
      <c r="BA89" s="0" t="n">
        <v>0</v>
      </c>
      <c r="BB89" s="0" t="n">
        <v>0</v>
      </c>
      <c r="BC89" s="0" t="n">
        <v>0</v>
      </c>
      <c r="BF89" s="3" t="n">
        <f aca="false">IF(OR(I89="",BC89=""),"",IF(BC89=1,(BD89-I89)*12+IF(BE89="",7,BE89)-IF(J89="",1,J89),M89))</f>
        <v>152</v>
      </c>
      <c r="BG89" s="0" t="n">
        <v>1</v>
      </c>
      <c r="BI89" s="3" t="s">
        <v>109</v>
      </c>
      <c r="BK89" s="0" t="n">
        <v>1</v>
      </c>
      <c r="BL89" s="3" t="n">
        <f aca="false">COUNTIFS(Investments_Clean!$A$2:$A$150,A89,Investments_Clean!$F$2:$F$150,"Accepted")</f>
        <v>0</v>
      </c>
      <c r="BM89" s="0" t="str">
        <f aca="false">IF(BL89=0,"",IF((COUNTIFS(Investments_Clean!$A$2:$A$150,A89,Investments_Clean!$D$2:$D$150,"VC/PE",Investments_Clean!$F$2:$F$150,"Accepted"))&gt;0,1,0))</f>
        <v/>
      </c>
      <c r="BN89" s="0" t="str">
        <f aca="false">IF(BL89=0,"",IF((COUNTIFS(Investments_Clean!$A$2:$A$150,A89,Investments_Clean!$D$2:$D$150,"Angel",Investments_Clean!$F$2:$F$150,"Accepted"))&gt;0,1,0))</f>
        <v/>
      </c>
      <c r="BO89" s="0" t="str">
        <f aca="false">IF(BL89=0,"",IF((COUNTIFS(Investments_Clean!$A$2:$A$150,A89,Investments_Clean!$D$2:$D$150,"Accelerator",Investments_Clean!$F$2:$F$150,"Accepted"))&gt;0,1,0))</f>
        <v/>
      </c>
      <c r="BP89" s="0" t="str">
        <f aca="false">IF(BL89=0,"",IF((COUNTIFS(Investments_Clean!$A$2:$A$150,A89,Investments_Clean!$D$2:$D$150,"Corporate",Investments_Clean!$F$2:$F$150,"Accepted"))&gt;0,1,0))</f>
        <v/>
      </c>
      <c r="BQ89" s="0" t="str">
        <f aca="false">IF(BL89=0,"",IF((COUNTIFS(Investments_Clean!$A$2:$A$150,A89,Investments_Clean!$D$2:$D$150,"Government",Investments_Clean!$F$2:$F$150,"Accepted"))&gt;0,1,0))</f>
        <v/>
      </c>
      <c r="BR89" s="0" t="str">
        <f aca="false">IF(BL89=0,"",IF((COUNTIFS(Investments_Clean!$A$2:$A$150,A89,Investments_Clean!$D$2:$D$150,"Grant/Philanthropic",Investments_Clean!$F$2:$F$150,"Accepted")+COUNTIFS(Investments_Clean!$A$2:$A$150,A89,Investments_Clean!$D$2:$D$150,"DFI/Impact",Investments_Clean!$F$2:$F$150,"Accepted"))&gt;0,1,0))</f>
        <v/>
      </c>
      <c r="BT89" s="0" t="n">
        <v>20</v>
      </c>
      <c r="BU89" s="0" t="n">
        <v>10</v>
      </c>
      <c r="BV89" s="0" t="n">
        <v>8500</v>
      </c>
      <c r="BW89" s="0" t="n">
        <v>20</v>
      </c>
      <c r="BX89" s="0" t="n">
        <v>6</v>
      </c>
      <c r="BZ89" s="0" t="n">
        <v>4</v>
      </c>
      <c r="CA89" s="0" t="n">
        <v>3</v>
      </c>
      <c r="CB89" s="0" t="n">
        <v>30.8</v>
      </c>
      <c r="CC89" s="0" t="str">
        <f aca="false">IF(I89="","",IFERROR(IF(INDEX(Macro_Lookup!$B$2:$B$31,MATCH(I89,Macro_Lookup!$A$2:$A$31,0))="","",INDEX(Macro_Lookup!$B$2:$B$31,MATCH(I89,Macro_Lookup!$A$2:$A$31,0))),""))</f>
        <v/>
      </c>
      <c r="CD89" s="0" t="str">
        <f aca="false">IF(I89="","",IFERROR(IF(INDEX(Macro_Lookup!$C$2:$C$31,MATCH(I89,Macro_Lookup!$A$2:$A$31,0))="","",INDEX(Macro_Lookup!$C$2:$C$31,MATCH(I89,Macro_Lookup!$A$2:$A$31,0))),""))</f>
        <v/>
      </c>
      <c r="CE89" s="0" t="str">
        <f aca="false">IF(BJ89="","",IFERROR(IF(INDEX(Macro_Lookup!$B$2:$B$31,MATCH(BJ89,Macro_Lookup!$A$2:$A$31,0))="","",INDEX(Macro_Lookup!$B$2:$B$31,MATCH(BJ89,Macro_Lookup!$A$2:$A$31,0))),""))</f>
        <v/>
      </c>
      <c r="CF89" s="0" t="str">
        <f aca="false">IF(BJ89="","",IFERROR(IF(INDEX(Macro_Lookup!$C$2:$C$31,MATCH(BJ89,Macro_Lookup!$A$2:$A$31,0))="","",INDEX(Macro_Lookup!$C$2:$C$31,MATCH(BJ89,Macro_Lookup!$A$2:$A$31,0))),""))</f>
        <v/>
      </c>
      <c r="CG89" s="0" t="n">
        <v>3</v>
      </c>
      <c r="CH89" s="3" t="s">
        <v>104</v>
      </c>
      <c r="CI89" s="3" t="s">
        <v>105</v>
      </c>
    </row>
    <row r="90" customFormat="false" ht="14.25" hidden="false" customHeight="false" outlineLevel="0" collapsed="false">
      <c r="A90" s="0" t="s">
        <v>505</v>
      </c>
      <c r="B90" s="0" t="s">
        <v>506</v>
      </c>
      <c r="C90" s="0" t="s">
        <v>89</v>
      </c>
      <c r="D90" s="0" t="s">
        <v>90</v>
      </c>
      <c r="E90" s="0" t="n">
        <v>0</v>
      </c>
      <c r="F90" s="0" t="s">
        <v>91</v>
      </c>
      <c r="I90" s="0" t="n">
        <v>2014</v>
      </c>
      <c r="K90" s="0" t="s">
        <v>92</v>
      </c>
      <c r="L90" s="2" t="n">
        <v>46295</v>
      </c>
      <c r="M90" s="3" t="n">
        <f aca="false">IF(I90="","",(YEAR(L90)-I90)*12+MONTH(L90)-IF(J90="",1,J90))</f>
        <v>152</v>
      </c>
      <c r="N90" s="3" t="n">
        <f aca="false">IF(M90="","",ROUND(M90/12,2))</f>
        <v>12.67</v>
      </c>
      <c r="O90" s="3" t="s">
        <v>507</v>
      </c>
      <c r="P90" s="3" t="s">
        <v>210</v>
      </c>
      <c r="Q90" s="3" t="s">
        <v>468</v>
      </c>
      <c r="R90" s="0" t="n">
        <v>1</v>
      </c>
      <c r="S90" s="0" t="n">
        <v>0</v>
      </c>
      <c r="T90" s="0" t="n">
        <v>0</v>
      </c>
      <c r="U90" s="0" t="n">
        <v>1</v>
      </c>
      <c r="V90" s="0" t="n">
        <v>1</v>
      </c>
      <c r="W90" s="0" t="n">
        <v>0</v>
      </c>
      <c r="X90" s="3" t="s">
        <v>469</v>
      </c>
      <c r="Y90" s="0" t="n">
        <v>3</v>
      </c>
      <c r="Z90" s="0" t="n">
        <v>1</v>
      </c>
      <c r="AA90" s="0" t="n">
        <v>1</v>
      </c>
      <c r="AB90" s="3" t="s">
        <v>470</v>
      </c>
      <c r="AF90" s="3" t="n">
        <f aca="false">IF(SUMIF(Founders_Clean!$A$2:$A$159,A90,Founders_Clean!$C$2:$C$159)=0,"",SUMIF(Founders_Clean!$A$2:$A$159,A90,Founders_Clean!$C$2:$C$159))</f>
        <v>2</v>
      </c>
      <c r="AG90" s="3" t="n">
        <f aca="false">IF(AF90="","",SUMIF(Founders_Clean!$A$2:$A$159,A90,Founders_Clean!$D$2:$D$159))</f>
        <v>2</v>
      </c>
      <c r="AH90" s="3" t="n">
        <f aca="false">IF(AF90="","",SUMIF(Founders_Clean!$A$2:$A$159,A90,Founders_Clean!$E$2:$E$159))</f>
        <v>0</v>
      </c>
      <c r="AI90" s="3" t="n">
        <f aca="false">IF(AF90="","",IF((AG90+AH90)=0,"",AH90/(AG90+AH90)))</f>
        <v>0</v>
      </c>
      <c r="AJ90" s="3" t="n">
        <f aca="false">IF(AI90="","",IF(AH90&gt;0,1,0))</f>
        <v>0</v>
      </c>
      <c r="AK90" s="3" t="n">
        <f aca="false">IF(AI90="","",ROUND(1-(AI90^2+(1-AI90)^2),3))</f>
        <v>0</v>
      </c>
      <c r="AM90" s="0" t="n">
        <v>2</v>
      </c>
      <c r="AN90" s="3" t="s">
        <v>98</v>
      </c>
      <c r="AO90" s="0" t="n">
        <v>1</v>
      </c>
      <c r="AP90" s="0" t="n">
        <v>1</v>
      </c>
      <c r="AR90" s="0" t="n">
        <v>12</v>
      </c>
      <c r="AS90" s="0" t="n">
        <v>12</v>
      </c>
      <c r="AT90" s="0" t="n">
        <v>125.5</v>
      </c>
      <c r="AU90" s="3" t="s">
        <v>130</v>
      </c>
      <c r="AV90" s="3" t="s">
        <v>122</v>
      </c>
      <c r="AX90" s="3" t="s">
        <v>101</v>
      </c>
      <c r="AY90" s="3" t="s">
        <v>102</v>
      </c>
      <c r="BA90" s="0" t="n">
        <v>0</v>
      </c>
      <c r="BB90" s="0" t="n">
        <v>0</v>
      </c>
      <c r="BC90" s="0" t="n">
        <v>0</v>
      </c>
      <c r="BF90" s="3" t="n">
        <f aca="false">IF(OR(I90="",BC90=""),"",IF(BC90=1,(BD90-I90)*12+IF(BE90="",7,BE90)-IF(J90="",1,J90),M90))</f>
        <v>152</v>
      </c>
      <c r="BG90" s="0" t="n">
        <v>1</v>
      </c>
      <c r="BH90" s="0" t="n">
        <v>1000000</v>
      </c>
      <c r="BI90" s="3" t="s">
        <v>103</v>
      </c>
      <c r="BK90" s="0" t="n">
        <v>1</v>
      </c>
      <c r="BL90" s="3" t="n">
        <f aca="false">COUNTIFS(Investments_Clean!$A$2:$A$150,A90,Investments_Clean!$F$2:$F$150,"Accepted")</f>
        <v>0</v>
      </c>
      <c r="BM90" s="0" t="str">
        <f aca="false">IF(BL90=0,"",IF((COUNTIFS(Investments_Clean!$A$2:$A$150,A90,Investments_Clean!$D$2:$D$150,"VC/PE",Investments_Clean!$F$2:$F$150,"Accepted"))&gt;0,1,0))</f>
        <v/>
      </c>
      <c r="BN90" s="0" t="str">
        <f aca="false">IF(BL90=0,"",IF((COUNTIFS(Investments_Clean!$A$2:$A$150,A90,Investments_Clean!$D$2:$D$150,"Angel",Investments_Clean!$F$2:$F$150,"Accepted"))&gt;0,1,0))</f>
        <v/>
      </c>
      <c r="BO90" s="0" t="str">
        <f aca="false">IF(BL90=0,"",IF((COUNTIFS(Investments_Clean!$A$2:$A$150,A90,Investments_Clean!$D$2:$D$150,"Accelerator",Investments_Clean!$F$2:$F$150,"Accepted"))&gt;0,1,0))</f>
        <v/>
      </c>
      <c r="BP90" s="0" t="str">
        <f aca="false">IF(BL90=0,"",IF((COUNTIFS(Investments_Clean!$A$2:$A$150,A90,Investments_Clean!$D$2:$D$150,"Corporate",Investments_Clean!$F$2:$F$150,"Accepted"))&gt;0,1,0))</f>
        <v/>
      </c>
      <c r="BQ90" s="0" t="str">
        <f aca="false">IF(BL90=0,"",IF((COUNTIFS(Investments_Clean!$A$2:$A$150,A90,Investments_Clean!$D$2:$D$150,"Government",Investments_Clean!$F$2:$F$150,"Accepted"))&gt;0,1,0))</f>
        <v/>
      </c>
      <c r="BR90" s="0" t="str">
        <f aca="false">IF(BL90=0,"",IF((COUNTIFS(Investments_Clean!$A$2:$A$150,A90,Investments_Clean!$D$2:$D$150,"Grant/Philanthropic",Investments_Clean!$F$2:$F$150,"Accepted")+COUNTIFS(Investments_Clean!$A$2:$A$150,A90,Investments_Clean!$D$2:$D$150,"DFI/Impact",Investments_Clean!$F$2:$F$150,"Accepted"))&gt;0,1,0))</f>
        <v/>
      </c>
      <c r="BT90" s="0" t="n">
        <v>35</v>
      </c>
      <c r="BU90" s="0" t="n">
        <v>15</v>
      </c>
      <c r="BV90" s="0" t="n">
        <v>10000</v>
      </c>
      <c r="BW90" s="0" t="n">
        <v>100</v>
      </c>
      <c r="BX90" s="0" t="n">
        <v>15</v>
      </c>
      <c r="BZ90" s="0" t="n">
        <v>4.1</v>
      </c>
      <c r="CA90" s="0" t="n">
        <v>3</v>
      </c>
      <c r="CB90" s="0" t="n">
        <v>60.8</v>
      </c>
      <c r="CC90" s="0" t="str">
        <f aca="false">IF(I90="","",IFERROR(IF(INDEX(Macro_Lookup!$B$2:$B$31,MATCH(I90,Macro_Lookup!$A$2:$A$31,0))="","",INDEX(Macro_Lookup!$B$2:$B$31,MATCH(I90,Macro_Lookup!$A$2:$A$31,0))),""))</f>
        <v/>
      </c>
      <c r="CD90" s="0" t="str">
        <f aca="false">IF(I90="","",IFERROR(IF(INDEX(Macro_Lookup!$C$2:$C$31,MATCH(I90,Macro_Lookup!$A$2:$A$31,0))="","",INDEX(Macro_Lookup!$C$2:$C$31,MATCH(I90,Macro_Lookup!$A$2:$A$31,0))),""))</f>
        <v/>
      </c>
      <c r="CE90" s="0" t="str">
        <f aca="false">IF(BJ90="","",IFERROR(IF(INDEX(Macro_Lookup!$B$2:$B$31,MATCH(BJ90,Macro_Lookup!$A$2:$A$31,0))="","",INDEX(Macro_Lookup!$B$2:$B$31,MATCH(BJ90,Macro_Lookup!$A$2:$A$31,0))),""))</f>
        <v/>
      </c>
      <c r="CF90" s="0" t="str">
        <f aca="false">IF(BJ90="","",IFERROR(IF(INDEX(Macro_Lookup!$C$2:$C$31,MATCH(BJ90,Macro_Lookup!$A$2:$A$31,0))="","",INDEX(Macro_Lookup!$C$2:$C$31,MATCH(BJ90,Macro_Lookup!$A$2:$A$31,0))),""))</f>
        <v/>
      </c>
      <c r="CG90" s="0" t="n">
        <v>2</v>
      </c>
      <c r="CH90" s="3" t="s">
        <v>104</v>
      </c>
      <c r="CI90" s="3" t="s">
        <v>105</v>
      </c>
    </row>
    <row r="91" customFormat="false" ht="14.25" hidden="false" customHeight="false" outlineLevel="0" collapsed="false">
      <c r="A91" s="0" t="s">
        <v>508</v>
      </c>
      <c r="B91" s="0" t="s">
        <v>509</v>
      </c>
      <c r="C91" s="0" t="s">
        <v>89</v>
      </c>
      <c r="D91" s="0" t="s">
        <v>90</v>
      </c>
      <c r="E91" s="0" t="n">
        <v>0</v>
      </c>
      <c r="F91" s="0" t="s">
        <v>91</v>
      </c>
      <c r="I91" s="0" t="n">
        <v>2014</v>
      </c>
      <c r="K91" s="0" t="s">
        <v>92</v>
      </c>
      <c r="L91" s="2" t="n">
        <v>46295</v>
      </c>
      <c r="M91" s="3" t="n">
        <f aca="false">IF(I91="","",(YEAR(L91)-I91)*12+MONTH(L91)-IF(J91="",1,J91))</f>
        <v>152</v>
      </c>
      <c r="N91" s="3" t="n">
        <f aca="false">IF(M91="","",ROUND(M91/12,2))</f>
        <v>12.67</v>
      </c>
      <c r="O91" s="3" t="s">
        <v>510</v>
      </c>
      <c r="P91" s="3" t="s">
        <v>210</v>
      </c>
      <c r="Q91" s="3" t="s">
        <v>511</v>
      </c>
      <c r="R91" s="0" t="n">
        <v>1</v>
      </c>
      <c r="S91" s="0" t="n">
        <v>1</v>
      </c>
      <c r="T91" s="0" t="n">
        <v>0</v>
      </c>
      <c r="U91" s="0" t="n">
        <v>0</v>
      </c>
      <c r="V91" s="0" t="n">
        <v>0</v>
      </c>
      <c r="W91" s="0" t="n">
        <v>0</v>
      </c>
      <c r="X91" s="3" t="s">
        <v>469</v>
      </c>
      <c r="Y91" s="0" t="n">
        <v>3</v>
      </c>
      <c r="Z91" s="0" t="n">
        <v>1</v>
      </c>
      <c r="AA91" s="0" t="n">
        <v>1</v>
      </c>
      <c r="AB91" s="3" t="s">
        <v>512</v>
      </c>
      <c r="AC91" s="0" t="n">
        <v>1</v>
      </c>
      <c r="AD91" s="0" t="n">
        <v>1120000</v>
      </c>
      <c r="AE91" s="3" t="s">
        <v>97</v>
      </c>
      <c r="AF91" s="3" t="n">
        <f aca="false">IF(SUMIF(Founders_Clean!$A$2:$A$159,A91,Founders_Clean!$C$2:$C$159)=0,"",SUMIF(Founders_Clean!$A$2:$A$159,A91,Founders_Clean!$C$2:$C$159))</f>
        <v>3</v>
      </c>
      <c r="AG91" s="3" t="n">
        <f aca="false">IF(AF91="","",SUMIF(Founders_Clean!$A$2:$A$159,A91,Founders_Clean!$D$2:$D$159))</f>
        <v>3</v>
      </c>
      <c r="AH91" s="3" t="n">
        <f aca="false">IF(AF91="","",SUMIF(Founders_Clean!$A$2:$A$159,A91,Founders_Clean!$E$2:$E$159))</f>
        <v>0</v>
      </c>
      <c r="AI91" s="3" t="n">
        <f aca="false">IF(AF91="","",IF((AG91+AH91)=0,"",AH91/(AG91+AH91)))</f>
        <v>0</v>
      </c>
      <c r="AJ91" s="3" t="n">
        <f aca="false">IF(AI91="","",IF(AH91&gt;0,1,0))</f>
        <v>0</v>
      </c>
      <c r="AK91" s="3" t="n">
        <f aca="false">IF(AI91="","",ROUND(1-(AI91^2+(1-AI91)^2),3))</f>
        <v>0</v>
      </c>
      <c r="AM91" s="0" t="n">
        <v>3</v>
      </c>
      <c r="AN91" s="3" t="s">
        <v>120</v>
      </c>
      <c r="AR91" s="0" t="n">
        <v>15</v>
      </c>
      <c r="AS91" s="0" t="n">
        <v>15</v>
      </c>
      <c r="AT91" s="0" t="n">
        <v>54</v>
      </c>
      <c r="AU91" s="3" t="s">
        <v>130</v>
      </c>
      <c r="AV91" s="3" t="s">
        <v>122</v>
      </c>
      <c r="AX91" s="3" t="s">
        <v>101</v>
      </c>
      <c r="AY91" s="3" t="s">
        <v>102</v>
      </c>
      <c r="BA91" s="0" t="n">
        <v>0</v>
      </c>
      <c r="BB91" s="0" t="n">
        <v>0</v>
      </c>
      <c r="BC91" s="0" t="n">
        <v>0</v>
      </c>
      <c r="BF91" s="3" t="n">
        <f aca="false">IF(OR(I91="",BC91=""),"",IF(BC91=1,(BD91-I91)*12+IF(BE91="",7,BE91)-IF(J91="",1,J91),M91))</f>
        <v>152</v>
      </c>
      <c r="BG91" s="0" t="n">
        <v>1</v>
      </c>
      <c r="BH91" s="0" t="n">
        <v>2200000</v>
      </c>
      <c r="BI91" s="3" t="s">
        <v>103</v>
      </c>
      <c r="BK91" s="0" t="n">
        <v>1</v>
      </c>
      <c r="BL91" s="3" t="n">
        <f aca="false">COUNTIFS(Investments_Clean!$A$2:$A$150,A91,Investments_Clean!$F$2:$F$150,"Accepted")</f>
        <v>1</v>
      </c>
      <c r="BM91" s="3" t="n">
        <f aca="false">IF(BL91=0,"",IF((COUNTIFS(Investments_Clean!$A$2:$A$150,A91,Investments_Clean!$D$2:$D$150,"VC/PE",Investments_Clean!$F$2:$F$150,"Accepted"))&gt;0,1,0))</f>
        <v>0</v>
      </c>
      <c r="BN91" s="3" t="n">
        <f aca="false">IF(BL91=0,"",IF((COUNTIFS(Investments_Clean!$A$2:$A$150,A91,Investments_Clean!$D$2:$D$150,"Angel",Investments_Clean!$F$2:$F$150,"Accepted"))&gt;0,1,0))</f>
        <v>0</v>
      </c>
      <c r="BO91" s="3" t="n">
        <f aca="false">IF(BL91=0,"",IF((COUNTIFS(Investments_Clean!$A$2:$A$150,A91,Investments_Clean!$D$2:$D$150,"Accelerator",Investments_Clean!$F$2:$F$150,"Accepted"))&gt;0,1,0))</f>
        <v>0</v>
      </c>
      <c r="BP91" s="3" t="n">
        <f aca="false">IF(BL91=0,"",IF((COUNTIFS(Investments_Clean!$A$2:$A$150,A91,Investments_Clean!$D$2:$D$150,"Corporate",Investments_Clean!$F$2:$F$150,"Accepted"))&gt;0,1,0))</f>
        <v>0</v>
      </c>
      <c r="BQ91" s="3" t="n">
        <f aca="false">IF(BL91=0,"",IF((COUNTIFS(Investments_Clean!$A$2:$A$150,A91,Investments_Clean!$D$2:$D$150,"Government",Investments_Clean!$F$2:$F$150,"Accepted"))&gt;0,1,0))</f>
        <v>1</v>
      </c>
      <c r="BR91" s="3" t="n">
        <f aca="false">IF(BL91=0,"",IF((COUNTIFS(Investments_Clean!$A$2:$A$150,A91,Investments_Clean!$D$2:$D$150,"Grant/Philanthropic",Investments_Clean!$F$2:$F$150,"Accepted")+COUNTIFS(Investments_Clean!$A$2:$A$150,A91,Investments_Clean!$D$2:$D$150,"DFI/Impact",Investments_Clean!$F$2:$F$150,"Accepted"))&gt;0,1,0))</f>
        <v>0</v>
      </c>
      <c r="BS91" s="0" t="n">
        <v>4</v>
      </c>
      <c r="BT91" s="0" t="n">
        <v>30</v>
      </c>
      <c r="BU91" s="0" t="n">
        <v>4</v>
      </c>
      <c r="BV91" s="0" t="n">
        <v>14000</v>
      </c>
      <c r="BW91" s="0" t="n">
        <v>175</v>
      </c>
      <c r="BX91" s="0" t="n">
        <v>10</v>
      </c>
      <c r="CA91" s="0" t="n">
        <v>3</v>
      </c>
      <c r="CB91" s="0" t="n">
        <v>61.7</v>
      </c>
      <c r="CC91" s="0" t="str">
        <f aca="false">IF(I91="","",IFERROR(IF(INDEX(Macro_Lookup!$B$2:$B$31,MATCH(I91,Macro_Lookup!$A$2:$A$31,0))="","",INDEX(Macro_Lookup!$B$2:$B$31,MATCH(I91,Macro_Lookup!$A$2:$A$31,0))),""))</f>
        <v/>
      </c>
      <c r="CD91" s="0" t="str">
        <f aca="false">IF(I91="","",IFERROR(IF(INDEX(Macro_Lookup!$C$2:$C$31,MATCH(I91,Macro_Lookup!$A$2:$A$31,0))="","",INDEX(Macro_Lookup!$C$2:$C$31,MATCH(I91,Macro_Lookup!$A$2:$A$31,0))),""))</f>
        <v/>
      </c>
      <c r="CE91" s="0" t="str">
        <f aca="false">IF(BJ91="","",IFERROR(IF(INDEX(Macro_Lookup!$B$2:$B$31,MATCH(BJ91,Macro_Lookup!$A$2:$A$31,0))="","",INDEX(Macro_Lookup!$B$2:$B$31,MATCH(BJ91,Macro_Lookup!$A$2:$A$31,0))),""))</f>
        <v/>
      </c>
      <c r="CF91" s="0" t="str">
        <f aca="false">IF(BJ91="","",IFERROR(IF(INDEX(Macro_Lookup!$C$2:$C$31,MATCH(BJ91,Macro_Lookup!$A$2:$A$31,0))="","",INDEX(Macro_Lookup!$C$2:$C$31,MATCH(BJ91,Macro_Lookup!$A$2:$A$31,0))),""))</f>
        <v/>
      </c>
      <c r="CG91" s="0" t="n">
        <v>2</v>
      </c>
      <c r="CH91" s="3" t="s">
        <v>104</v>
      </c>
      <c r="CI91" s="3" t="s">
        <v>105</v>
      </c>
    </row>
    <row r="92" customFormat="false" ht="14.25" hidden="false" customHeight="false" outlineLevel="0" collapsed="false">
      <c r="A92" s="0" t="s">
        <v>513</v>
      </c>
      <c r="B92" s="0" t="s">
        <v>514</v>
      </c>
      <c r="C92" s="0" t="s">
        <v>89</v>
      </c>
      <c r="D92" s="0" t="s">
        <v>90</v>
      </c>
      <c r="E92" s="0" t="n">
        <v>0</v>
      </c>
      <c r="F92" s="0" t="s">
        <v>91</v>
      </c>
      <c r="I92" s="0" t="n">
        <v>2013</v>
      </c>
      <c r="K92" s="0" t="s">
        <v>92</v>
      </c>
      <c r="L92" s="2" t="n">
        <v>46295</v>
      </c>
      <c r="M92" s="3" t="n">
        <f aca="false">IF(I92="","",(YEAR(L92)-I92)*12+MONTH(L92)-IF(J92="",1,J92))</f>
        <v>164</v>
      </c>
      <c r="N92" s="3" t="n">
        <f aca="false">IF(M92="","",ROUND(M92/12,2))</f>
        <v>13.67</v>
      </c>
      <c r="O92" s="3" t="s">
        <v>515</v>
      </c>
      <c r="P92" s="3" t="s">
        <v>516</v>
      </c>
      <c r="Q92" s="3" t="s">
        <v>517</v>
      </c>
      <c r="R92" s="0" t="n">
        <v>0</v>
      </c>
      <c r="S92" s="0" t="n">
        <v>0</v>
      </c>
      <c r="T92" s="0" t="n">
        <v>0</v>
      </c>
      <c r="U92" s="0" t="n">
        <v>1</v>
      </c>
      <c r="V92" s="0" t="n">
        <v>0</v>
      </c>
      <c r="W92" s="0" t="n">
        <v>0</v>
      </c>
      <c r="X92" s="3" t="s">
        <v>469</v>
      </c>
      <c r="Y92" s="0" t="n">
        <v>3</v>
      </c>
      <c r="Z92" s="0" t="n">
        <v>1</v>
      </c>
      <c r="AA92" s="0" t="n">
        <v>0</v>
      </c>
      <c r="AB92" s="3" t="s">
        <v>518</v>
      </c>
      <c r="AF92" s="3" t="n">
        <f aca="false">IF(SUMIF(Founders_Clean!$A$2:$A$159,A92,Founders_Clean!$C$2:$C$159)=0,"",SUMIF(Founders_Clean!$A$2:$A$159,A92,Founders_Clean!$C$2:$C$159))</f>
        <v>2</v>
      </c>
      <c r="AG92" s="3" t="n">
        <f aca="false">IF(AF92="","",SUMIF(Founders_Clean!$A$2:$A$159,A92,Founders_Clean!$D$2:$D$159))</f>
        <v>2</v>
      </c>
      <c r="AH92" s="3" t="n">
        <f aca="false">IF(AF92="","",SUMIF(Founders_Clean!$A$2:$A$159,A92,Founders_Clean!$E$2:$E$159))</f>
        <v>0</v>
      </c>
      <c r="AI92" s="3" t="n">
        <f aca="false">IF(AF92="","",IF((AG92+AH92)=0,"",AH92/(AG92+AH92)))</f>
        <v>0</v>
      </c>
      <c r="AJ92" s="3" t="n">
        <f aca="false">IF(AI92="","",IF(AH92&gt;0,1,0))</f>
        <v>0</v>
      </c>
      <c r="AK92" s="3" t="n">
        <f aca="false">IF(AI92="","",ROUND(1-(AI92^2+(1-AI92)^2),3))</f>
        <v>0</v>
      </c>
      <c r="AM92" s="0" t="n">
        <v>1</v>
      </c>
      <c r="AN92" s="3" t="s">
        <v>147</v>
      </c>
      <c r="AR92" s="0" t="n">
        <v>18</v>
      </c>
      <c r="AS92" s="0" t="n">
        <v>18</v>
      </c>
      <c r="AT92" s="0" t="n">
        <v>350.5</v>
      </c>
      <c r="AU92" s="3" t="s">
        <v>121</v>
      </c>
      <c r="AV92" s="3" t="s">
        <v>122</v>
      </c>
      <c r="AX92" s="3" t="s">
        <v>101</v>
      </c>
      <c r="AY92" s="3" t="s">
        <v>102</v>
      </c>
      <c r="BA92" s="0" t="n">
        <v>0</v>
      </c>
      <c r="BB92" s="0" t="n">
        <v>0</v>
      </c>
      <c r="BC92" s="0" t="n">
        <v>0</v>
      </c>
      <c r="BF92" s="3" t="n">
        <f aca="false">IF(OR(I92="",BC92=""),"",IF(BC92=1,(BD92-I92)*12+IF(BE92="",7,BE92)-IF(J92="",1,J92),M92))</f>
        <v>164</v>
      </c>
      <c r="BG92" s="0" t="n">
        <v>1</v>
      </c>
      <c r="BI92" s="3" t="s">
        <v>109</v>
      </c>
      <c r="BK92" s="0" t="n">
        <v>1</v>
      </c>
      <c r="BL92" s="3" t="n">
        <f aca="false">COUNTIFS(Investments_Clean!$A$2:$A$150,A92,Investments_Clean!$F$2:$F$150,"Accepted")</f>
        <v>1</v>
      </c>
      <c r="BM92" s="3" t="n">
        <f aca="false">IF(BL92=0,"",IF((COUNTIFS(Investments_Clean!$A$2:$A$150,A92,Investments_Clean!$D$2:$D$150,"VC/PE",Investments_Clean!$F$2:$F$150,"Accepted"))&gt;0,1,0))</f>
        <v>0</v>
      </c>
      <c r="BN92" s="3" t="n">
        <f aca="false">IF(BL92=0,"",IF((COUNTIFS(Investments_Clean!$A$2:$A$150,A92,Investments_Clean!$D$2:$D$150,"Angel",Investments_Clean!$F$2:$F$150,"Accepted"))&gt;0,1,0))</f>
        <v>0</v>
      </c>
      <c r="BO92" s="3" t="n">
        <f aca="false">IF(BL92=0,"",IF((COUNTIFS(Investments_Clean!$A$2:$A$150,A92,Investments_Clean!$D$2:$D$150,"Accelerator",Investments_Clean!$F$2:$F$150,"Accepted"))&gt;0,1,0))</f>
        <v>0</v>
      </c>
      <c r="BP92" s="3" t="n">
        <f aca="false">IF(BL92=0,"",IF((COUNTIFS(Investments_Clean!$A$2:$A$150,A92,Investments_Clean!$D$2:$D$150,"Corporate",Investments_Clean!$F$2:$F$150,"Accepted"))&gt;0,1,0))</f>
        <v>1</v>
      </c>
      <c r="BQ92" s="3" t="n">
        <f aca="false">IF(BL92=0,"",IF((COUNTIFS(Investments_Clean!$A$2:$A$150,A92,Investments_Clean!$D$2:$D$150,"Government",Investments_Clean!$F$2:$F$150,"Accepted"))&gt;0,1,0))</f>
        <v>0</v>
      </c>
      <c r="BR92" s="3" t="n">
        <f aca="false">IF(BL92=0,"",IF((COUNTIFS(Investments_Clean!$A$2:$A$150,A92,Investments_Clean!$D$2:$D$150,"Grant/Philanthropic",Investments_Clean!$F$2:$F$150,"Accepted")+COUNTIFS(Investments_Clean!$A$2:$A$150,A92,Investments_Clean!$D$2:$D$150,"DFI/Impact",Investments_Clean!$F$2:$F$150,"Accepted"))&gt;0,1,0))</f>
        <v>0</v>
      </c>
      <c r="BT92" s="0" t="n">
        <v>25</v>
      </c>
      <c r="BU92" s="0" t="n">
        <v>10</v>
      </c>
      <c r="BV92" s="0" t="n">
        <v>1025000</v>
      </c>
      <c r="BW92" s="0" t="n">
        <v>125</v>
      </c>
      <c r="BX92" s="0" t="n">
        <v>20</v>
      </c>
      <c r="BZ92" s="0" t="n">
        <v>4.3</v>
      </c>
      <c r="CA92" s="0" t="n">
        <v>3</v>
      </c>
      <c r="CB92" s="0" t="n">
        <v>79.6</v>
      </c>
      <c r="CC92" s="0" t="str">
        <f aca="false">IF(I92="","",IFERROR(IF(INDEX(Macro_Lookup!$B$2:$B$31,MATCH(I92,Macro_Lookup!$A$2:$A$31,0))="","",INDEX(Macro_Lookup!$B$2:$B$31,MATCH(I92,Macro_Lookup!$A$2:$A$31,0))),""))</f>
        <v/>
      </c>
      <c r="CD92" s="0" t="str">
        <f aca="false">IF(I92="","",IFERROR(IF(INDEX(Macro_Lookup!$C$2:$C$31,MATCH(I92,Macro_Lookup!$A$2:$A$31,0))="","",INDEX(Macro_Lookup!$C$2:$C$31,MATCH(I92,Macro_Lookup!$A$2:$A$31,0))),""))</f>
        <v/>
      </c>
      <c r="CE92" s="0" t="str">
        <f aca="false">IF(BJ92="","",IFERROR(IF(INDEX(Macro_Lookup!$B$2:$B$31,MATCH(BJ92,Macro_Lookup!$A$2:$A$31,0))="","",INDEX(Macro_Lookup!$B$2:$B$31,MATCH(BJ92,Macro_Lookup!$A$2:$A$31,0))),""))</f>
        <v/>
      </c>
      <c r="CF92" s="0" t="str">
        <f aca="false">IF(BJ92="","",IFERROR(IF(INDEX(Macro_Lookup!$C$2:$C$31,MATCH(BJ92,Macro_Lookup!$A$2:$A$31,0))="","",INDEX(Macro_Lookup!$C$2:$C$31,MATCH(BJ92,Macro_Lookup!$A$2:$A$31,0))),""))</f>
        <v/>
      </c>
      <c r="CG92" s="0" t="n">
        <v>3</v>
      </c>
      <c r="CH92" s="3" t="s">
        <v>104</v>
      </c>
      <c r="CI92" s="3" t="s">
        <v>105</v>
      </c>
    </row>
    <row r="93" customFormat="false" ht="14.25" hidden="false" customHeight="false" outlineLevel="0" collapsed="false">
      <c r="A93" s="0" t="s">
        <v>519</v>
      </c>
      <c r="B93" s="0" t="s">
        <v>520</v>
      </c>
      <c r="C93" s="0" t="s">
        <v>89</v>
      </c>
      <c r="D93" s="0" t="s">
        <v>90</v>
      </c>
      <c r="E93" s="0" t="n">
        <v>0</v>
      </c>
      <c r="F93" s="0" t="s">
        <v>112</v>
      </c>
      <c r="I93" s="0" t="n">
        <v>2021</v>
      </c>
      <c r="K93" s="0" t="s">
        <v>92</v>
      </c>
      <c r="L93" s="2" t="n">
        <v>46295</v>
      </c>
      <c r="M93" s="3" t="n">
        <f aca="false">IF(I93="","",(YEAR(L93)-I93)*12+MONTH(L93)-IF(J93="",1,J93))</f>
        <v>68</v>
      </c>
      <c r="N93" s="3" t="n">
        <f aca="false">IF(M93="","",ROUND(M93/12,2))</f>
        <v>5.67</v>
      </c>
      <c r="O93" s="3" t="s">
        <v>521</v>
      </c>
      <c r="P93" s="3" t="s">
        <v>516</v>
      </c>
      <c r="Q93" s="3" t="s">
        <v>522</v>
      </c>
      <c r="R93" s="0" t="n">
        <v>0</v>
      </c>
      <c r="S93" s="0" t="n">
        <v>0</v>
      </c>
      <c r="T93" s="0" t="n">
        <v>0</v>
      </c>
      <c r="U93" s="0" t="n">
        <v>1</v>
      </c>
      <c r="V93" s="0" t="n">
        <v>0</v>
      </c>
      <c r="W93" s="0" t="n">
        <v>0</v>
      </c>
      <c r="X93" s="3" t="s">
        <v>469</v>
      </c>
      <c r="Y93" s="0" t="n">
        <v>3</v>
      </c>
      <c r="Z93" s="0" t="n">
        <v>1</v>
      </c>
      <c r="AA93" s="0" t="n">
        <v>0</v>
      </c>
      <c r="AB93" s="3" t="s">
        <v>523</v>
      </c>
      <c r="AF93" s="3" t="n">
        <f aca="false">IF(SUMIF(Founders_Clean!$A$2:$A$159,A93,Founders_Clean!$C$2:$C$159)=0,"",SUMIF(Founders_Clean!$A$2:$A$159,A93,Founders_Clean!$C$2:$C$159))</f>
        <v>1</v>
      </c>
      <c r="AG93" s="3" t="n">
        <f aca="false">IF(AF93="","",SUMIF(Founders_Clean!$A$2:$A$159,A93,Founders_Clean!$D$2:$D$159))</f>
        <v>1</v>
      </c>
      <c r="AH93" s="3" t="n">
        <f aca="false">IF(AF93="","",SUMIF(Founders_Clean!$A$2:$A$159,A93,Founders_Clean!$E$2:$E$159))</f>
        <v>0</v>
      </c>
      <c r="AI93" s="3" t="n">
        <f aca="false">IF(AF93="","",IF((AG93+AH93)=0,"",AH93/(AG93+AH93)))</f>
        <v>0</v>
      </c>
      <c r="AJ93" s="3" t="n">
        <f aca="false">IF(AI93="","",IF(AH93&gt;0,1,0))</f>
        <v>0</v>
      </c>
      <c r="AK93" s="3" t="n">
        <f aca="false">IF(AI93="","",ROUND(1-(AI93^2+(1-AI93)^2),3))</f>
        <v>0</v>
      </c>
      <c r="AM93" s="0" t="n">
        <v>1</v>
      </c>
      <c r="AN93" s="3" t="s">
        <v>147</v>
      </c>
      <c r="AR93" s="0" t="n">
        <v>19</v>
      </c>
      <c r="AS93" s="0" t="n">
        <v>19</v>
      </c>
      <c r="AT93" s="0" t="n">
        <v>125.5</v>
      </c>
      <c r="AU93" s="3" t="s">
        <v>130</v>
      </c>
      <c r="AV93" s="3" t="s">
        <v>122</v>
      </c>
      <c r="AX93" s="3" t="s">
        <v>101</v>
      </c>
      <c r="AY93" s="3" t="s">
        <v>102</v>
      </c>
      <c r="BA93" s="0" t="n">
        <v>0</v>
      </c>
      <c r="BB93" s="0" t="n">
        <v>0</v>
      </c>
      <c r="BC93" s="0" t="n">
        <v>0</v>
      </c>
      <c r="BF93" s="3" t="n">
        <f aca="false">IF(OR(I93="",BC93=""),"",IF(BC93=1,(BD93-I93)*12+IF(BE93="",7,BE93)-IF(J93="",1,J93),M93))</f>
        <v>68</v>
      </c>
      <c r="BG93" s="0" t="n">
        <v>1</v>
      </c>
      <c r="BI93" s="3" t="s">
        <v>109</v>
      </c>
      <c r="BK93" s="0" t="n">
        <v>0</v>
      </c>
      <c r="BL93" s="3" t="n">
        <f aca="false">COUNTIFS(Investments_Clean!$A$2:$A$150,A93,Investments_Clean!$F$2:$F$150,"Accepted")</f>
        <v>1</v>
      </c>
      <c r="BM93" s="3" t="n">
        <f aca="false">IF(BL93=0,"",IF((COUNTIFS(Investments_Clean!$A$2:$A$150,A93,Investments_Clean!$D$2:$D$150,"VC/PE",Investments_Clean!$F$2:$F$150,"Accepted"))&gt;0,1,0))</f>
        <v>0</v>
      </c>
      <c r="BN93" s="3" t="n">
        <f aca="false">IF(BL93=0,"",IF((COUNTIFS(Investments_Clean!$A$2:$A$150,A93,Investments_Clean!$D$2:$D$150,"Angel",Investments_Clean!$F$2:$F$150,"Accepted"))&gt;0,1,0))</f>
        <v>0</v>
      </c>
      <c r="BO93" s="3" t="n">
        <f aca="false">IF(BL93=0,"",IF((COUNTIFS(Investments_Clean!$A$2:$A$150,A93,Investments_Clean!$D$2:$D$150,"Accelerator",Investments_Clean!$F$2:$F$150,"Accepted"))&gt;0,1,0))</f>
        <v>0</v>
      </c>
      <c r="BP93" s="3" t="n">
        <f aca="false">IF(BL93=0,"",IF((COUNTIFS(Investments_Clean!$A$2:$A$150,A93,Investments_Clean!$D$2:$D$150,"Corporate",Investments_Clean!$F$2:$F$150,"Accepted"))&gt;0,1,0))</f>
        <v>0</v>
      </c>
      <c r="BQ93" s="3" t="n">
        <f aca="false">IF(BL93=0,"",IF((COUNTIFS(Investments_Clean!$A$2:$A$150,A93,Investments_Clean!$D$2:$D$150,"Government",Investments_Clean!$F$2:$F$150,"Accepted"))&gt;0,1,0))</f>
        <v>0</v>
      </c>
      <c r="BR93" s="3" t="n">
        <f aca="false">IF(BL93=0,"",IF((COUNTIFS(Investments_Clean!$A$2:$A$150,A93,Investments_Clean!$D$2:$D$150,"Grant/Philanthropic",Investments_Clean!$F$2:$F$150,"Accepted")+COUNTIFS(Investments_Clean!$A$2:$A$150,A93,Investments_Clean!$D$2:$D$150,"DFI/Impact",Investments_Clean!$F$2:$F$150,"Accepted"))&gt;0,1,0))</f>
        <v>0</v>
      </c>
      <c r="BT93" s="0" t="n">
        <v>45</v>
      </c>
      <c r="BU93" s="0" t="n">
        <v>20</v>
      </c>
      <c r="BV93" s="0" t="n">
        <v>1300000</v>
      </c>
      <c r="BW93" s="0" t="n">
        <v>150</v>
      </c>
      <c r="BX93" s="0" t="n">
        <v>35</v>
      </c>
      <c r="BZ93" s="0" t="n">
        <v>3.5</v>
      </c>
      <c r="CA93" s="0" t="n">
        <v>3</v>
      </c>
      <c r="CB93" s="0" t="n">
        <v>90.8</v>
      </c>
      <c r="CC93" s="0" t="str">
        <f aca="false">IF(I93="","",IFERROR(IF(INDEX(Macro_Lookup!$B$2:$B$31,MATCH(I93,Macro_Lookup!$A$2:$A$31,0))="","",INDEX(Macro_Lookup!$B$2:$B$31,MATCH(I93,Macro_Lookup!$A$2:$A$31,0))),""))</f>
        <v/>
      </c>
      <c r="CD93" s="0" t="str">
        <f aca="false">IF(I93="","",IFERROR(IF(INDEX(Macro_Lookup!$C$2:$C$31,MATCH(I93,Macro_Lookup!$A$2:$A$31,0))="","",INDEX(Macro_Lookup!$C$2:$C$31,MATCH(I93,Macro_Lookup!$A$2:$A$31,0))),""))</f>
        <v/>
      </c>
      <c r="CE93" s="0" t="str">
        <f aca="false">IF(BJ93="","",IFERROR(IF(INDEX(Macro_Lookup!$B$2:$B$31,MATCH(BJ93,Macro_Lookup!$A$2:$A$31,0))="","",INDEX(Macro_Lookup!$B$2:$B$31,MATCH(BJ93,Macro_Lookup!$A$2:$A$31,0))),""))</f>
        <v/>
      </c>
      <c r="CF93" s="0" t="str">
        <f aca="false">IF(BJ93="","",IFERROR(IF(INDEX(Macro_Lookup!$C$2:$C$31,MATCH(BJ93,Macro_Lookup!$A$2:$A$31,0))="","",INDEX(Macro_Lookup!$C$2:$C$31,MATCH(BJ93,Macro_Lookup!$A$2:$A$31,0))),""))</f>
        <v/>
      </c>
      <c r="CG93" s="0" t="n">
        <v>3</v>
      </c>
      <c r="CH93" s="3" t="s">
        <v>104</v>
      </c>
      <c r="CI93" s="3" t="s">
        <v>105</v>
      </c>
    </row>
    <row r="94" customFormat="false" ht="14.25" hidden="false" customHeight="false" outlineLevel="0" collapsed="false">
      <c r="A94" s="0" t="s">
        <v>524</v>
      </c>
      <c r="B94" s="0" t="s">
        <v>525</v>
      </c>
      <c r="C94" s="0" t="s">
        <v>89</v>
      </c>
      <c r="D94" s="0" t="s">
        <v>90</v>
      </c>
      <c r="E94" s="0" t="n">
        <v>0</v>
      </c>
      <c r="F94" s="0" t="s">
        <v>526</v>
      </c>
      <c r="I94" s="0" t="n">
        <v>2000</v>
      </c>
      <c r="K94" s="0" t="s">
        <v>92</v>
      </c>
      <c r="L94" s="2" t="n">
        <v>46295</v>
      </c>
      <c r="M94" s="3" t="n">
        <f aca="false">IF(I94="","",(YEAR(L94)-I94)*12+MONTH(L94)-IF(J94="",1,J94))</f>
        <v>320</v>
      </c>
      <c r="N94" s="3" t="n">
        <f aca="false">IF(M94="","",ROUND(M94/12,2))</f>
        <v>26.67</v>
      </c>
      <c r="O94" s="3" t="s">
        <v>527</v>
      </c>
      <c r="P94" s="3" t="s">
        <v>259</v>
      </c>
      <c r="Q94" s="3" t="s">
        <v>528</v>
      </c>
      <c r="R94" s="0" t="n">
        <v>1</v>
      </c>
      <c r="S94" s="0" t="n">
        <v>1</v>
      </c>
      <c r="T94" s="0" t="n">
        <v>0</v>
      </c>
      <c r="U94" s="0" t="n">
        <v>0</v>
      </c>
      <c r="V94" s="0" t="n">
        <v>0</v>
      </c>
      <c r="W94" s="0" t="n">
        <v>1</v>
      </c>
      <c r="X94" s="3" t="s">
        <v>469</v>
      </c>
      <c r="Y94" s="0" t="n">
        <v>3</v>
      </c>
      <c r="Z94" s="0" t="n">
        <v>1</v>
      </c>
      <c r="AA94" s="0" t="n">
        <v>0</v>
      </c>
      <c r="AB94" s="3" t="s">
        <v>529</v>
      </c>
      <c r="AF94" s="3" t="n">
        <f aca="false">IF(SUMIF(Founders_Clean!$A$2:$A$159,A94,Founders_Clean!$C$2:$C$159)=0,"",SUMIF(Founders_Clean!$A$2:$A$159,A94,Founders_Clean!$C$2:$C$159))</f>
        <v>1</v>
      </c>
      <c r="AG94" s="3" t="n">
        <f aca="false">IF(AF94="","",SUMIF(Founders_Clean!$A$2:$A$159,A94,Founders_Clean!$D$2:$D$159))</f>
        <v>1</v>
      </c>
      <c r="AH94" s="3" t="n">
        <f aca="false">IF(AF94="","",SUMIF(Founders_Clean!$A$2:$A$159,A94,Founders_Clean!$E$2:$E$159))</f>
        <v>0</v>
      </c>
      <c r="AI94" s="3" t="n">
        <f aca="false">IF(AF94="","",IF((AG94+AH94)=0,"",AH94/(AG94+AH94)))</f>
        <v>0</v>
      </c>
      <c r="AJ94" s="3" t="n">
        <f aca="false">IF(AI94="","",IF(AH94&gt;0,1,0))</f>
        <v>0</v>
      </c>
      <c r="AK94" s="3" t="n">
        <f aca="false">IF(AI94="","",ROUND(1-(AI94^2+(1-AI94)^2),3))</f>
        <v>0</v>
      </c>
      <c r="AM94" s="0" t="n">
        <v>2</v>
      </c>
      <c r="AN94" s="3" t="s">
        <v>98</v>
      </c>
      <c r="AR94" s="0" t="n">
        <v>26</v>
      </c>
      <c r="AS94" s="0" t="n">
        <v>26</v>
      </c>
      <c r="AT94" s="0" t="n">
        <v>350.5</v>
      </c>
      <c r="AU94" s="3" t="s">
        <v>121</v>
      </c>
      <c r="AV94" s="3" t="s">
        <v>122</v>
      </c>
      <c r="AX94" s="3" t="s">
        <v>138</v>
      </c>
      <c r="AY94" s="3" t="s">
        <v>102</v>
      </c>
      <c r="BA94" s="0" t="n">
        <v>1</v>
      </c>
      <c r="BB94" s="0" t="n">
        <v>0</v>
      </c>
      <c r="BC94" s="0" t="n">
        <v>0</v>
      </c>
      <c r="BF94" s="3" t="n">
        <f aca="false">IF(OR(I94="",BC94=""),"",IF(BC94=1,(BD94-I94)*12+IF(BE94="",7,BE94)-IF(J94="",1,J94),M94))</f>
        <v>320</v>
      </c>
      <c r="BG94" s="0" t="n">
        <v>1</v>
      </c>
      <c r="BH94" s="0" t="n">
        <v>4300000</v>
      </c>
      <c r="BI94" s="3" t="s">
        <v>103</v>
      </c>
      <c r="BK94" s="0" t="n">
        <v>1</v>
      </c>
      <c r="BL94" s="3" t="n">
        <f aca="false">COUNTIFS(Investments_Clean!$A$2:$A$150,A94,Investments_Clean!$F$2:$F$150,"Accepted")</f>
        <v>1</v>
      </c>
      <c r="BM94" s="3" t="n">
        <f aca="false">IF(BL94=0,"",IF((COUNTIFS(Investments_Clean!$A$2:$A$150,A94,Investments_Clean!$D$2:$D$150,"VC/PE",Investments_Clean!$F$2:$F$150,"Accepted"))&gt;0,1,0))</f>
        <v>0</v>
      </c>
      <c r="BN94" s="3" t="n">
        <f aca="false">IF(BL94=0,"",IF((COUNTIFS(Investments_Clean!$A$2:$A$150,A94,Investments_Clean!$D$2:$D$150,"Angel",Investments_Clean!$F$2:$F$150,"Accepted"))&gt;0,1,0))</f>
        <v>0</v>
      </c>
      <c r="BO94" s="3" t="n">
        <f aca="false">IF(BL94=0,"",IF((COUNTIFS(Investments_Clean!$A$2:$A$150,A94,Investments_Clean!$D$2:$D$150,"Accelerator",Investments_Clean!$F$2:$F$150,"Accepted"))&gt;0,1,0))</f>
        <v>0</v>
      </c>
      <c r="BP94" s="3" t="n">
        <f aca="false">IF(BL94=0,"",IF((COUNTIFS(Investments_Clean!$A$2:$A$150,A94,Investments_Clean!$D$2:$D$150,"Corporate",Investments_Clean!$F$2:$F$150,"Accepted"))&gt;0,1,0))</f>
        <v>1</v>
      </c>
      <c r="BQ94" s="3" t="n">
        <f aca="false">IF(BL94=0,"",IF((COUNTIFS(Investments_Clean!$A$2:$A$150,A94,Investments_Clean!$D$2:$D$150,"Government",Investments_Clean!$F$2:$F$150,"Accepted"))&gt;0,1,0))</f>
        <v>0</v>
      </c>
      <c r="BR94" s="3" t="n">
        <f aca="false">IF(BL94=0,"",IF((COUNTIFS(Investments_Clean!$A$2:$A$150,A94,Investments_Clean!$D$2:$D$150,"Grant/Philanthropic",Investments_Clean!$F$2:$F$150,"Accepted")+COUNTIFS(Investments_Clean!$A$2:$A$150,A94,Investments_Clean!$D$2:$D$150,"DFI/Impact",Investments_Clean!$F$2:$F$150,"Accepted"))&gt;0,1,0))</f>
        <v>0</v>
      </c>
      <c r="BS94" s="0" t="n">
        <v>5</v>
      </c>
      <c r="BT94" s="0" t="n">
        <v>12</v>
      </c>
      <c r="BU94" s="0" t="n">
        <v>2</v>
      </c>
      <c r="BV94" s="0" t="n">
        <v>5250000</v>
      </c>
      <c r="BW94" s="0" t="n">
        <v>200</v>
      </c>
      <c r="BX94" s="0" t="n">
        <v>8</v>
      </c>
      <c r="BZ94" s="0" t="n">
        <v>4.1</v>
      </c>
      <c r="CA94" s="0" t="n">
        <v>3</v>
      </c>
      <c r="CB94" s="0" t="n">
        <v>74.6</v>
      </c>
      <c r="CC94" s="0" t="str">
        <f aca="false">IF(I94="","",IFERROR(IF(INDEX(Macro_Lookup!$B$2:$B$31,MATCH(I94,Macro_Lookup!$A$2:$A$31,0))="","",INDEX(Macro_Lookup!$B$2:$B$31,MATCH(I94,Macro_Lookup!$A$2:$A$31,0))),""))</f>
        <v/>
      </c>
      <c r="CD94" s="0" t="str">
        <f aca="false">IF(I94="","",IFERROR(IF(INDEX(Macro_Lookup!$C$2:$C$31,MATCH(I94,Macro_Lookup!$A$2:$A$31,0))="","",INDEX(Macro_Lookup!$C$2:$C$31,MATCH(I94,Macro_Lookup!$A$2:$A$31,0))),""))</f>
        <v/>
      </c>
      <c r="CE94" s="0" t="str">
        <f aca="false">IF(BJ94="","",IFERROR(IF(INDEX(Macro_Lookup!$B$2:$B$31,MATCH(BJ94,Macro_Lookup!$A$2:$A$31,0))="","",INDEX(Macro_Lookup!$B$2:$B$31,MATCH(BJ94,Macro_Lookup!$A$2:$A$31,0))),""))</f>
        <v/>
      </c>
      <c r="CF94" s="0" t="str">
        <f aca="false">IF(BJ94="","",IFERROR(IF(INDEX(Macro_Lookup!$C$2:$C$31,MATCH(BJ94,Macro_Lookup!$A$2:$A$31,0))="","",INDEX(Macro_Lookup!$C$2:$C$31,MATCH(BJ94,Macro_Lookup!$A$2:$A$31,0))),""))</f>
        <v/>
      </c>
      <c r="CG94" s="0" t="n">
        <v>3</v>
      </c>
      <c r="CH94" s="3" t="s">
        <v>104</v>
      </c>
      <c r="CI94" s="3" t="s">
        <v>105</v>
      </c>
    </row>
    <row r="95" customFormat="false" ht="14.25" hidden="false" customHeight="false" outlineLevel="0" collapsed="false">
      <c r="A95" s="0" t="s">
        <v>530</v>
      </c>
      <c r="B95" s="0" t="s">
        <v>531</v>
      </c>
      <c r="C95" s="0" t="s">
        <v>89</v>
      </c>
      <c r="D95" s="0" t="s">
        <v>90</v>
      </c>
      <c r="E95" s="0" t="n">
        <v>0</v>
      </c>
      <c r="F95" s="0" t="s">
        <v>91</v>
      </c>
      <c r="I95" s="0" t="n">
        <v>2020</v>
      </c>
      <c r="K95" s="0" t="s">
        <v>92</v>
      </c>
      <c r="L95" s="2" t="n">
        <v>46295</v>
      </c>
      <c r="M95" s="3" t="n">
        <f aca="false">IF(I95="","",(YEAR(L95)-I95)*12+MONTH(L95)-IF(J95="",1,J95))</f>
        <v>80</v>
      </c>
      <c r="N95" s="3" t="n">
        <f aca="false">IF(M95="","",ROUND(M95/12,2))</f>
        <v>6.67</v>
      </c>
      <c r="O95" s="3" t="s">
        <v>532</v>
      </c>
      <c r="P95" s="3" t="s">
        <v>327</v>
      </c>
      <c r="Q95" s="3" t="s">
        <v>533</v>
      </c>
      <c r="R95" s="0" t="n">
        <v>0</v>
      </c>
      <c r="S95" s="0" t="n">
        <v>1</v>
      </c>
      <c r="T95" s="0" t="n">
        <v>0</v>
      </c>
      <c r="U95" s="0" t="n">
        <v>1</v>
      </c>
      <c r="V95" s="0" t="n">
        <v>0</v>
      </c>
      <c r="W95" s="0" t="n">
        <v>1</v>
      </c>
      <c r="X95" s="3" t="s">
        <v>469</v>
      </c>
      <c r="Y95" s="0" t="n">
        <v>3</v>
      </c>
      <c r="Z95" s="0" t="n">
        <v>1</v>
      </c>
      <c r="AA95" s="0" t="n">
        <v>1</v>
      </c>
      <c r="AB95" s="3" t="s">
        <v>534</v>
      </c>
      <c r="AF95" s="3" t="n">
        <f aca="false">IF(SUMIF(Founders_Clean!$A$2:$A$159,A95,Founders_Clean!$C$2:$C$159)=0,"",SUMIF(Founders_Clean!$A$2:$A$159,A95,Founders_Clean!$C$2:$C$159))</f>
        <v>2</v>
      </c>
      <c r="AG95" s="3" t="n">
        <f aca="false">IF(AF95="","",SUMIF(Founders_Clean!$A$2:$A$159,A95,Founders_Clean!$D$2:$D$159))</f>
        <v>1</v>
      </c>
      <c r="AH95" s="3" t="n">
        <f aca="false">IF(AF95="","",SUMIF(Founders_Clean!$A$2:$A$159,A95,Founders_Clean!$E$2:$E$159))</f>
        <v>1</v>
      </c>
      <c r="AI95" s="3" t="n">
        <f aca="false">IF(AF95="","",IF((AG95+AH95)=0,"",AH95/(AG95+AH95)))</f>
        <v>0.5</v>
      </c>
      <c r="AJ95" s="3" t="n">
        <f aca="false">IF(AI95="","",IF(AH95&gt;0,1,0))</f>
        <v>1</v>
      </c>
      <c r="AK95" s="3" t="n">
        <f aca="false">IF(AI95="","",ROUND(1-(AI95^2+(1-AI95)^2),3))</f>
        <v>0.5</v>
      </c>
      <c r="AM95" s="0" t="n">
        <v>1</v>
      </c>
      <c r="AN95" s="3" t="s">
        <v>147</v>
      </c>
      <c r="AR95" s="0" t="n">
        <v>6</v>
      </c>
      <c r="AS95" s="0" t="n">
        <v>6</v>
      </c>
      <c r="AT95" s="0" t="n">
        <v>5.5</v>
      </c>
      <c r="AU95" s="3" t="s">
        <v>155</v>
      </c>
      <c r="AV95" s="3" t="s">
        <v>122</v>
      </c>
      <c r="AX95" s="3" t="s">
        <v>101</v>
      </c>
      <c r="AY95" s="3" t="s">
        <v>102</v>
      </c>
      <c r="BA95" s="0" t="n">
        <v>0</v>
      </c>
      <c r="BB95" s="0" t="n">
        <v>0</v>
      </c>
      <c r="BC95" s="0" t="n">
        <v>0</v>
      </c>
      <c r="BF95" s="3" t="n">
        <f aca="false">IF(OR(I95="",BC95=""),"",IF(BC95=1,(BD95-I95)*12+IF(BE95="",7,BE95)-IF(J95="",1,J95),M95))</f>
        <v>80</v>
      </c>
      <c r="BG95" s="0" t="n">
        <v>1</v>
      </c>
      <c r="BI95" s="3" t="s">
        <v>109</v>
      </c>
      <c r="BK95" s="0" t="n">
        <v>1</v>
      </c>
      <c r="BL95" s="3" t="n">
        <f aca="false">COUNTIFS(Investments_Clean!$A$2:$A$150,A95,Investments_Clean!$F$2:$F$150,"Accepted")</f>
        <v>0</v>
      </c>
      <c r="BM95" s="0" t="str">
        <f aca="false">IF(BL95=0,"",IF((COUNTIFS(Investments_Clean!$A$2:$A$150,A95,Investments_Clean!$D$2:$D$150,"VC/PE",Investments_Clean!$F$2:$F$150,"Accepted"))&gt;0,1,0))</f>
        <v/>
      </c>
      <c r="BN95" s="0" t="str">
        <f aca="false">IF(BL95=0,"",IF((COUNTIFS(Investments_Clean!$A$2:$A$150,A95,Investments_Clean!$D$2:$D$150,"Angel",Investments_Clean!$F$2:$F$150,"Accepted"))&gt;0,1,0))</f>
        <v/>
      </c>
      <c r="BO95" s="0" t="str">
        <f aca="false">IF(BL95=0,"",IF((COUNTIFS(Investments_Clean!$A$2:$A$150,A95,Investments_Clean!$D$2:$D$150,"Accelerator",Investments_Clean!$F$2:$F$150,"Accepted"))&gt;0,1,0))</f>
        <v/>
      </c>
      <c r="BP95" s="0" t="str">
        <f aca="false">IF(BL95=0,"",IF((COUNTIFS(Investments_Clean!$A$2:$A$150,A95,Investments_Clean!$D$2:$D$150,"Corporate",Investments_Clean!$F$2:$F$150,"Accepted"))&gt;0,1,0))</f>
        <v/>
      </c>
      <c r="BQ95" s="0" t="str">
        <f aca="false">IF(BL95=0,"",IF((COUNTIFS(Investments_Clean!$A$2:$A$150,A95,Investments_Clean!$D$2:$D$150,"Government",Investments_Clean!$F$2:$F$150,"Accepted"))&gt;0,1,0))</f>
        <v/>
      </c>
      <c r="BR95" s="0" t="str">
        <f aca="false">IF(BL95=0,"",IF((COUNTIFS(Investments_Clean!$A$2:$A$150,A95,Investments_Clean!$D$2:$D$150,"Grant/Philanthropic",Investments_Clean!$F$2:$F$150,"Accepted")+COUNTIFS(Investments_Clean!$A$2:$A$150,A95,Investments_Clean!$D$2:$D$150,"DFI/Impact",Investments_Clean!$F$2:$F$150,"Accepted"))&gt;0,1,0))</f>
        <v/>
      </c>
      <c r="BT95" s="0" t="n">
        <v>15</v>
      </c>
      <c r="BU95" s="0" t="n">
        <v>15</v>
      </c>
      <c r="BV95" s="0" t="n">
        <v>1000</v>
      </c>
      <c r="BW95" s="0" t="n">
        <v>20</v>
      </c>
      <c r="BX95" s="0" t="n">
        <v>12</v>
      </c>
      <c r="CA95" s="0" t="n">
        <v>3</v>
      </c>
      <c r="CB95" s="0" t="n">
        <v>25</v>
      </c>
      <c r="CC95" s="0" t="str">
        <f aca="false">IF(I95="","",IFERROR(IF(INDEX(Macro_Lookup!$B$2:$B$31,MATCH(I95,Macro_Lookup!$A$2:$A$31,0))="","",INDEX(Macro_Lookup!$B$2:$B$31,MATCH(I95,Macro_Lookup!$A$2:$A$31,0))),""))</f>
        <v/>
      </c>
      <c r="CD95" s="0" t="str">
        <f aca="false">IF(I95="","",IFERROR(IF(INDEX(Macro_Lookup!$C$2:$C$31,MATCH(I95,Macro_Lookup!$A$2:$A$31,0))="","",INDEX(Macro_Lookup!$C$2:$C$31,MATCH(I95,Macro_Lookup!$A$2:$A$31,0))),""))</f>
        <v/>
      </c>
      <c r="CE95" s="0" t="str">
        <f aca="false">IF(BJ95="","",IFERROR(IF(INDEX(Macro_Lookup!$B$2:$B$31,MATCH(BJ95,Macro_Lookup!$A$2:$A$31,0))="","",INDEX(Macro_Lookup!$B$2:$B$31,MATCH(BJ95,Macro_Lookup!$A$2:$A$31,0))),""))</f>
        <v/>
      </c>
      <c r="CF95" s="0" t="str">
        <f aca="false">IF(BJ95="","",IFERROR(IF(INDEX(Macro_Lookup!$C$2:$C$31,MATCH(BJ95,Macro_Lookup!$A$2:$A$31,0))="","",INDEX(Macro_Lookup!$C$2:$C$31,MATCH(BJ95,Macro_Lookup!$A$2:$A$31,0))),""))</f>
        <v/>
      </c>
      <c r="CG95" s="0" t="n">
        <v>3</v>
      </c>
      <c r="CH95" s="3" t="s">
        <v>104</v>
      </c>
      <c r="CI95" s="3" t="s">
        <v>105</v>
      </c>
    </row>
    <row r="96" customFormat="false" ht="14.25" hidden="false" customHeight="false" outlineLevel="0" collapsed="false">
      <c r="A96" s="0" t="s">
        <v>535</v>
      </c>
      <c r="B96" s="0" t="s">
        <v>536</v>
      </c>
      <c r="C96" s="0" t="s">
        <v>89</v>
      </c>
      <c r="D96" s="0" t="s">
        <v>90</v>
      </c>
      <c r="E96" s="0" t="n">
        <v>0</v>
      </c>
      <c r="F96" s="0" t="s">
        <v>91</v>
      </c>
      <c r="I96" s="0" t="n">
        <v>2016</v>
      </c>
      <c r="K96" s="0" t="s">
        <v>92</v>
      </c>
      <c r="L96" s="2" t="n">
        <v>46295</v>
      </c>
      <c r="M96" s="3" t="n">
        <f aca="false">IF(I97="","",(YEAR(L97)-I97)*12+MONTH(L97)-IF(J97="",1,J97))</f>
        <v>356</v>
      </c>
      <c r="N96" s="3" t="n">
        <f aca="false">IF(M97="","",ROUND(M97/12,2))</f>
        <v>4.67</v>
      </c>
      <c r="O96" s="3" t="s">
        <v>537</v>
      </c>
      <c r="P96" s="3" t="s">
        <v>259</v>
      </c>
      <c r="Q96" s="3" t="s">
        <v>538</v>
      </c>
      <c r="R96" s="0" t="n">
        <v>0</v>
      </c>
      <c r="S96" s="0" t="n">
        <v>0</v>
      </c>
      <c r="T96" s="0" t="n">
        <v>1</v>
      </c>
      <c r="U96" s="0" t="n">
        <v>1</v>
      </c>
      <c r="V96" s="0" t="n">
        <v>0</v>
      </c>
      <c r="W96" s="0" t="n">
        <v>1</v>
      </c>
      <c r="X96" s="3" t="s">
        <v>469</v>
      </c>
      <c r="Y96" s="0" t="n">
        <v>3</v>
      </c>
      <c r="Z96" s="0" t="n">
        <v>1</v>
      </c>
      <c r="AA96" s="0" t="n">
        <v>1</v>
      </c>
      <c r="AB96" s="3" t="s">
        <v>539</v>
      </c>
      <c r="AF96" s="3" t="n">
        <f aca="false">IF(SUMIF(Founders_Clean!$A$2:$A$159,A97,Founders_Clean!$C$2:$C$159)=0,"",SUMIF(Founders_Clean!$A$2:$A$159,A97,Founders_Clean!$C$2:$C$159))</f>
        <v>1</v>
      </c>
      <c r="AG96" s="3" t="n">
        <f aca="false">IF(AF97="","",SUMIF(Founders_Clean!$A$2:$A$159,A97,Founders_Clean!$D$2:$D$159))</f>
        <v>1</v>
      </c>
      <c r="AH96" s="3" t="n">
        <f aca="false">IF(AF97="","",SUMIF(Founders_Clean!$A$2:$A$159,A97,Founders_Clean!$E$2:$E$159))</f>
        <v>0</v>
      </c>
      <c r="AI96" s="3" t="n">
        <f aca="false">IF(AF97="","",IF((AG97+AH97)=0,"",AH97/(AG97+AH97)))</f>
        <v>0</v>
      </c>
      <c r="AJ96" s="3" t="n">
        <f aca="false">IF(AI97="","",IF(AH97&gt;0,1,0))</f>
        <v>0</v>
      </c>
      <c r="AK96" s="3" t="n">
        <f aca="false">IF(AI97="","",ROUND(1-(AI97^2+(1-AI97)^2),3))</f>
        <v>0</v>
      </c>
      <c r="AM96" s="0" t="n">
        <v>1</v>
      </c>
      <c r="AN96" s="3" t="s">
        <v>147</v>
      </c>
      <c r="AO96" s="0" t="n">
        <v>1</v>
      </c>
      <c r="AP96" s="0" t="n">
        <v>1</v>
      </c>
      <c r="AR96" s="0" t="n">
        <v>15</v>
      </c>
      <c r="AS96" s="0" t="n">
        <v>15</v>
      </c>
      <c r="AT96" s="0" t="n">
        <v>350.5</v>
      </c>
      <c r="AU96" s="3" t="s">
        <v>121</v>
      </c>
      <c r="AV96" s="3" t="s">
        <v>122</v>
      </c>
      <c r="AX96" s="3" t="s">
        <v>101</v>
      </c>
      <c r="AY96" s="3" t="s">
        <v>102</v>
      </c>
      <c r="BA96" s="0" t="n">
        <v>0</v>
      </c>
      <c r="BB96" s="0" t="n">
        <v>0</v>
      </c>
      <c r="BC96" s="0" t="n">
        <v>0</v>
      </c>
      <c r="BF96" s="3" t="n">
        <f aca="false">IF(OR(I97="",BC97=""),"",IF(BC97=1,(BD97-I97)*12+IF(BE97="",7,BE97)-IF(J97="",1,J97),M97))</f>
        <v>56</v>
      </c>
      <c r="BG96" s="0" t="n">
        <v>1</v>
      </c>
      <c r="BI96" s="3" t="s">
        <v>109</v>
      </c>
      <c r="BK96" s="0" t="n">
        <v>1</v>
      </c>
      <c r="BL96" s="3" t="n">
        <f aca="false">COUNTIFS(Investments_Clean!$A$2:$A$150,A97,Investments_Clean!$F$2:$F$150,"Accepted")</f>
        <v>0</v>
      </c>
      <c r="BM96" s="0" t="str">
        <f aca="false">IF(BL97=0,"",IF((COUNTIFS(Investments_Clean!$A$2:$A$150,A97,Investments_Clean!$D$2:$D$150,"VC/PE",Investments_Clean!$F$2:$F$150,"Accepted"))&gt;0,1,0))</f>
        <v/>
      </c>
      <c r="BN96" s="0" t="str">
        <f aca="false">IF(BL97=0,"",IF((COUNTIFS(Investments_Clean!$A$2:$A$150,A97,Investments_Clean!$D$2:$D$150,"Angel",Investments_Clean!$F$2:$F$150,"Accepted"))&gt;0,1,0))</f>
        <v/>
      </c>
      <c r="BO96" s="0" t="str">
        <f aca="false">IF(BL97=0,"",IF((COUNTIFS(Investments_Clean!$A$2:$A$150,A97,Investments_Clean!$D$2:$D$150,"Accelerator",Investments_Clean!$F$2:$F$150,"Accepted"))&gt;0,1,0))</f>
        <v/>
      </c>
      <c r="BP96" s="0" t="str">
        <f aca="false">IF(BL97=0,"",IF((COUNTIFS(Investments_Clean!$A$2:$A$150,A97,Investments_Clean!$D$2:$D$150,"Corporate",Investments_Clean!$F$2:$F$150,"Accepted"))&gt;0,1,0))</f>
        <v/>
      </c>
      <c r="BQ96" s="0" t="str">
        <f aca="false">IF(BL97=0,"",IF((COUNTIFS(Investments_Clean!$A$2:$A$150,A97,Investments_Clean!$D$2:$D$150,"Government",Investments_Clean!$F$2:$F$150,"Accepted"))&gt;0,1,0))</f>
        <v/>
      </c>
      <c r="BR96" s="0" t="str">
        <f aca="false">IF(BL97=0,"",IF((COUNTIFS(Investments_Clean!$A$2:$A$150,A97,Investments_Clean!$D$2:$D$150,"Grant/Philanthropic",Investments_Clean!$F$2:$F$150,"Accepted")+COUNTIFS(Investments_Clean!$A$2:$A$150,A97,Investments_Clean!$D$2:$D$150,"DFI/Impact",Investments_Clean!$F$2:$F$150,"Accepted"))&gt;0,1,0))</f>
        <v/>
      </c>
      <c r="BT96" s="0" t="n">
        <v>35</v>
      </c>
      <c r="BU96" s="0" t="n">
        <v>15</v>
      </c>
      <c r="BV96" s="0" t="n">
        <v>185000</v>
      </c>
      <c r="BW96" s="0" t="n">
        <v>100</v>
      </c>
      <c r="BX96" s="0" t="n">
        <v>15</v>
      </c>
      <c r="BZ96" s="0" t="n">
        <v>4.1</v>
      </c>
      <c r="CA96" s="0" t="n">
        <v>3</v>
      </c>
      <c r="CB96" s="0" t="n">
        <v>74.2</v>
      </c>
      <c r="CC96" s="0" t="str">
        <f aca="false">IF(I97="","",IFERROR(IF(INDEX(Macro_Lookup!$B$2:$B$31,MATCH(I97,Macro_Lookup!$A$2:$A$31,0))="","",INDEX(Macro_Lookup!$B$2:$B$31,MATCH(I97,Macro_Lookup!$A$2:$A$31,0))),""))</f>
        <v/>
      </c>
      <c r="CD96" s="0" t="str">
        <f aca="false">IF(I97="","",IFERROR(IF(INDEX(Macro_Lookup!$C$2:$C$31,MATCH(I97,Macro_Lookup!$A$2:$A$31,0))="","",INDEX(Macro_Lookup!$C$2:$C$31,MATCH(I97,Macro_Lookup!$A$2:$A$31,0))),""))</f>
        <v/>
      </c>
      <c r="CE96" s="0" t="str">
        <f aca="false">IF(BJ97="","",IFERROR(IF(INDEX(Macro_Lookup!$B$2:$B$31,MATCH(BJ97,Macro_Lookup!$A$2:$A$31,0))="","",INDEX(Macro_Lookup!$B$2:$B$31,MATCH(BJ97,Macro_Lookup!$A$2:$A$31,0))),""))</f>
        <v/>
      </c>
      <c r="CF96" s="0" t="str">
        <f aca="false">IF(BJ97="","",IFERROR(IF(INDEX(Macro_Lookup!$C$2:$C$31,MATCH(BJ97,Macro_Lookup!$A$2:$A$31,0))="","",INDEX(Macro_Lookup!$C$2:$C$31,MATCH(BJ97,Macro_Lookup!$A$2:$A$31,0))),""))</f>
        <v/>
      </c>
      <c r="CG96" s="0" t="n">
        <v>2</v>
      </c>
      <c r="CH96" s="3" t="s">
        <v>104</v>
      </c>
      <c r="CI96" s="3" t="s">
        <v>105</v>
      </c>
    </row>
    <row r="97" customFormat="false" ht="14.25" hidden="false" customHeight="false" outlineLevel="0" collapsed="false">
      <c r="A97" s="0" t="s">
        <v>540</v>
      </c>
      <c r="B97" s="0" t="s">
        <v>541</v>
      </c>
      <c r="C97" s="0" t="s">
        <v>89</v>
      </c>
      <c r="D97" s="0" t="s">
        <v>90</v>
      </c>
      <c r="E97" s="0" t="n">
        <v>0</v>
      </c>
      <c r="F97" s="0" t="s">
        <v>526</v>
      </c>
      <c r="I97" s="0" t="n">
        <v>1997</v>
      </c>
      <c r="K97" s="0" t="s">
        <v>92</v>
      </c>
      <c r="L97" s="2" t="n">
        <v>46295</v>
      </c>
      <c r="M97" s="3" t="n">
        <f aca="false">IF(I98="","",(YEAR(L98)-I98)*12+MONTH(L98)-IF(J98="",1,J98))</f>
        <v>56</v>
      </c>
      <c r="N97" s="3" t="n">
        <f aca="false">IF(M98="","",ROUND(M98/12,2))</f>
        <v>6.67</v>
      </c>
      <c r="O97" s="3" t="s">
        <v>542</v>
      </c>
      <c r="P97" s="3" t="s">
        <v>259</v>
      </c>
      <c r="Q97" s="3" t="s">
        <v>543</v>
      </c>
      <c r="R97" s="0" t="n">
        <v>1</v>
      </c>
      <c r="S97" s="0" t="n">
        <v>0</v>
      </c>
      <c r="T97" s="0" t="n">
        <v>0</v>
      </c>
      <c r="U97" s="0" t="n">
        <v>0</v>
      </c>
      <c r="V97" s="0" t="n">
        <v>0</v>
      </c>
      <c r="W97" s="0" t="n">
        <v>0</v>
      </c>
      <c r="X97" s="3" t="s">
        <v>469</v>
      </c>
      <c r="Y97" s="0" t="n">
        <v>3</v>
      </c>
      <c r="Z97" s="0" t="n">
        <v>1</v>
      </c>
      <c r="AA97" s="0" t="n">
        <v>0</v>
      </c>
      <c r="AB97" s="3" t="s">
        <v>544</v>
      </c>
      <c r="AF97" s="3" t="n">
        <f aca="false">IF(SUMIF(Founders_Clean!$A$2:$A$159,A98,Founders_Clean!$C$2:$C$159)=0,"",SUMIF(Founders_Clean!$A$2:$A$159,A98,Founders_Clean!$C$2:$C$159))</f>
        <v>1</v>
      </c>
      <c r="AG97" s="3" t="n">
        <f aca="false">IF(AF98="","",SUMIF(Founders_Clean!$A$2:$A$159,A98,Founders_Clean!$D$2:$D$159))</f>
        <v>1</v>
      </c>
      <c r="AH97" s="3" t="n">
        <f aca="false">IF(AF98="","",SUMIF(Founders_Clean!$A$2:$A$159,A98,Founders_Clean!$E$2:$E$159))</f>
        <v>0</v>
      </c>
      <c r="AI97" s="3" t="n">
        <f aca="false">IF(AF98="","",IF((AG98+AH98)=0,"",AH98/(AG98+AH98)))</f>
        <v>0</v>
      </c>
      <c r="AJ97" s="3" t="n">
        <f aca="false">IF(AI98="","",IF(AH98&gt;0,1,0))</f>
        <v>0</v>
      </c>
      <c r="AK97" s="3" t="n">
        <f aca="false">IF(AI98="","",ROUND(1-(AI98^2+(1-AI98)^2),3))</f>
        <v>0</v>
      </c>
      <c r="AM97" s="0" t="n">
        <v>2</v>
      </c>
      <c r="AN97" s="3" t="s">
        <v>98</v>
      </c>
      <c r="AR97" s="0" t="n">
        <v>35</v>
      </c>
      <c r="AS97" s="0" t="n">
        <v>35</v>
      </c>
      <c r="AT97" s="0" t="n">
        <v>2500</v>
      </c>
      <c r="AU97" s="3" t="s">
        <v>99</v>
      </c>
      <c r="AV97" s="3" t="s">
        <v>122</v>
      </c>
      <c r="AX97" s="3" t="s">
        <v>101</v>
      </c>
      <c r="AY97" s="3" t="s">
        <v>102</v>
      </c>
      <c r="BA97" s="0" t="n">
        <v>0</v>
      </c>
      <c r="BB97" s="0" t="n">
        <v>0</v>
      </c>
      <c r="BC97" s="0" t="n">
        <v>0</v>
      </c>
      <c r="BF97" s="3" t="n">
        <f aca="false">IF(OR(I98="",BC98=""),"",IF(BC98=1,(BD98-I98)*12+IF(BE98="",7,BE98)-IF(J98="",1,J98),M98))</f>
        <v>29</v>
      </c>
      <c r="BG97" s="0" t="n">
        <v>1</v>
      </c>
      <c r="BH97" s="0" t="n">
        <v>140000000</v>
      </c>
      <c r="BI97" s="3" t="s">
        <v>103</v>
      </c>
      <c r="BK97" s="0" t="n">
        <v>1</v>
      </c>
      <c r="BL97" s="3" t="n">
        <f aca="false">COUNTIFS(Investments_Clean!$A$2:$A$150,A98,Investments_Clean!$F$2:$F$150,"Accepted")</f>
        <v>0</v>
      </c>
      <c r="BM97" s="3" t="n">
        <f aca="false">IF(BL98=0,"",IF((COUNTIFS(Investments_Clean!$A$2:$A$150,A98,Investments_Clean!$D$2:$D$150,"VC/PE",Investments_Clean!$F$2:$F$150,"Accepted"))&gt;0,1,0))</f>
        <v>0</v>
      </c>
      <c r="BN97" s="3" t="n">
        <f aca="false">IF(BL98=0,"",IF((COUNTIFS(Investments_Clean!$A$2:$A$150,A98,Investments_Clean!$D$2:$D$150,"Angel",Investments_Clean!$F$2:$F$150,"Accepted"))&gt;0,1,0))</f>
        <v>0</v>
      </c>
      <c r="BO97" s="3" t="n">
        <f aca="false">IF(BL98=0,"",IF((COUNTIFS(Investments_Clean!$A$2:$A$150,A98,Investments_Clean!$D$2:$D$150,"Accelerator",Investments_Clean!$F$2:$F$150,"Accepted"))&gt;0,1,0))</f>
        <v>0</v>
      </c>
      <c r="BP97" s="3" t="n">
        <f aca="false">IF(BL98=0,"",IF((COUNTIFS(Investments_Clean!$A$2:$A$150,A98,Investments_Clean!$D$2:$D$150,"Corporate",Investments_Clean!$F$2:$F$150,"Accepted"))&gt;0,1,0))</f>
        <v>0</v>
      </c>
      <c r="BQ97" s="3" t="n">
        <f aca="false">IF(BL98=0,"",IF((COUNTIFS(Investments_Clean!$A$2:$A$150,A98,Investments_Clean!$D$2:$D$150,"Government",Investments_Clean!$F$2:$F$150,"Accepted"))&gt;0,1,0))</f>
        <v>0</v>
      </c>
      <c r="BR97" s="3" t="n">
        <f aca="false">IF(BL98=0,"",IF((COUNTIFS(Investments_Clean!$A$2:$A$150,A98,Investments_Clean!$D$2:$D$150,"Grant/Philanthropic",Investments_Clean!$F$2:$F$150,"Accepted")+COUNTIFS(Investments_Clean!$A$2:$A$150,A98,Investments_Clean!$D$2:$D$150,"DFI/Impact",Investments_Clean!$F$2:$F$150,"Accepted"))&gt;0,1,0))</f>
        <v>0</v>
      </c>
      <c r="BT97" s="0" t="n">
        <v>5</v>
      </c>
      <c r="BU97" s="0" t="n">
        <v>1</v>
      </c>
      <c r="BV97" s="0" t="n">
        <v>3750005</v>
      </c>
      <c r="BW97" s="0" t="n">
        <v>1000</v>
      </c>
      <c r="BX97" s="0" t="n">
        <v>3</v>
      </c>
      <c r="BZ97" s="0" t="n">
        <v>4.4</v>
      </c>
      <c r="CA97" s="0" t="n">
        <v>3</v>
      </c>
      <c r="CB97" s="0" t="n">
        <v>70</v>
      </c>
      <c r="CC97" s="0" t="str">
        <f aca="false">IF(I98="","",IFERROR(IF(INDEX(Macro_Lookup!$B$2:$B$31,MATCH(I98,Macro_Lookup!$A$2:$A$31,0))="","",INDEX(Macro_Lookup!$B$2:$B$31,MATCH(I98,Macro_Lookup!$A$2:$A$31,0))),""))</f>
        <v/>
      </c>
      <c r="CD97" s="0" t="str">
        <f aca="false">IF(I98="","",IFERROR(IF(INDEX(Macro_Lookup!$C$2:$C$31,MATCH(I98,Macro_Lookup!$A$2:$A$31,0))="","",INDEX(Macro_Lookup!$C$2:$C$31,MATCH(I98,Macro_Lookup!$A$2:$A$31,0))),""))</f>
        <v/>
      </c>
      <c r="CE97" s="0" t="str">
        <f aca="false">IF(BJ98="","",IFERROR(IF(INDEX(Macro_Lookup!$B$2:$B$31,MATCH(BJ98,Macro_Lookup!$A$2:$A$31,0))="","",INDEX(Macro_Lookup!$B$2:$B$31,MATCH(BJ98,Macro_Lookup!$A$2:$A$31,0))),""))</f>
        <v/>
      </c>
      <c r="CF97" s="0" t="str">
        <f aca="false">IF(BJ98="","",IFERROR(IF(INDEX(Macro_Lookup!$C$2:$C$31,MATCH(BJ98,Macro_Lookup!$A$2:$A$31,0))="","",INDEX(Macro_Lookup!$C$2:$C$31,MATCH(BJ98,Macro_Lookup!$A$2:$A$31,0))),""))</f>
        <v/>
      </c>
      <c r="CG97" s="0" t="n">
        <v>3</v>
      </c>
      <c r="CH97" s="3" t="s">
        <v>104</v>
      </c>
      <c r="CI97" s="3" t="s">
        <v>105</v>
      </c>
    </row>
    <row r="98" customFormat="false" ht="14.25" hidden="false" customHeight="false" outlineLevel="0" collapsed="false">
      <c r="A98" s="0" t="s">
        <v>545</v>
      </c>
      <c r="B98" s="0" t="s">
        <v>546</v>
      </c>
      <c r="C98" s="0" t="s">
        <v>89</v>
      </c>
      <c r="D98" s="0" t="s">
        <v>90</v>
      </c>
      <c r="E98" s="0" t="n">
        <v>0</v>
      </c>
      <c r="F98" s="0" t="s">
        <v>91</v>
      </c>
      <c r="I98" s="0" t="n">
        <v>2022</v>
      </c>
      <c r="K98" s="0" t="s">
        <v>92</v>
      </c>
      <c r="L98" s="2" t="n">
        <v>46295</v>
      </c>
      <c r="M98" s="3" t="n">
        <f aca="false">IF(I99="","",(YEAR(L99)-I99)*12+MONTH(L99)-IF(J99="",1,J99))</f>
        <v>80</v>
      </c>
      <c r="N98" s="3" t="n">
        <f aca="false">IF(M99="","",ROUND(M99/12,2))</f>
        <v>5.67</v>
      </c>
      <c r="O98" s="3" t="s">
        <v>158</v>
      </c>
      <c r="P98" s="3" t="s">
        <v>94</v>
      </c>
      <c r="Q98" s="3" t="s">
        <v>547</v>
      </c>
      <c r="R98" s="0" t="n">
        <v>1</v>
      </c>
      <c r="S98" s="0" t="n">
        <v>0</v>
      </c>
      <c r="T98" s="0" t="n">
        <v>0</v>
      </c>
      <c r="U98" s="0" t="n">
        <v>0</v>
      </c>
      <c r="V98" s="0" t="n">
        <v>0</v>
      </c>
      <c r="W98" s="0" t="n">
        <v>1</v>
      </c>
      <c r="X98" s="3" t="s">
        <v>469</v>
      </c>
      <c r="Y98" s="0" t="n">
        <v>3</v>
      </c>
      <c r="Z98" s="0" t="n">
        <v>1</v>
      </c>
      <c r="AA98" s="0" t="n">
        <v>1</v>
      </c>
      <c r="AB98" s="3" t="s">
        <v>548</v>
      </c>
      <c r="AF98" s="3" t="n">
        <f aca="false">IF(SUMIF(Founders_Clean!$A$2:$A$159,A99,Founders_Clean!$C$2:$C$159)=0,"",SUMIF(Founders_Clean!$A$2:$A$159,A99,Founders_Clean!$C$2:$C$159))</f>
        <v>2</v>
      </c>
      <c r="AG98" s="3" t="n">
        <f aca="false">IF(AF99="","",SUMIF(Founders_Clean!$A$2:$A$159,A99,Founders_Clean!$D$2:$D$159))</f>
        <v>2</v>
      </c>
      <c r="AH98" s="3" t="n">
        <f aca="false">IF(AF99="","",SUMIF(Founders_Clean!$A$2:$A$159,A99,Founders_Clean!$E$2:$E$159))</f>
        <v>0</v>
      </c>
      <c r="AI98" s="3" t="n">
        <f aca="false">IF(AF99="","",IF((AG99+AH99)=0,"",AH99/(AG99+AH99)))</f>
        <v>0</v>
      </c>
      <c r="AJ98" s="3" t="n">
        <f aca="false">IF(AI99="","",IF(AH99&gt;0,1,0))</f>
        <v>0</v>
      </c>
      <c r="AK98" s="3" t="n">
        <f aca="false">IF(AI99="","",ROUND(1-(AI99^2+(1-AI99)^2),3))</f>
        <v>0</v>
      </c>
      <c r="AM98" s="0" t="n">
        <v>1</v>
      </c>
      <c r="AN98" s="3" t="s">
        <v>147</v>
      </c>
      <c r="AR98" s="0" t="n">
        <v>4</v>
      </c>
      <c r="AS98" s="0" t="n">
        <v>4</v>
      </c>
      <c r="AT98" s="0" t="n">
        <v>30.5</v>
      </c>
      <c r="AU98" s="3" t="s">
        <v>161</v>
      </c>
      <c r="AV98" s="3" t="s">
        <v>122</v>
      </c>
      <c r="AX98" s="3" t="s">
        <v>142</v>
      </c>
      <c r="AY98" s="3" t="s">
        <v>102</v>
      </c>
      <c r="AZ98" s="3" t="s">
        <v>549</v>
      </c>
      <c r="BA98" s="0" t="n">
        <v>0</v>
      </c>
      <c r="BB98" s="0" t="n">
        <v>0</v>
      </c>
      <c r="BC98" s="0" t="n">
        <v>1</v>
      </c>
      <c r="BD98" s="0" t="n">
        <v>2024</v>
      </c>
      <c r="BE98" s="0" t="n">
        <v>6</v>
      </c>
      <c r="BF98" s="3" t="n">
        <f aca="false">IF(OR(I99="",BC99=""),"",IF(BC99=1,(BD99-I99)*12+IF(BE99="",7,BE99)-IF(J99="",1,J99),M99))</f>
        <v>68</v>
      </c>
      <c r="BG98" s="0" t="n">
        <v>1</v>
      </c>
      <c r="BI98" s="3" t="s">
        <v>109</v>
      </c>
      <c r="BK98" s="0" t="n">
        <v>1</v>
      </c>
      <c r="BL98" s="3" t="n">
        <f aca="false">COUNTIFS(Investments_Clean!$A$2:$A$150,A99,Investments_Clean!$F$2:$F$150,"Accepted")</f>
        <v>1</v>
      </c>
      <c r="BM98" s="0" t="str">
        <f aca="false">IF(BL99=0,"",IF((COUNTIFS(Investments_Clean!$A$2:$A$150,A99,Investments_Clean!$D$2:$D$150,"VC/PE",Investments_Clean!$F$2:$F$150,"Accepted"))&gt;0,1,0))</f>
        <v/>
      </c>
      <c r="BN98" s="0" t="str">
        <f aca="false">IF(BL99=0,"",IF((COUNTIFS(Investments_Clean!$A$2:$A$150,A99,Investments_Clean!$D$2:$D$150,"Angel",Investments_Clean!$F$2:$F$150,"Accepted"))&gt;0,1,0))</f>
        <v/>
      </c>
      <c r="BO98" s="0" t="str">
        <f aca="false">IF(BL99=0,"",IF((COUNTIFS(Investments_Clean!$A$2:$A$150,A99,Investments_Clean!$D$2:$D$150,"Accelerator",Investments_Clean!$F$2:$F$150,"Accepted"))&gt;0,1,0))</f>
        <v/>
      </c>
      <c r="BP98" s="0" t="str">
        <f aca="false">IF(BL99=0,"",IF((COUNTIFS(Investments_Clean!$A$2:$A$150,A99,Investments_Clean!$D$2:$D$150,"Corporate",Investments_Clean!$F$2:$F$150,"Accepted"))&gt;0,1,0))</f>
        <v/>
      </c>
      <c r="BQ98" s="0" t="str">
        <f aca="false">IF(BL99=0,"",IF((COUNTIFS(Investments_Clean!$A$2:$A$150,A99,Investments_Clean!$D$2:$D$150,"Government",Investments_Clean!$F$2:$F$150,"Accepted"))&gt;0,1,0))</f>
        <v/>
      </c>
      <c r="BR98" s="0" t="str">
        <f aca="false">IF(BL99=0,"",IF((COUNTIFS(Investments_Clean!$A$2:$A$150,A99,Investments_Clean!$D$2:$D$150,"Grant/Philanthropic",Investments_Clean!$F$2:$F$150,"Accepted")+COUNTIFS(Investments_Clean!$A$2:$A$150,A99,Investments_Clean!$D$2:$D$150,"DFI/Impact",Investments_Clean!$F$2:$F$150,"Accepted"))&gt;0,1,0))</f>
        <v/>
      </c>
      <c r="BT98" s="0" t="n">
        <v>0</v>
      </c>
      <c r="BU98" s="0" t="n">
        <v>0</v>
      </c>
      <c r="BV98" s="0" t="n">
        <v>0</v>
      </c>
      <c r="BW98" s="0" t="n">
        <v>5</v>
      </c>
      <c r="BX98" s="0" t="n">
        <v>0</v>
      </c>
      <c r="CA98" s="0" t="n">
        <v>3</v>
      </c>
      <c r="CB98" s="0" t="n">
        <v>5.8</v>
      </c>
      <c r="CC98" s="0" t="str">
        <f aca="false">IF(I99="","",IFERROR(IF(INDEX(Macro_Lookup!$B$2:$B$31,MATCH(I99,Macro_Lookup!$A$2:$A$31,0))="","",INDEX(Macro_Lookup!$B$2:$B$31,MATCH(I99,Macro_Lookup!$A$2:$A$31,0))),""))</f>
        <v/>
      </c>
      <c r="CD98" s="0" t="str">
        <f aca="false">IF(I99="","",IFERROR(IF(INDEX(Macro_Lookup!$C$2:$C$31,MATCH(I99,Macro_Lookup!$A$2:$A$31,0))="","",INDEX(Macro_Lookup!$C$2:$C$31,MATCH(I99,Macro_Lookup!$A$2:$A$31,0))),""))</f>
        <v/>
      </c>
      <c r="CE98" s="0" t="str">
        <f aca="false">IF(BJ99="","",IFERROR(IF(INDEX(Macro_Lookup!$B$2:$B$31,MATCH(BJ99,Macro_Lookup!$A$2:$A$31,0))="","",INDEX(Macro_Lookup!$B$2:$B$31,MATCH(BJ99,Macro_Lookup!$A$2:$A$31,0))),""))</f>
        <v/>
      </c>
      <c r="CF98" s="0" t="str">
        <f aca="false">IF(BJ99="","",IFERROR(IF(INDEX(Macro_Lookup!$C$2:$C$31,MATCH(BJ99,Macro_Lookup!$A$2:$A$31,0))="","",INDEX(Macro_Lookup!$C$2:$C$31,MATCH(BJ99,Macro_Lookup!$A$2:$A$31,0))),""))</f>
        <v/>
      </c>
      <c r="CG98" s="0" t="n">
        <v>3</v>
      </c>
      <c r="CH98" s="3" t="s">
        <v>104</v>
      </c>
      <c r="CI98" s="3" t="s">
        <v>105</v>
      </c>
    </row>
    <row r="99" customFormat="false" ht="14.25" hidden="false" customHeight="false" outlineLevel="0" collapsed="false">
      <c r="A99" s="0" t="s">
        <v>550</v>
      </c>
      <c r="B99" s="0" t="s">
        <v>551</v>
      </c>
      <c r="C99" s="0" t="s">
        <v>89</v>
      </c>
      <c r="D99" s="0" t="s">
        <v>90</v>
      </c>
      <c r="E99" s="0" t="n">
        <v>0</v>
      </c>
      <c r="F99" s="0" t="s">
        <v>91</v>
      </c>
      <c r="I99" s="0" t="n">
        <v>2020</v>
      </c>
      <c r="K99" s="0" t="s">
        <v>92</v>
      </c>
      <c r="L99" s="2" t="n">
        <v>46295</v>
      </c>
      <c r="M99" s="3" t="n">
        <f aca="false">IF(I100="","",(YEAR(L100)-I100)*12+MONTH(L100)-IF(J100="",1,J100))</f>
        <v>68</v>
      </c>
      <c r="N99" s="3" t="n">
        <f aca="false">IF(M100="","",ROUND(M100/12,2))</f>
        <v>16.67</v>
      </c>
      <c r="O99" s="3" t="s">
        <v>332</v>
      </c>
      <c r="P99" s="3" t="s">
        <v>327</v>
      </c>
      <c r="Q99" s="3" t="s">
        <v>552</v>
      </c>
      <c r="R99" s="0" t="n">
        <v>1</v>
      </c>
      <c r="S99" s="0" t="n">
        <v>0</v>
      </c>
      <c r="T99" s="0" t="n">
        <v>0</v>
      </c>
      <c r="U99" s="0" t="n">
        <v>0</v>
      </c>
      <c r="V99" s="0" t="n">
        <v>0</v>
      </c>
      <c r="W99" s="0" t="n">
        <v>1</v>
      </c>
      <c r="X99" s="3" t="s">
        <v>469</v>
      </c>
      <c r="Y99" s="0" t="n">
        <v>3</v>
      </c>
      <c r="Z99" s="0" t="n">
        <v>1</v>
      </c>
      <c r="AA99" s="0" t="n">
        <v>1</v>
      </c>
      <c r="AB99" s="3" t="s">
        <v>553</v>
      </c>
      <c r="AF99" s="3" t="n">
        <f aca="false">IF(SUMIF(Founders_Clean!$A$2:$A$159,A100,Founders_Clean!$C$2:$C$159)=0,"",SUMIF(Founders_Clean!$A$2:$A$159,A100,Founders_Clean!$C$2:$C$159))</f>
        <v>1</v>
      </c>
      <c r="AG99" s="3" t="n">
        <f aca="false">IF(AF100="","",SUMIF(Founders_Clean!$A$2:$A$159,A100,Founders_Clean!$D$2:$D$159))</f>
        <v>1</v>
      </c>
      <c r="AH99" s="3" t="n">
        <f aca="false">IF(AF100="","",SUMIF(Founders_Clean!$A$2:$A$159,A100,Founders_Clean!$E$2:$E$159))</f>
        <v>0</v>
      </c>
      <c r="AI99" s="3" t="n">
        <f aca="false">IF(AF100="","",IF((AG100+AH100)=0,"",AH100/(AG100+AH100)))</f>
        <v>0</v>
      </c>
      <c r="AJ99" s="0" t="str">
        <f aca="false">IF(AI100="","",IF(AH100&gt;0,1,0))</f>
        <v/>
      </c>
      <c r="AK99" s="0" t="str">
        <f aca="false">IF(AI100="","",ROUND(1-(AI100^2+(1-AI100)^2),3))</f>
        <v/>
      </c>
      <c r="AM99" s="0" t="n">
        <v>1</v>
      </c>
      <c r="AN99" s="3" t="s">
        <v>147</v>
      </c>
      <c r="AO99" s="0" t="n">
        <v>1</v>
      </c>
      <c r="AP99" s="0" t="n">
        <v>1</v>
      </c>
      <c r="AR99" s="0" t="n">
        <v>6</v>
      </c>
      <c r="AS99" s="0" t="n">
        <v>6</v>
      </c>
      <c r="AT99" s="0" t="n">
        <v>30.5</v>
      </c>
      <c r="AU99" s="3" t="s">
        <v>161</v>
      </c>
      <c r="AV99" s="3" t="s">
        <v>122</v>
      </c>
      <c r="AX99" s="3" t="s">
        <v>101</v>
      </c>
      <c r="AY99" s="3" t="s">
        <v>102</v>
      </c>
      <c r="BA99" s="0" t="n">
        <v>0</v>
      </c>
      <c r="BB99" s="0" t="n">
        <v>0</v>
      </c>
      <c r="BC99" s="0" t="n">
        <v>0</v>
      </c>
      <c r="BF99" s="3" t="n">
        <f aca="false">IF(OR(I100="",BC100=""),"",IF(BC100=1,(BD100-I100)*12+IF(BE100="",7,BE100)-IF(J100="",1,J100),M100))</f>
        <v>200</v>
      </c>
      <c r="BG99" s="0" t="n">
        <v>1</v>
      </c>
      <c r="BI99" s="3" t="s">
        <v>109</v>
      </c>
      <c r="BK99" s="0" t="n">
        <v>1</v>
      </c>
      <c r="BL99" s="3" t="n">
        <f aca="false">COUNTIFS(Investments_Clean!$A$2:$A$150,A100,Investments_Clean!$F$2:$F$150,"Accepted")</f>
        <v>0</v>
      </c>
      <c r="BM99" s="0" t="str">
        <f aca="false">IF(BL100=0,"",IF((COUNTIFS(Investments_Clean!$A$2:$A$150,A100,Investments_Clean!$D$2:$D$150,"VC/PE",Investments_Clean!$F$2:$F$150,"Accepted"))&gt;0,1,0))</f>
        <v/>
      </c>
      <c r="BN99" s="0" t="str">
        <f aca="false">IF(BL100=0,"",IF((COUNTIFS(Investments_Clean!$A$2:$A$150,A100,Investments_Clean!$D$2:$D$150,"Angel",Investments_Clean!$F$2:$F$150,"Accepted"))&gt;0,1,0))</f>
        <v/>
      </c>
      <c r="BO99" s="0" t="str">
        <f aca="false">IF(BL100=0,"",IF((COUNTIFS(Investments_Clean!$A$2:$A$150,A100,Investments_Clean!$D$2:$D$150,"Accelerator",Investments_Clean!$F$2:$F$150,"Accepted"))&gt;0,1,0))</f>
        <v/>
      </c>
      <c r="BP99" s="0" t="str">
        <f aca="false">IF(BL100=0,"",IF((COUNTIFS(Investments_Clean!$A$2:$A$150,A100,Investments_Clean!$D$2:$D$150,"Corporate",Investments_Clean!$F$2:$F$150,"Accepted"))&gt;0,1,0))</f>
        <v/>
      </c>
      <c r="BQ99" s="0" t="str">
        <f aca="false">IF(BL100=0,"",IF((COUNTIFS(Investments_Clean!$A$2:$A$150,A100,Investments_Clean!$D$2:$D$150,"Government",Investments_Clean!$F$2:$F$150,"Accepted"))&gt;0,1,0))</f>
        <v/>
      </c>
      <c r="BR99" s="0" t="str">
        <f aca="false">IF(BL100=0,"",IF((COUNTIFS(Investments_Clean!$A$2:$A$150,A100,Investments_Clean!$D$2:$D$150,"Grant/Philanthropic",Investments_Clean!$F$2:$F$150,"Accepted")+COUNTIFS(Investments_Clean!$A$2:$A$150,A100,Investments_Clean!$D$2:$D$150,"DFI/Impact",Investments_Clean!$F$2:$F$150,"Accepted"))&gt;0,1,0))</f>
        <v/>
      </c>
      <c r="BT99" s="0" t="n">
        <v>40</v>
      </c>
      <c r="BU99" s="0" t="n">
        <v>25</v>
      </c>
      <c r="BV99" s="0" t="n">
        <v>7500</v>
      </c>
      <c r="BW99" s="0" t="n">
        <v>22.5</v>
      </c>
      <c r="BX99" s="0" t="n">
        <v>15</v>
      </c>
      <c r="CA99" s="0" t="n">
        <v>3</v>
      </c>
      <c r="CB99" s="0" t="n">
        <v>39.2</v>
      </c>
      <c r="CC99" s="0" t="str">
        <f aca="false">IF(I100="","",IFERROR(IF(INDEX(Macro_Lookup!$B$2:$B$31,MATCH(I100,Macro_Lookup!$A$2:$A$31,0))="","",INDEX(Macro_Lookup!$B$2:$B$31,MATCH(I100,Macro_Lookup!$A$2:$A$31,0))),""))</f>
        <v/>
      </c>
      <c r="CD99" s="0" t="str">
        <f aca="false">IF(I100="","",IFERROR(IF(INDEX(Macro_Lookup!$C$2:$C$31,MATCH(I100,Macro_Lookup!$A$2:$A$31,0))="","",INDEX(Macro_Lookup!$C$2:$C$31,MATCH(I100,Macro_Lookup!$A$2:$A$31,0))),""))</f>
        <v/>
      </c>
      <c r="CE99" s="0" t="str">
        <f aca="false">IF(BJ100="","",IFERROR(IF(INDEX(Macro_Lookup!$B$2:$B$31,MATCH(BJ100,Macro_Lookup!$A$2:$A$31,0))="","",INDEX(Macro_Lookup!$B$2:$B$31,MATCH(BJ100,Macro_Lookup!$A$2:$A$31,0))),""))</f>
        <v/>
      </c>
      <c r="CF99" s="0" t="str">
        <f aca="false">IF(BJ100="","",IFERROR(IF(INDEX(Macro_Lookup!$C$2:$C$31,MATCH(BJ100,Macro_Lookup!$A$2:$A$31,0))="","",INDEX(Macro_Lookup!$C$2:$C$31,MATCH(BJ100,Macro_Lookup!$A$2:$A$31,0))),""))</f>
        <v/>
      </c>
      <c r="CG99" s="0" t="n">
        <v>2</v>
      </c>
      <c r="CH99" s="3" t="s">
        <v>104</v>
      </c>
      <c r="CI99" s="3" t="s">
        <v>105</v>
      </c>
    </row>
    <row r="100" customFormat="false" ht="14.25" hidden="false" customHeight="false" outlineLevel="0" collapsed="false">
      <c r="A100" s="0" t="s">
        <v>554</v>
      </c>
      <c r="B100" s="0" t="s">
        <v>555</v>
      </c>
      <c r="C100" s="0" t="s">
        <v>89</v>
      </c>
      <c r="D100" s="0" t="s">
        <v>90</v>
      </c>
      <c r="E100" s="0" t="n">
        <v>0</v>
      </c>
      <c r="F100" s="0" t="s">
        <v>112</v>
      </c>
      <c r="I100" s="0" t="n">
        <v>2021</v>
      </c>
      <c r="K100" s="0" t="s">
        <v>92</v>
      </c>
      <c r="L100" s="2" t="n">
        <v>46295</v>
      </c>
      <c r="M100" s="3" t="n">
        <f aca="false">IF(I101="","",(YEAR(L101)-I101)*12+MONTH(L101)-IF(J101="",1,J101))</f>
        <v>200</v>
      </c>
      <c r="N100" s="3" t="n">
        <f aca="false">IF(M101="","",ROUND(M101/12,2))</f>
        <v>16.67</v>
      </c>
      <c r="O100" s="3" t="s">
        <v>332</v>
      </c>
      <c r="P100" s="3" t="s">
        <v>327</v>
      </c>
      <c r="Q100" s="3" t="s">
        <v>556</v>
      </c>
      <c r="R100" s="0" t="n">
        <v>0</v>
      </c>
      <c r="S100" s="0" t="n">
        <v>0</v>
      </c>
      <c r="T100" s="0" t="n">
        <v>0</v>
      </c>
      <c r="U100" s="0" t="n">
        <v>0</v>
      </c>
      <c r="V100" s="0" t="n">
        <v>0</v>
      </c>
      <c r="W100" s="0" t="n">
        <v>1</v>
      </c>
      <c r="X100" s="3" t="s">
        <v>469</v>
      </c>
      <c r="Y100" s="0" t="n">
        <v>3</v>
      </c>
      <c r="Z100" s="0" t="n">
        <v>1</v>
      </c>
      <c r="AA100" s="0" t="n">
        <v>0</v>
      </c>
      <c r="AB100" s="3" t="s">
        <v>557</v>
      </c>
      <c r="AF100" s="3" t="n">
        <f aca="false">IF(SUMIF(Founders_Clean!$A$2:$A$159,A101,Founders_Clean!$C$2:$C$159)=0,"",SUMIF(Founders_Clean!$A$2:$A$159,A101,Founders_Clean!$C$2:$C$159))</f>
        <v>2</v>
      </c>
      <c r="AG100" s="3" t="n">
        <f aca="false">IF(AF101="","",SUMIF(Founders_Clean!$A$2:$A$159,A101,Founders_Clean!$D$2:$D$159))</f>
        <v>1</v>
      </c>
      <c r="AH100" s="3" t="n">
        <f aca="false">IF(AF101="","",SUMIF(Founders_Clean!$A$2:$A$159,A101,Founders_Clean!$E$2:$E$159))</f>
        <v>0</v>
      </c>
      <c r="AI100" s="0" t="str">
        <f aca="false">IF(AF101="","",IF((AG101+AH101)=0,"",AH101/(AG101+AH101)))</f>
        <v/>
      </c>
      <c r="AJ100" s="0" t="str">
        <f aca="false">IF(AI101="","",IF(AH101&gt;0,1,0))</f>
        <v/>
      </c>
      <c r="AK100" s="0" t="str">
        <f aca="false">IF(AI101="","",ROUND(1-(AI101^2+(1-AI101)^2),3))</f>
        <v/>
      </c>
      <c r="AM100" s="0" t="n">
        <v>2</v>
      </c>
      <c r="AN100" s="3" t="s">
        <v>98</v>
      </c>
      <c r="AO100" s="0" t="n">
        <v>1</v>
      </c>
      <c r="AP100" s="0" t="n">
        <v>1</v>
      </c>
      <c r="AR100" s="0" t="n">
        <v>30</v>
      </c>
      <c r="AS100" s="0" t="n">
        <v>30</v>
      </c>
      <c r="AT100" s="0" t="n">
        <v>125.5</v>
      </c>
      <c r="AU100" s="3" t="s">
        <v>130</v>
      </c>
      <c r="AV100" s="3" t="s">
        <v>122</v>
      </c>
      <c r="AX100" s="3" t="s">
        <v>101</v>
      </c>
      <c r="AY100" s="3" t="s">
        <v>102</v>
      </c>
      <c r="BA100" s="0" t="n">
        <v>0</v>
      </c>
      <c r="BB100" s="0" t="n">
        <v>0</v>
      </c>
      <c r="BC100" s="0" t="n">
        <v>0</v>
      </c>
      <c r="BF100" s="3" t="n">
        <f aca="false">IF(OR(I101="",BC101=""),"",IF(BC101=1,(BD101-I101)*12+IF(BE101="",7,BE101)-IF(J101="",1,J101),M101))</f>
        <v>200</v>
      </c>
      <c r="BG100" s="0" t="n">
        <v>1</v>
      </c>
      <c r="BI100" s="3" t="s">
        <v>109</v>
      </c>
      <c r="BK100" s="0" t="n">
        <v>0</v>
      </c>
      <c r="BL100" s="3" t="n">
        <f aca="false">COUNTIFS(Investments_Clean!$A$2:$A$150,A101,Investments_Clean!$F$2:$F$150,"Accepted")</f>
        <v>0</v>
      </c>
      <c r="BM100" s="0" t="str">
        <f aca="false">IF(BL101=0,"",IF((COUNTIFS(Investments_Clean!$A$2:$A$150,A101,Investments_Clean!$D$2:$D$150,"VC/PE",Investments_Clean!$F$2:$F$150,"Accepted"))&gt;0,1,0))</f>
        <v/>
      </c>
      <c r="BN100" s="0" t="str">
        <f aca="false">IF(BL101=0,"",IF((COUNTIFS(Investments_Clean!$A$2:$A$150,A101,Investments_Clean!$D$2:$D$150,"Angel",Investments_Clean!$F$2:$F$150,"Accepted"))&gt;0,1,0))</f>
        <v/>
      </c>
      <c r="BO100" s="0" t="str">
        <f aca="false">IF(BL101=0,"",IF((COUNTIFS(Investments_Clean!$A$2:$A$150,A101,Investments_Clean!$D$2:$D$150,"Accelerator",Investments_Clean!$F$2:$F$150,"Accepted"))&gt;0,1,0))</f>
        <v/>
      </c>
      <c r="BP100" s="0" t="str">
        <f aca="false">IF(BL101=0,"",IF((COUNTIFS(Investments_Clean!$A$2:$A$150,A101,Investments_Clean!$D$2:$D$150,"Corporate",Investments_Clean!$F$2:$F$150,"Accepted"))&gt;0,1,0))</f>
        <v/>
      </c>
      <c r="BQ100" s="0" t="str">
        <f aca="false">IF(BL101=0,"",IF((COUNTIFS(Investments_Clean!$A$2:$A$150,A101,Investments_Clean!$D$2:$D$150,"Government",Investments_Clean!$F$2:$F$150,"Accepted"))&gt;0,1,0))</f>
        <v/>
      </c>
      <c r="BR100" s="0" t="str">
        <f aca="false">IF(BL101=0,"",IF((COUNTIFS(Investments_Clean!$A$2:$A$150,A101,Investments_Clean!$D$2:$D$150,"Grant/Philanthropic",Investments_Clean!$F$2:$F$150,"Accepted")+COUNTIFS(Investments_Clean!$A$2:$A$150,A101,Investments_Clean!$D$2:$D$150,"DFI/Impact",Investments_Clean!$F$2:$F$150,"Accepted"))&gt;0,1,0))</f>
        <v/>
      </c>
      <c r="BT100" s="0" t="n">
        <v>30</v>
      </c>
      <c r="BU100" s="0" t="n">
        <v>15</v>
      </c>
      <c r="BV100" s="0" t="n">
        <v>15000</v>
      </c>
      <c r="BW100" s="0" t="n">
        <v>32.5</v>
      </c>
      <c r="BX100" s="0" t="n">
        <v>20</v>
      </c>
      <c r="BZ100" s="0" t="n">
        <v>3.9</v>
      </c>
      <c r="CA100" s="0" t="n">
        <v>3</v>
      </c>
      <c r="CB100" s="0" t="n">
        <v>58.3</v>
      </c>
      <c r="CC100" s="0" t="str">
        <f aca="false">IF(I101="","",IFERROR(IF(INDEX(Macro_Lookup!$B$2:$B$31,MATCH(I101,Macro_Lookup!$A$2:$A$31,0))="","",INDEX(Macro_Lookup!$B$2:$B$31,MATCH(I101,Macro_Lookup!$A$2:$A$31,0))),""))</f>
        <v/>
      </c>
      <c r="CD100" s="0" t="str">
        <f aca="false">IF(I101="","",IFERROR(IF(INDEX(Macro_Lookup!$C$2:$C$31,MATCH(I101,Macro_Lookup!$A$2:$A$31,0))="","",INDEX(Macro_Lookup!$C$2:$C$31,MATCH(I101,Macro_Lookup!$A$2:$A$31,0))),""))</f>
        <v/>
      </c>
      <c r="CE100" s="0" t="str">
        <f aca="false">IF(BJ101="","",IFERROR(IF(INDEX(Macro_Lookup!$B$2:$B$31,MATCH(BJ101,Macro_Lookup!$A$2:$A$31,0))="","",INDEX(Macro_Lookup!$B$2:$B$31,MATCH(BJ101,Macro_Lookup!$A$2:$A$31,0))),""))</f>
        <v/>
      </c>
      <c r="CF100" s="0" t="str">
        <f aca="false">IF(BJ101="","",IFERROR(IF(INDEX(Macro_Lookup!$C$2:$C$31,MATCH(BJ101,Macro_Lookup!$A$2:$A$31,0))="","",INDEX(Macro_Lookup!$C$2:$C$31,MATCH(BJ101,Macro_Lookup!$A$2:$A$31,0))),""))</f>
        <v/>
      </c>
      <c r="CG100" s="0" t="n">
        <v>2</v>
      </c>
      <c r="CH100" s="3" t="s">
        <v>104</v>
      </c>
      <c r="CI100" s="3" t="s">
        <v>105</v>
      </c>
    </row>
    <row r="101" customFormat="false" ht="14.25" hidden="false" customHeight="false" outlineLevel="0" collapsed="false">
      <c r="A101" s="0" t="s">
        <v>558</v>
      </c>
      <c r="B101" s="0" t="s">
        <v>559</v>
      </c>
      <c r="C101" s="0" t="s">
        <v>560</v>
      </c>
      <c r="D101" s="0" t="s">
        <v>561</v>
      </c>
      <c r="F101" s="0" t="s">
        <v>91</v>
      </c>
      <c r="I101" s="0" t="n">
        <v>2010</v>
      </c>
      <c r="K101" s="0" t="s">
        <v>562</v>
      </c>
      <c r="L101" s="4" t="n">
        <v>46295</v>
      </c>
      <c r="M101" s="0" t="n">
        <v>200</v>
      </c>
      <c r="N101" s="0" t="n">
        <v>16.67</v>
      </c>
      <c r="P101" s="3" t="s">
        <v>210</v>
      </c>
      <c r="Q101" s="3" t="s">
        <v>563</v>
      </c>
      <c r="S101" s="0" t="n">
        <v>1</v>
      </c>
      <c r="T101" s="0" t="n">
        <v>1</v>
      </c>
      <c r="Y101" s="0" t="n">
        <v>3</v>
      </c>
      <c r="Z101" s="0" t="n">
        <v>1</v>
      </c>
      <c r="AF101" s="0" t="n">
        <v>2</v>
      </c>
      <c r="AM101" s="0" t="n">
        <v>2</v>
      </c>
      <c r="AN101" s="3" t="s">
        <v>564</v>
      </c>
      <c r="AO101" s="0" t="n">
        <v>1</v>
      </c>
      <c r="AX101" s="3" t="s">
        <v>101</v>
      </c>
      <c r="AY101" s="3" t="s">
        <v>565</v>
      </c>
      <c r="AZ101" s="3" t="s">
        <v>566</v>
      </c>
      <c r="BC101" s="0" t="n">
        <v>0</v>
      </c>
      <c r="BF101" s="0" t="n">
        <v>200</v>
      </c>
      <c r="BG101" s="0" t="n">
        <v>1</v>
      </c>
      <c r="BK101" s="0" t="n">
        <v>1</v>
      </c>
      <c r="CC101" s="0" t="n">
        <v>8.49758470165625</v>
      </c>
      <c r="CD101" s="0" t="n">
        <v>11.9893899204244</v>
      </c>
      <c r="CG101" s="0" t="n">
        <v>6</v>
      </c>
      <c r="CH101" s="3" t="s">
        <v>567</v>
      </c>
      <c r="CI101" s="3" t="s">
        <v>568</v>
      </c>
    </row>
    <row r="102" customFormat="false" ht="14.25" hidden="false" customHeight="false" outlineLevel="0" collapsed="false">
      <c r="A102" s="0" t="s">
        <v>569</v>
      </c>
      <c r="B102" s="0" t="s">
        <v>570</v>
      </c>
      <c r="C102" s="0" t="s">
        <v>560</v>
      </c>
      <c r="D102" s="0" t="s">
        <v>561</v>
      </c>
      <c r="F102" s="0" t="s">
        <v>91</v>
      </c>
      <c r="I102" s="0" t="n">
        <v>2014</v>
      </c>
      <c r="K102" s="0" t="s">
        <v>562</v>
      </c>
      <c r="L102" s="4" t="n">
        <v>46295</v>
      </c>
      <c r="M102" s="0" t="n">
        <v>152</v>
      </c>
      <c r="N102" s="0" t="n">
        <v>12.67</v>
      </c>
      <c r="P102" s="3" t="s">
        <v>165</v>
      </c>
      <c r="Q102" s="3" t="s">
        <v>571</v>
      </c>
      <c r="S102" s="0" t="n">
        <v>1</v>
      </c>
      <c r="T102" s="0" t="n">
        <v>1</v>
      </c>
      <c r="W102" s="0" t="n">
        <v>1</v>
      </c>
      <c r="Y102" s="0" t="n">
        <v>3</v>
      </c>
      <c r="Z102" s="0" t="n">
        <v>1</v>
      </c>
      <c r="AF102" s="0" t="n">
        <v>3</v>
      </c>
      <c r="AM102" s="0" t="n">
        <v>3</v>
      </c>
      <c r="AN102" s="3" t="s">
        <v>572</v>
      </c>
      <c r="AO102" s="0" t="n">
        <v>1</v>
      </c>
      <c r="AQ102" s="0" t="n">
        <v>1</v>
      </c>
      <c r="AX102" s="3" t="s">
        <v>101</v>
      </c>
      <c r="AY102" s="3" t="s">
        <v>565</v>
      </c>
      <c r="AZ102" s="3" t="s">
        <v>573</v>
      </c>
      <c r="BC102" s="0" t="n">
        <v>0</v>
      </c>
      <c r="BF102" s="0" t="n">
        <v>152</v>
      </c>
      <c r="BG102" s="0" t="n">
        <v>1</v>
      </c>
      <c r="BK102" s="0" t="n">
        <v>1</v>
      </c>
      <c r="CC102" s="0" t="n">
        <v>7.41022760516977</v>
      </c>
      <c r="CD102" s="0" t="n">
        <v>6.66565671867899</v>
      </c>
      <c r="CG102" s="0" t="n">
        <v>5</v>
      </c>
      <c r="CH102" s="3" t="s">
        <v>574</v>
      </c>
      <c r="CI102" s="3" t="s">
        <v>568</v>
      </c>
    </row>
    <row r="103" customFormat="false" ht="14.25" hidden="false" customHeight="false" outlineLevel="0" collapsed="false">
      <c r="A103" s="0" t="s">
        <v>575</v>
      </c>
      <c r="B103" s="0" t="s">
        <v>576</v>
      </c>
      <c r="C103" s="0" t="s">
        <v>560</v>
      </c>
      <c r="D103" s="0" t="s">
        <v>577</v>
      </c>
      <c r="F103" s="0" t="s">
        <v>91</v>
      </c>
      <c r="I103" s="0" t="n">
        <v>2010</v>
      </c>
      <c r="K103" s="0" t="s">
        <v>562</v>
      </c>
      <c r="L103" s="4" t="n">
        <v>46295</v>
      </c>
      <c r="M103" s="0" t="n">
        <v>200</v>
      </c>
      <c r="N103" s="0" t="n">
        <v>16.67</v>
      </c>
      <c r="P103" s="3" t="s">
        <v>446</v>
      </c>
      <c r="Q103" s="3" t="s">
        <v>578</v>
      </c>
      <c r="R103" s="0" t="n">
        <v>1</v>
      </c>
      <c r="S103" s="0" t="n">
        <v>0</v>
      </c>
      <c r="T103" s="0" t="n">
        <v>0</v>
      </c>
      <c r="U103" s="0" t="n">
        <v>1</v>
      </c>
      <c r="V103" s="0" t="n">
        <v>0</v>
      </c>
      <c r="Y103" s="0" t="n">
        <v>3</v>
      </c>
      <c r="Z103" s="0" t="n">
        <v>1</v>
      </c>
      <c r="AF103" s="0" t="n">
        <v>2</v>
      </c>
      <c r="AX103" s="3" t="s">
        <v>101</v>
      </c>
      <c r="AY103" s="3" t="s">
        <v>565</v>
      </c>
      <c r="AZ103" s="3" t="s">
        <v>579</v>
      </c>
      <c r="BC103" s="0" t="n">
        <v>0</v>
      </c>
      <c r="BF103" s="0" t="n">
        <v>200</v>
      </c>
      <c r="BG103" s="0" t="n">
        <v>1</v>
      </c>
      <c r="BK103" s="0" t="n">
        <v>1</v>
      </c>
      <c r="CC103" s="0" t="n">
        <v>8.49758470165625</v>
      </c>
      <c r="CD103" s="0" t="n">
        <v>11.9893899204244</v>
      </c>
      <c r="CG103" s="0" t="n">
        <v>8</v>
      </c>
      <c r="CH103" s="3" t="s">
        <v>580</v>
      </c>
      <c r="CI103" s="3" t="s">
        <v>568</v>
      </c>
    </row>
    <row r="104" customFormat="false" ht="14.25" hidden="false" customHeight="false" outlineLevel="0" collapsed="false">
      <c r="A104" s="0" t="s">
        <v>581</v>
      </c>
      <c r="B104" s="0" t="s">
        <v>582</v>
      </c>
      <c r="C104" s="0" t="s">
        <v>560</v>
      </c>
      <c r="D104" s="0" t="s">
        <v>561</v>
      </c>
      <c r="F104" s="0" t="s">
        <v>91</v>
      </c>
      <c r="I104" s="0" t="n">
        <v>2014</v>
      </c>
      <c r="K104" s="0" t="s">
        <v>562</v>
      </c>
      <c r="L104" s="4" t="n">
        <v>46295</v>
      </c>
      <c r="M104" s="0" t="n">
        <v>152</v>
      </c>
      <c r="N104" s="0" t="n">
        <v>12.67</v>
      </c>
      <c r="P104" s="3" t="s">
        <v>94</v>
      </c>
      <c r="Q104" s="3" t="s">
        <v>583</v>
      </c>
      <c r="R104" s="0" t="n">
        <v>1</v>
      </c>
      <c r="S104" s="0" t="n">
        <v>0</v>
      </c>
      <c r="T104" s="0" t="n">
        <v>0</v>
      </c>
      <c r="Y104" s="0" t="n">
        <v>3</v>
      </c>
      <c r="Z104" s="0" t="n">
        <v>1</v>
      </c>
      <c r="AA104" s="0" t="n">
        <v>1</v>
      </c>
      <c r="AB104" s="3" t="s">
        <v>584</v>
      </c>
      <c r="AF104" s="0" t="n">
        <v>2</v>
      </c>
      <c r="AM104" s="0" t="n">
        <v>2</v>
      </c>
      <c r="AN104" s="3" t="s">
        <v>585</v>
      </c>
      <c r="AO104" s="0" t="n">
        <v>1</v>
      </c>
      <c r="AX104" s="3" t="s">
        <v>101</v>
      </c>
      <c r="AY104" s="3" t="s">
        <v>565</v>
      </c>
      <c r="AZ104" s="3" t="s">
        <v>586</v>
      </c>
      <c r="BC104" s="0" t="n">
        <v>0</v>
      </c>
      <c r="BF104" s="0" t="n">
        <v>152</v>
      </c>
      <c r="BG104" s="0" t="n">
        <v>1</v>
      </c>
      <c r="BK104" s="0" t="n">
        <v>1</v>
      </c>
      <c r="CC104" s="0" t="n">
        <v>7.41022760516977</v>
      </c>
      <c r="CD104" s="0" t="n">
        <v>6.66565671867899</v>
      </c>
      <c r="CG104" s="0" t="n">
        <v>5</v>
      </c>
      <c r="CH104" s="3" t="s">
        <v>587</v>
      </c>
      <c r="CI104" s="3" t="s">
        <v>568</v>
      </c>
    </row>
    <row r="105" customFormat="false" ht="14.25" hidden="false" customHeight="false" outlineLevel="0" collapsed="false">
      <c r="A105" s="0" t="s">
        <v>588</v>
      </c>
      <c r="B105" s="0" t="s">
        <v>589</v>
      </c>
      <c r="C105" s="0" t="s">
        <v>560</v>
      </c>
      <c r="D105" s="0" t="s">
        <v>561</v>
      </c>
      <c r="F105" s="0" t="s">
        <v>91</v>
      </c>
      <c r="I105" s="0" t="n">
        <v>2018</v>
      </c>
      <c r="K105" s="0" t="s">
        <v>562</v>
      </c>
      <c r="L105" s="4" t="n">
        <v>46295</v>
      </c>
      <c r="M105" s="0" t="n">
        <v>104</v>
      </c>
      <c r="N105" s="0" t="n">
        <v>8.67</v>
      </c>
      <c r="P105" s="3" t="s">
        <v>94</v>
      </c>
      <c r="Q105" s="3" t="s">
        <v>590</v>
      </c>
      <c r="S105" s="0" t="n">
        <v>1</v>
      </c>
      <c r="T105" s="0" t="n">
        <v>0</v>
      </c>
      <c r="Y105" s="0" t="n">
        <v>3</v>
      </c>
      <c r="Z105" s="0" t="n">
        <v>1</v>
      </c>
      <c r="AF105" s="0" t="n">
        <v>1</v>
      </c>
      <c r="AM105" s="0" t="n">
        <v>2</v>
      </c>
      <c r="AN105" s="3" t="s">
        <v>591</v>
      </c>
      <c r="AQ105" s="0" t="n">
        <v>1</v>
      </c>
      <c r="AX105" s="3" t="s">
        <v>101</v>
      </c>
      <c r="AY105" s="3" t="s">
        <v>565</v>
      </c>
      <c r="AZ105" s="3" t="s">
        <v>592</v>
      </c>
      <c r="BC105" s="0" t="n">
        <v>0</v>
      </c>
      <c r="BF105" s="0" t="n">
        <v>104</v>
      </c>
      <c r="BG105" s="0" t="n">
        <v>1</v>
      </c>
      <c r="BK105" s="0" t="n">
        <v>1</v>
      </c>
      <c r="CC105" s="0" t="n">
        <v>6.45385134495295</v>
      </c>
      <c r="CD105" s="0" t="n">
        <v>3.93882646691642</v>
      </c>
      <c r="CG105" s="0" t="n">
        <v>6</v>
      </c>
      <c r="CH105" s="3" t="s">
        <v>593</v>
      </c>
      <c r="CI105" s="3" t="s">
        <v>568</v>
      </c>
    </row>
    <row r="106" customFormat="false" ht="14.25" hidden="false" customHeight="false" outlineLevel="0" collapsed="false">
      <c r="A106" s="0" t="s">
        <v>594</v>
      </c>
      <c r="B106" s="0" t="s">
        <v>595</v>
      </c>
      <c r="C106" s="0" t="s">
        <v>560</v>
      </c>
      <c r="D106" s="0" t="s">
        <v>561</v>
      </c>
      <c r="F106" s="0" t="s">
        <v>91</v>
      </c>
      <c r="I106" s="0" t="n">
        <v>2015</v>
      </c>
      <c r="K106" s="0" t="s">
        <v>562</v>
      </c>
      <c r="L106" s="4" t="n">
        <v>46295</v>
      </c>
      <c r="M106" s="0" t="n">
        <v>140</v>
      </c>
      <c r="N106" s="0" t="n">
        <v>11.67</v>
      </c>
      <c r="P106" s="3" t="s">
        <v>165</v>
      </c>
      <c r="Q106" s="3" t="s">
        <v>596</v>
      </c>
      <c r="S106" s="0" t="n">
        <v>1</v>
      </c>
      <c r="T106" s="0" t="n">
        <v>1</v>
      </c>
      <c r="Y106" s="0" t="n">
        <v>3</v>
      </c>
      <c r="Z106" s="0" t="n">
        <v>1</v>
      </c>
      <c r="AA106" s="0" t="n">
        <v>1</v>
      </c>
      <c r="AB106" s="3" t="s">
        <v>167</v>
      </c>
      <c r="AF106" s="0" t="n">
        <v>2</v>
      </c>
      <c r="AO106" s="0" t="n">
        <v>1</v>
      </c>
      <c r="AX106" s="3" t="s">
        <v>101</v>
      </c>
      <c r="AY106" s="3" t="s">
        <v>565</v>
      </c>
      <c r="AZ106" s="3" t="s">
        <v>597</v>
      </c>
      <c r="BC106" s="0" t="n">
        <v>0</v>
      </c>
      <c r="BF106" s="0" t="n">
        <v>140</v>
      </c>
      <c r="BG106" s="0" t="n">
        <v>1</v>
      </c>
      <c r="BK106" s="0" t="n">
        <v>1</v>
      </c>
      <c r="CC106" s="0" t="n">
        <v>7.99625378567987</v>
      </c>
      <c r="CD106" s="0" t="n">
        <v>4.90697344127249</v>
      </c>
      <c r="CG106" s="0" t="n">
        <v>6</v>
      </c>
      <c r="CH106" s="3" t="s">
        <v>598</v>
      </c>
      <c r="CI106" s="3" t="s">
        <v>568</v>
      </c>
    </row>
    <row r="107" customFormat="false" ht="14.25" hidden="false" customHeight="false" outlineLevel="0" collapsed="false">
      <c r="A107" s="0" t="s">
        <v>599</v>
      </c>
      <c r="B107" s="0" t="s">
        <v>600</v>
      </c>
      <c r="C107" s="0" t="s">
        <v>560</v>
      </c>
      <c r="D107" s="0" t="s">
        <v>601</v>
      </c>
      <c r="F107" s="0" t="s">
        <v>91</v>
      </c>
      <c r="I107" s="0" t="n">
        <v>2015</v>
      </c>
      <c r="K107" s="0" t="s">
        <v>562</v>
      </c>
      <c r="L107" s="4" t="n">
        <v>46295</v>
      </c>
      <c r="M107" s="0" t="n">
        <v>140</v>
      </c>
      <c r="N107" s="0" t="n">
        <v>11.67</v>
      </c>
      <c r="P107" s="3" t="s">
        <v>327</v>
      </c>
      <c r="Q107" s="3" t="s">
        <v>602</v>
      </c>
      <c r="S107" s="0" t="n">
        <v>1</v>
      </c>
      <c r="T107" s="0" t="n">
        <v>1</v>
      </c>
      <c r="Y107" s="0" t="n">
        <v>3</v>
      </c>
      <c r="Z107" s="0" t="n">
        <v>1</v>
      </c>
      <c r="AF107" s="0" t="n">
        <v>5</v>
      </c>
      <c r="AX107" s="3" t="s">
        <v>101</v>
      </c>
      <c r="AY107" s="3" t="s">
        <v>565</v>
      </c>
      <c r="AZ107" s="3" t="s">
        <v>603</v>
      </c>
      <c r="BC107" s="0" t="n">
        <v>0</v>
      </c>
      <c r="BF107" s="0" t="n">
        <v>140</v>
      </c>
      <c r="BG107" s="0" t="n">
        <v>1</v>
      </c>
      <c r="BK107" s="0" t="n">
        <v>1</v>
      </c>
      <c r="CC107" s="0" t="n">
        <v>7.99625378567987</v>
      </c>
      <c r="CD107" s="0" t="n">
        <v>4.90697344127249</v>
      </c>
      <c r="CG107" s="0" t="n">
        <v>8</v>
      </c>
      <c r="CH107" s="3" t="s">
        <v>604</v>
      </c>
      <c r="CI107" s="3" t="s">
        <v>568</v>
      </c>
    </row>
    <row r="108" customFormat="false" ht="14.25" hidden="false" customHeight="false" outlineLevel="0" collapsed="false">
      <c r="A108" s="0" t="s">
        <v>605</v>
      </c>
      <c r="B108" s="0" t="s">
        <v>606</v>
      </c>
      <c r="C108" s="0" t="s">
        <v>560</v>
      </c>
      <c r="D108" s="0" t="s">
        <v>607</v>
      </c>
      <c r="F108" s="0" t="s">
        <v>91</v>
      </c>
      <c r="I108" s="0" t="n">
        <v>2010</v>
      </c>
      <c r="K108" s="0" t="s">
        <v>562</v>
      </c>
      <c r="L108" s="4" t="n">
        <v>46295</v>
      </c>
      <c r="M108" s="0" t="n">
        <v>200</v>
      </c>
      <c r="N108" s="0" t="n">
        <v>16.67</v>
      </c>
      <c r="P108" s="3" t="s">
        <v>165</v>
      </c>
      <c r="Q108" s="3" t="s">
        <v>608</v>
      </c>
      <c r="S108" s="0" t="n">
        <v>1</v>
      </c>
      <c r="T108" s="0" t="n">
        <v>0</v>
      </c>
      <c r="V108" s="0" t="n">
        <v>0</v>
      </c>
      <c r="Y108" s="0" t="n">
        <v>3</v>
      </c>
      <c r="Z108" s="0" t="n">
        <v>1</v>
      </c>
      <c r="AF108" s="0" t="n">
        <v>3</v>
      </c>
      <c r="AM108" s="0" t="n">
        <v>2</v>
      </c>
      <c r="AN108" s="3" t="s">
        <v>609</v>
      </c>
      <c r="AO108" s="0" t="n">
        <v>1</v>
      </c>
      <c r="AQ108" s="0" t="n">
        <v>1</v>
      </c>
      <c r="AX108" s="3" t="s">
        <v>101</v>
      </c>
      <c r="AY108" s="3" t="s">
        <v>565</v>
      </c>
      <c r="AZ108" s="3" t="s">
        <v>610</v>
      </c>
      <c r="BC108" s="0" t="n">
        <v>0</v>
      </c>
      <c r="BF108" s="0" t="n">
        <v>200</v>
      </c>
      <c r="BG108" s="0" t="n">
        <v>1</v>
      </c>
      <c r="BK108" s="0" t="n">
        <v>1</v>
      </c>
      <c r="CC108" s="0" t="n">
        <v>8.49758470165625</v>
      </c>
      <c r="CD108" s="0" t="n">
        <v>11.9893899204244</v>
      </c>
      <c r="CG108" s="0" t="n">
        <v>5</v>
      </c>
      <c r="CH108" s="3" t="s">
        <v>611</v>
      </c>
      <c r="CI108" s="3" t="s">
        <v>568</v>
      </c>
    </row>
    <row r="109" customFormat="false" ht="14.25" hidden="false" customHeight="false" outlineLevel="0" collapsed="false">
      <c r="A109" s="0" t="s">
        <v>612</v>
      </c>
      <c r="B109" s="0" t="s">
        <v>613</v>
      </c>
      <c r="C109" s="0" t="s">
        <v>560</v>
      </c>
      <c r="D109" s="0" t="s">
        <v>601</v>
      </c>
      <c r="F109" s="0" t="s">
        <v>91</v>
      </c>
      <c r="I109" s="0" t="n">
        <v>2012</v>
      </c>
      <c r="K109" s="0" t="s">
        <v>562</v>
      </c>
      <c r="L109" s="4" t="n">
        <v>46295</v>
      </c>
      <c r="M109" s="0" t="n">
        <v>176</v>
      </c>
      <c r="N109" s="0" t="n">
        <v>14.67</v>
      </c>
      <c r="P109" s="3" t="s">
        <v>165</v>
      </c>
      <c r="Q109" s="3" t="s">
        <v>614</v>
      </c>
      <c r="S109" s="0" t="n">
        <v>1</v>
      </c>
      <c r="T109" s="0" t="n">
        <v>0</v>
      </c>
      <c r="Y109" s="0" t="n">
        <v>3</v>
      </c>
      <c r="Z109" s="0" t="n">
        <v>1</v>
      </c>
      <c r="AF109" s="0" t="n">
        <v>1</v>
      </c>
      <c r="AX109" s="3" t="s">
        <v>101</v>
      </c>
      <c r="AY109" s="3" t="s">
        <v>565</v>
      </c>
      <c r="AZ109" s="3" t="s">
        <v>615</v>
      </c>
      <c r="BC109" s="0" t="n">
        <v>0</v>
      </c>
      <c r="BF109" s="0" t="n">
        <v>176</v>
      </c>
      <c r="BG109" s="0" t="n">
        <v>1</v>
      </c>
      <c r="BK109" s="0" t="n">
        <v>1</v>
      </c>
      <c r="CC109" s="0" t="n">
        <v>5.45638755164772</v>
      </c>
      <c r="CD109" s="0" t="n">
        <v>9.47899691419792</v>
      </c>
      <c r="CG109" s="0" t="n">
        <v>8</v>
      </c>
      <c r="CH109" s="3" t="s">
        <v>616</v>
      </c>
      <c r="CI109" s="3" t="s">
        <v>568</v>
      </c>
    </row>
    <row r="110" customFormat="false" ht="14.25" hidden="false" customHeight="false" outlineLevel="0" collapsed="false">
      <c r="A110" s="0" t="s">
        <v>617</v>
      </c>
      <c r="B110" s="0" t="s">
        <v>618</v>
      </c>
      <c r="C110" s="0" t="s">
        <v>560</v>
      </c>
      <c r="D110" s="0" t="s">
        <v>619</v>
      </c>
      <c r="F110" s="0" t="s">
        <v>91</v>
      </c>
      <c r="I110" s="0" t="n">
        <v>2010</v>
      </c>
      <c r="K110" s="0" t="s">
        <v>562</v>
      </c>
      <c r="L110" s="4" t="n">
        <v>46295</v>
      </c>
      <c r="M110" s="0" t="n">
        <v>200</v>
      </c>
      <c r="N110" s="0" t="n">
        <v>16.67</v>
      </c>
      <c r="P110" s="3" t="s">
        <v>94</v>
      </c>
      <c r="Q110" s="3" t="s">
        <v>620</v>
      </c>
      <c r="R110" s="0" t="n">
        <v>1</v>
      </c>
      <c r="S110" s="0" t="n">
        <v>1</v>
      </c>
      <c r="Y110" s="0" t="n">
        <v>3</v>
      </c>
      <c r="Z110" s="0" t="n">
        <v>1</v>
      </c>
      <c r="AF110" s="0" t="n">
        <v>1</v>
      </c>
      <c r="AM110" s="0" t="n">
        <v>2</v>
      </c>
      <c r="AN110" s="3" t="s">
        <v>621</v>
      </c>
      <c r="AO110" s="0" t="n">
        <v>1</v>
      </c>
      <c r="AX110" s="3" t="s">
        <v>101</v>
      </c>
      <c r="AY110" s="3" t="s">
        <v>565</v>
      </c>
      <c r="AZ110" s="3" t="s">
        <v>622</v>
      </c>
      <c r="BC110" s="0" t="n">
        <v>0</v>
      </c>
      <c r="BF110" s="0" t="n">
        <v>200</v>
      </c>
      <c r="BG110" s="0" t="n">
        <v>1</v>
      </c>
      <c r="BK110" s="0" t="n">
        <v>1</v>
      </c>
      <c r="CC110" s="0" t="n">
        <v>8.49758470165625</v>
      </c>
      <c r="CD110" s="0" t="n">
        <v>11.9893899204244</v>
      </c>
      <c r="CG110" s="0" t="n">
        <v>6</v>
      </c>
      <c r="CH110" s="3" t="s">
        <v>623</v>
      </c>
      <c r="CI110" s="3" t="s">
        <v>568</v>
      </c>
    </row>
    <row r="111" customFormat="false" ht="14.25" hidden="false" customHeight="false" outlineLevel="0" collapsed="false">
      <c r="A111" s="0" t="s">
        <v>624</v>
      </c>
      <c r="B111" s="0" t="s">
        <v>625</v>
      </c>
      <c r="C111" s="0" t="s">
        <v>560</v>
      </c>
      <c r="D111" s="0" t="s">
        <v>626</v>
      </c>
      <c r="F111" s="0" t="s">
        <v>91</v>
      </c>
      <c r="I111" s="0" t="n">
        <v>2013</v>
      </c>
      <c r="K111" s="0" t="s">
        <v>562</v>
      </c>
      <c r="L111" s="4" t="n">
        <v>46295</v>
      </c>
      <c r="M111" s="0" t="n">
        <v>164</v>
      </c>
      <c r="N111" s="0" t="n">
        <v>13.67</v>
      </c>
      <c r="P111" s="3" t="s">
        <v>259</v>
      </c>
      <c r="Q111" s="3" t="s">
        <v>627</v>
      </c>
      <c r="S111" s="0" t="n">
        <v>1</v>
      </c>
      <c r="T111" s="0" t="n">
        <v>0</v>
      </c>
      <c r="V111" s="0" t="n">
        <v>1</v>
      </c>
      <c r="Y111" s="0" t="n">
        <v>3</v>
      </c>
      <c r="Z111" s="0" t="n">
        <v>1</v>
      </c>
      <c r="AF111" s="0" t="n">
        <v>2</v>
      </c>
      <c r="AX111" s="3" t="s">
        <v>101</v>
      </c>
      <c r="AY111" s="3" t="s">
        <v>565</v>
      </c>
      <c r="AZ111" s="3" t="s">
        <v>628</v>
      </c>
      <c r="BC111" s="0" t="n">
        <v>0</v>
      </c>
      <c r="BF111" s="0" t="n">
        <v>164</v>
      </c>
      <c r="BG111" s="0" t="n">
        <v>1</v>
      </c>
      <c r="BK111" s="0" t="n">
        <v>1</v>
      </c>
      <c r="CC111" s="0" t="n">
        <v>6.38610640091713</v>
      </c>
      <c r="CD111" s="0" t="n">
        <v>10.0178784746104</v>
      </c>
      <c r="CG111" s="0" t="n">
        <v>8</v>
      </c>
      <c r="CH111" s="3" t="s">
        <v>629</v>
      </c>
      <c r="CI111" s="3" t="s">
        <v>568</v>
      </c>
    </row>
    <row r="112" customFormat="false" ht="14.25" hidden="false" customHeight="false" outlineLevel="0" collapsed="false">
      <c r="A112" s="0" t="s">
        <v>630</v>
      </c>
      <c r="B112" s="0" t="s">
        <v>631</v>
      </c>
      <c r="C112" s="0" t="s">
        <v>560</v>
      </c>
      <c r="D112" s="0" t="s">
        <v>632</v>
      </c>
      <c r="F112" s="0" t="s">
        <v>91</v>
      </c>
      <c r="I112" s="0" t="n">
        <v>2011</v>
      </c>
      <c r="K112" s="0" t="s">
        <v>562</v>
      </c>
      <c r="L112" s="4" t="n">
        <v>46295</v>
      </c>
      <c r="M112" s="0" t="n">
        <v>188</v>
      </c>
      <c r="N112" s="0" t="n">
        <v>15.67</v>
      </c>
      <c r="P112" s="3" t="s">
        <v>210</v>
      </c>
      <c r="Q112" s="3" t="s">
        <v>633</v>
      </c>
      <c r="R112" s="0" t="n">
        <v>1</v>
      </c>
      <c r="T112" s="0" t="n">
        <v>1</v>
      </c>
      <c r="Y112" s="0" t="n">
        <v>3</v>
      </c>
      <c r="Z112" s="0" t="n">
        <v>1</v>
      </c>
      <c r="AF112" s="0" t="n">
        <v>5</v>
      </c>
      <c r="AO112" s="0" t="n">
        <v>1</v>
      </c>
      <c r="AX112" s="3" t="s">
        <v>101</v>
      </c>
      <c r="AY112" s="3" t="s">
        <v>565</v>
      </c>
      <c r="AZ112" s="3" t="s">
        <v>634</v>
      </c>
      <c r="BC112" s="0" t="n">
        <v>0</v>
      </c>
      <c r="BF112" s="0" t="n">
        <v>188</v>
      </c>
      <c r="BG112" s="0" t="n">
        <v>1</v>
      </c>
      <c r="BK112" s="0" t="n">
        <v>1</v>
      </c>
      <c r="CC112" s="0" t="n">
        <v>5.24131620024293</v>
      </c>
      <c r="CD112" s="0" t="n">
        <v>8.9117933648336</v>
      </c>
      <c r="CG112" s="0" t="n">
        <v>7</v>
      </c>
      <c r="CH112" s="3" t="s">
        <v>635</v>
      </c>
      <c r="CI112" s="3" t="s">
        <v>568</v>
      </c>
    </row>
    <row r="113" customFormat="false" ht="14.25" hidden="false" customHeight="false" outlineLevel="0" collapsed="false">
      <c r="A113" s="0" t="s">
        <v>636</v>
      </c>
      <c r="B113" s="0" t="s">
        <v>637</v>
      </c>
      <c r="C113" s="0" t="s">
        <v>560</v>
      </c>
      <c r="D113" s="0" t="s">
        <v>638</v>
      </c>
      <c r="F113" s="0" t="s">
        <v>91</v>
      </c>
      <c r="I113" s="0" t="n">
        <v>2013</v>
      </c>
      <c r="K113" s="0" t="s">
        <v>562</v>
      </c>
      <c r="L113" s="4" t="n">
        <v>46295</v>
      </c>
      <c r="M113" s="0" t="n">
        <v>164</v>
      </c>
      <c r="N113" s="0" t="n">
        <v>13.67</v>
      </c>
      <c r="P113" s="3" t="s">
        <v>210</v>
      </c>
      <c r="Q113" s="3" t="s">
        <v>639</v>
      </c>
      <c r="S113" s="0" t="n">
        <v>1</v>
      </c>
      <c r="T113" s="0" t="n">
        <v>1</v>
      </c>
      <c r="W113" s="0" t="n">
        <v>1</v>
      </c>
      <c r="Y113" s="0" t="n">
        <v>3</v>
      </c>
      <c r="Z113" s="0" t="n">
        <v>1</v>
      </c>
      <c r="AF113" s="0" t="n">
        <v>1</v>
      </c>
      <c r="AM113" s="0" t="n">
        <v>1</v>
      </c>
      <c r="AN113" s="3" t="s">
        <v>640</v>
      </c>
      <c r="AX113" s="3" t="s">
        <v>101</v>
      </c>
      <c r="AY113" s="3" t="s">
        <v>565</v>
      </c>
      <c r="AZ113" s="3" t="s">
        <v>641</v>
      </c>
      <c r="BC113" s="0" t="n">
        <v>0</v>
      </c>
      <c r="BF113" s="0" t="n">
        <v>164</v>
      </c>
      <c r="BG113" s="0" t="n">
        <v>1</v>
      </c>
      <c r="BK113" s="0" t="n">
        <v>1</v>
      </c>
      <c r="CC113" s="0" t="n">
        <v>6.38610640091713</v>
      </c>
      <c r="CD113" s="0" t="n">
        <v>10.0178784746104</v>
      </c>
      <c r="CG113" s="0" t="n">
        <v>7</v>
      </c>
      <c r="CH113" s="3" t="s">
        <v>642</v>
      </c>
      <c r="CI113" s="3" t="s">
        <v>568</v>
      </c>
    </row>
    <row r="114" customFormat="false" ht="14.25" hidden="false" customHeight="false" outlineLevel="0" collapsed="false">
      <c r="A114" s="0" t="s">
        <v>643</v>
      </c>
      <c r="B114" s="0" t="s">
        <v>644</v>
      </c>
      <c r="C114" s="0" t="s">
        <v>560</v>
      </c>
      <c r="D114" s="0" t="s">
        <v>638</v>
      </c>
      <c r="F114" s="0" t="s">
        <v>91</v>
      </c>
      <c r="I114" s="0" t="n">
        <v>2014</v>
      </c>
      <c r="K114" s="0" t="s">
        <v>562</v>
      </c>
      <c r="L114" s="4" t="n">
        <v>46295</v>
      </c>
      <c r="M114" s="0" t="n">
        <v>152</v>
      </c>
      <c r="N114" s="0" t="n">
        <v>12.67</v>
      </c>
      <c r="P114" s="3" t="s">
        <v>259</v>
      </c>
      <c r="Q114" s="3" t="s">
        <v>645</v>
      </c>
      <c r="S114" s="0" t="n">
        <v>1</v>
      </c>
      <c r="T114" s="0" t="n">
        <v>1</v>
      </c>
      <c r="Y114" s="0" t="n">
        <v>3</v>
      </c>
      <c r="Z114" s="0" t="n">
        <v>1</v>
      </c>
      <c r="AF114" s="0" t="n">
        <v>3</v>
      </c>
      <c r="AX114" s="3" t="s">
        <v>101</v>
      </c>
      <c r="AY114" s="3" t="s">
        <v>565</v>
      </c>
      <c r="AZ114" s="3" t="s">
        <v>646</v>
      </c>
      <c r="BC114" s="0" t="n">
        <v>0</v>
      </c>
      <c r="BF114" s="0" t="n">
        <v>152</v>
      </c>
      <c r="BG114" s="0" t="n">
        <v>1</v>
      </c>
      <c r="BK114" s="0" t="n">
        <v>1</v>
      </c>
      <c r="CC114" s="0" t="n">
        <v>7.41022760516977</v>
      </c>
      <c r="CD114" s="0" t="n">
        <v>6.66565671867899</v>
      </c>
      <c r="CG114" s="0" t="n">
        <v>8</v>
      </c>
      <c r="CH114" s="3" t="s">
        <v>647</v>
      </c>
      <c r="CI114" s="3" t="s">
        <v>568</v>
      </c>
    </row>
    <row r="115" customFormat="false" ht="14.25" hidden="false" customHeight="false" outlineLevel="0" collapsed="false">
      <c r="A115" s="0" t="s">
        <v>648</v>
      </c>
      <c r="B115" s="0" t="s">
        <v>649</v>
      </c>
      <c r="C115" s="0" t="s">
        <v>560</v>
      </c>
      <c r="D115" s="0" t="s">
        <v>561</v>
      </c>
      <c r="F115" s="0" t="s">
        <v>91</v>
      </c>
      <c r="I115" s="0" t="n">
        <v>2013</v>
      </c>
      <c r="K115" s="0" t="s">
        <v>562</v>
      </c>
      <c r="L115" s="4" t="n">
        <v>46295</v>
      </c>
      <c r="M115" s="0" t="n">
        <v>164</v>
      </c>
      <c r="N115" s="0" t="n">
        <v>13.67</v>
      </c>
      <c r="P115" s="3" t="s">
        <v>259</v>
      </c>
      <c r="Q115" s="3" t="s">
        <v>650</v>
      </c>
      <c r="S115" s="0" t="n">
        <v>1</v>
      </c>
      <c r="T115" s="0" t="n">
        <v>0</v>
      </c>
      <c r="V115" s="0" t="n">
        <v>1</v>
      </c>
      <c r="Y115" s="0" t="n">
        <v>3</v>
      </c>
      <c r="Z115" s="0" t="n">
        <v>1</v>
      </c>
      <c r="AF115" s="0" t="n">
        <v>2</v>
      </c>
      <c r="AM115" s="0" t="n">
        <v>2</v>
      </c>
      <c r="AN115" s="3" t="s">
        <v>651</v>
      </c>
      <c r="AO115" s="0" t="n">
        <v>1</v>
      </c>
      <c r="AX115" s="3" t="s">
        <v>101</v>
      </c>
      <c r="AY115" s="3" t="s">
        <v>565</v>
      </c>
      <c r="AZ115" s="3" t="s">
        <v>652</v>
      </c>
      <c r="BC115" s="0" t="n">
        <v>0</v>
      </c>
      <c r="BF115" s="0" t="n">
        <v>164</v>
      </c>
      <c r="BG115" s="0" t="n">
        <v>1</v>
      </c>
      <c r="BK115" s="0" t="n">
        <v>1</v>
      </c>
      <c r="CC115" s="0" t="n">
        <v>6.38610640091713</v>
      </c>
      <c r="CD115" s="0" t="n">
        <v>10.0178784746104</v>
      </c>
      <c r="CG115" s="0" t="n">
        <v>6</v>
      </c>
      <c r="CH115" s="3" t="s">
        <v>653</v>
      </c>
      <c r="CI115" s="3" t="s">
        <v>568</v>
      </c>
    </row>
    <row r="116" customFormat="false" ht="14.25" hidden="false" customHeight="false" outlineLevel="0" collapsed="false">
      <c r="A116" s="0" t="s">
        <v>654</v>
      </c>
      <c r="B116" s="0" t="s">
        <v>655</v>
      </c>
      <c r="C116" s="0" t="s">
        <v>560</v>
      </c>
      <c r="D116" s="0" t="s">
        <v>561</v>
      </c>
      <c r="F116" s="0" t="s">
        <v>91</v>
      </c>
      <c r="I116" s="0" t="n">
        <v>2016</v>
      </c>
      <c r="K116" s="0" t="s">
        <v>562</v>
      </c>
      <c r="L116" s="4" t="n">
        <v>46295</v>
      </c>
      <c r="M116" s="0" t="n">
        <v>128</v>
      </c>
      <c r="N116" s="0" t="n">
        <v>10.67</v>
      </c>
      <c r="P116" s="3" t="s">
        <v>94</v>
      </c>
      <c r="Q116" s="3" t="s">
        <v>656</v>
      </c>
      <c r="S116" s="0" t="n">
        <v>1</v>
      </c>
      <c r="T116" s="0" t="n">
        <v>0</v>
      </c>
      <c r="Y116" s="0" t="n">
        <v>3</v>
      </c>
      <c r="Z116" s="0" t="n">
        <v>1</v>
      </c>
      <c r="AF116" s="0" t="n">
        <v>4</v>
      </c>
      <c r="AX116" s="3" t="s">
        <v>101</v>
      </c>
      <c r="AY116" s="3" t="s">
        <v>565</v>
      </c>
      <c r="AZ116" s="3" t="s">
        <v>657</v>
      </c>
      <c r="BC116" s="0" t="n">
        <v>0</v>
      </c>
      <c r="BF116" s="0" t="n">
        <v>128</v>
      </c>
      <c r="BG116" s="0" t="n">
        <v>1</v>
      </c>
      <c r="BK116" s="0" t="n">
        <v>1</v>
      </c>
      <c r="CC116" s="0" t="n">
        <v>8.25630550176662</v>
      </c>
      <c r="CD116" s="0" t="n">
        <v>4.94821634062134</v>
      </c>
      <c r="CG116" s="0" t="n">
        <v>8</v>
      </c>
      <c r="CH116" s="3" t="s">
        <v>658</v>
      </c>
      <c r="CI116" s="3" t="s">
        <v>568</v>
      </c>
    </row>
    <row r="117" customFormat="false" ht="14.25" hidden="false" customHeight="false" outlineLevel="0" collapsed="false">
      <c r="A117" s="0" t="s">
        <v>659</v>
      </c>
      <c r="B117" s="0" t="s">
        <v>660</v>
      </c>
      <c r="C117" s="0" t="s">
        <v>560</v>
      </c>
      <c r="D117" s="0" t="s">
        <v>561</v>
      </c>
      <c r="F117" s="0" t="s">
        <v>91</v>
      </c>
      <c r="I117" s="0" t="n">
        <v>2015</v>
      </c>
      <c r="K117" s="0" t="s">
        <v>562</v>
      </c>
      <c r="L117" s="4" t="n">
        <v>46295</v>
      </c>
      <c r="M117" s="0" t="n">
        <v>140</v>
      </c>
      <c r="N117" s="0" t="n">
        <v>11.67</v>
      </c>
      <c r="P117" s="3" t="s">
        <v>267</v>
      </c>
      <c r="Q117" s="3" t="s">
        <v>661</v>
      </c>
      <c r="S117" s="0" t="n">
        <v>1</v>
      </c>
      <c r="U117" s="0" t="n">
        <v>1</v>
      </c>
      <c r="Y117" s="0" t="n">
        <v>3</v>
      </c>
      <c r="Z117" s="0" t="n">
        <v>1</v>
      </c>
      <c r="AF117" s="0" t="n">
        <v>3</v>
      </c>
      <c r="AX117" s="3" t="s">
        <v>101</v>
      </c>
      <c r="AY117" s="3" t="s">
        <v>565</v>
      </c>
      <c r="AZ117" s="3" t="s">
        <v>662</v>
      </c>
      <c r="BC117" s="0" t="n">
        <v>0</v>
      </c>
      <c r="BF117" s="0" t="n">
        <v>140</v>
      </c>
      <c r="BG117" s="0" t="n">
        <v>1</v>
      </c>
      <c r="BK117" s="0" t="n">
        <v>1</v>
      </c>
      <c r="CC117" s="0" t="n">
        <v>7.99625378567987</v>
      </c>
      <c r="CD117" s="0" t="n">
        <v>4.90697344127249</v>
      </c>
      <c r="CG117" s="0" t="n">
        <v>8</v>
      </c>
      <c r="CH117" s="3" t="s">
        <v>663</v>
      </c>
      <c r="CI117" s="3" t="s">
        <v>568</v>
      </c>
    </row>
    <row r="118" customFormat="false" ht="14.25" hidden="false" customHeight="false" outlineLevel="0" collapsed="false">
      <c r="A118" s="0" t="s">
        <v>664</v>
      </c>
      <c r="B118" s="0" t="s">
        <v>665</v>
      </c>
      <c r="C118" s="0" t="s">
        <v>560</v>
      </c>
      <c r="D118" s="0" t="s">
        <v>561</v>
      </c>
      <c r="F118" s="0" t="s">
        <v>91</v>
      </c>
      <c r="I118" s="0" t="n">
        <v>2011</v>
      </c>
      <c r="K118" s="0" t="s">
        <v>562</v>
      </c>
      <c r="L118" s="4" t="n">
        <v>46295</v>
      </c>
      <c r="M118" s="0" t="n">
        <v>188</v>
      </c>
      <c r="N118" s="0" t="n">
        <v>15.67</v>
      </c>
      <c r="P118" s="3" t="s">
        <v>267</v>
      </c>
      <c r="Q118" s="3" t="s">
        <v>666</v>
      </c>
      <c r="S118" s="0" t="n">
        <v>1</v>
      </c>
      <c r="Y118" s="0" t="n">
        <v>3</v>
      </c>
      <c r="Z118" s="0" t="n">
        <v>1</v>
      </c>
      <c r="AF118" s="0" t="n">
        <v>4</v>
      </c>
      <c r="AX118" s="3" t="s">
        <v>101</v>
      </c>
      <c r="AY118" s="3" t="s">
        <v>565</v>
      </c>
      <c r="AZ118" s="3" t="s">
        <v>667</v>
      </c>
      <c r="BC118" s="0" t="n">
        <v>0</v>
      </c>
      <c r="BF118" s="0" t="n">
        <v>188</v>
      </c>
      <c r="BG118" s="0" t="n">
        <v>1</v>
      </c>
      <c r="BK118" s="0" t="n">
        <v>1</v>
      </c>
      <c r="CC118" s="0" t="n">
        <v>5.24131620024293</v>
      </c>
      <c r="CD118" s="0" t="n">
        <v>8.9117933648336</v>
      </c>
      <c r="CG118" s="0" t="n">
        <v>8</v>
      </c>
      <c r="CH118" s="3" t="s">
        <v>668</v>
      </c>
      <c r="CI118" s="3" t="s">
        <v>568</v>
      </c>
    </row>
    <row r="119" customFormat="false" ht="14.25" hidden="false" customHeight="false" outlineLevel="0" collapsed="false">
      <c r="A119" s="0" t="s">
        <v>669</v>
      </c>
      <c r="B119" s="0" t="s">
        <v>670</v>
      </c>
      <c r="C119" s="0" t="s">
        <v>560</v>
      </c>
      <c r="D119" s="0" t="s">
        <v>638</v>
      </c>
      <c r="F119" s="0" t="s">
        <v>91</v>
      </c>
      <c r="I119" s="0" t="n">
        <v>2016</v>
      </c>
      <c r="K119" s="0" t="s">
        <v>562</v>
      </c>
      <c r="L119" s="4" t="n">
        <v>46295</v>
      </c>
      <c r="M119" s="0" t="n">
        <v>128</v>
      </c>
      <c r="N119" s="0" t="n">
        <v>10.67</v>
      </c>
      <c r="P119" s="3" t="s">
        <v>165</v>
      </c>
      <c r="Q119" s="3" t="s">
        <v>671</v>
      </c>
      <c r="S119" s="0" t="n">
        <v>1</v>
      </c>
      <c r="T119" s="0" t="n">
        <v>0</v>
      </c>
      <c r="Y119" s="0" t="n">
        <v>3</v>
      </c>
      <c r="Z119" s="0" t="n">
        <v>1</v>
      </c>
      <c r="AF119" s="0" t="n">
        <v>2</v>
      </c>
      <c r="AX119" s="3" t="s">
        <v>101</v>
      </c>
      <c r="AY119" s="3" t="s">
        <v>565</v>
      </c>
      <c r="AZ119" s="3" t="s">
        <v>672</v>
      </c>
      <c r="BC119" s="0" t="n">
        <v>0</v>
      </c>
      <c r="BF119" s="0" t="n">
        <v>128</v>
      </c>
      <c r="BG119" s="0" t="n">
        <v>1</v>
      </c>
      <c r="BK119" s="0" t="n">
        <v>1</v>
      </c>
      <c r="CC119" s="0" t="n">
        <v>8.25630550176662</v>
      </c>
      <c r="CD119" s="0" t="n">
        <v>4.94821634062134</v>
      </c>
      <c r="CG119" s="0" t="n">
        <v>8</v>
      </c>
      <c r="CH119" s="3" t="s">
        <v>673</v>
      </c>
      <c r="CI119" s="3" t="s">
        <v>568</v>
      </c>
    </row>
    <row r="120" customFormat="false" ht="14.25" hidden="false" customHeight="false" outlineLevel="0" collapsed="false">
      <c r="A120" s="0" t="s">
        <v>674</v>
      </c>
      <c r="B120" s="0" t="s">
        <v>675</v>
      </c>
      <c r="C120" s="0" t="s">
        <v>560</v>
      </c>
      <c r="D120" s="0" t="s">
        <v>632</v>
      </c>
      <c r="F120" s="0" t="s">
        <v>91</v>
      </c>
      <c r="I120" s="0" t="n">
        <v>2013</v>
      </c>
      <c r="K120" s="0" t="s">
        <v>562</v>
      </c>
      <c r="L120" s="4" t="n">
        <v>46295</v>
      </c>
      <c r="M120" s="0" t="n">
        <v>164</v>
      </c>
      <c r="N120" s="0" t="n">
        <v>13.67</v>
      </c>
      <c r="P120" s="3" t="s">
        <v>165</v>
      </c>
      <c r="Q120" s="3" t="s">
        <v>676</v>
      </c>
      <c r="S120" s="0" t="n">
        <v>1</v>
      </c>
      <c r="Y120" s="0" t="n">
        <v>3</v>
      </c>
      <c r="Z120" s="0" t="n">
        <v>1</v>
      </c>
      <c r="AF120" s="0" t="n">
        <v>2</v>
      </c>
      <c r="AM120" s="0" t="n">
        <v>3</v>
      </c>
      <c r="AN120" s="3" t="s">
        <v>677</v>
      </c>
      <c r="AO120" s="0" t="n">
        <v>1</v>
      </c>
      <c r="AX120" s="3" t="s">
        <v>138</v>
      </c>
      <c r="AY120" s="3" t="s">
        <v>565</v>
      </c>
      <c r="AZ120" s="3" t="s">
        <v>678</v>
      </c>
      <c r="BC120" s="0" t="n">
        <v>0</v>
      </c>
      <c r="BF120" s="0" t="n">
        <v>164</v>
      </c>
      <c r="BG120" s="0" t="n">
        <v>1</v>
      </c>
      <c r="BK120" s="0" t="n">
        <v>1</v>
      </c>
      <c r="CC120" s="0" t="n">
        <v>6.38610640091713</v>
      </c>
      <c r="CD120" s="0" t="n">
        <v>10.0178784746104</v>
      </c>
      <c r="CG120" s="0" t="n">
        <v>6</v>
      </c>
      <c r="CH120" s="3" t="s">
        <v>679</v>
      </c>
      <c r="CI120" s="3" t="s">
        <v>568</v>
      </c>
    </row>
    <row r="121" customFormat="false" ht="14.25" hidden="false" customHeight="false" outlineLevel="0" collapsed="false">
      <c r="A121" s="0" t="s">
        <v>680</v>
      </c>
      <c r="B121" s="0" t="s">
        <v>681</v>
      </c>
      <c r="C121" s="0" t="s">
        <v>560</v>
      </c>
      <c r="D121" s="0" t="s">
        <v>561</v>
      </c>
      <c r="F121" s="0" t="s">
        <v>91</v>
      </c>
      <c r="I121" s="0" t="n">
        <v>2020</v>
      </c>
      <c r="K121" s="0" t="s">
        <v>562</v>
      </c>
      <c r="L121" s="4" t="n">
        <v>46295</v>
      </c>
      <c r="M121" s="0" t="n">
        <v>80</v>
      </c>
      <c r="N121" s="0" t="n">
        <v>6.67</v>
      </c>
      <c r="P121" s="3" t="s">
        <v>516</v>
      </c>
      <c r="Q121" s="3" t="s">
        <v>682</v>
      </c>
      <c r="S121" s="0" t="n">
        <v>1</v>
      </c>
      <c r="T121" s="0" t="n">
        <v>0</v>
      </c>
      <c r="Y121" s="0" t="n">
        <v>3</v>
      </c>
      <c r="Z121" s="0" t="n">
        <v>1</v>
      </c>
      <c r="AF121" s="0" t="n">
        <v>2</v>
      </c>
      <c r="AQ121" s="0" t="n">
        <v>1</v>
      </c>
      <c r="AX121" s="3" t="s">
        <v>142</v>
      </c>
      <c r="AY121" s="3" t="s">
        <v>565</v>
      </c>
      <c r="AZ121" s="3" t="s">
        <v>683</v>
      </c>
      <c r="BC121" s="0" t="n">
        <v>1</v>
      </c>
      <c r="BD121" s="0" t="n">
        <v>2024</v>
      </c>
      <c r="BF121" s="0" t="n">
        <v>48</v>
      </c>
      <c r="BG121" s="0" t="n">
        <v>1</v>
      </c>
      <c r="BK121" s="0" t="n">
        <v>1</v>
      </c>
      <c r="CC121" s="0" t="n">
        <v>-5.77772470687303</v>
      </c>
      <c r="CD121" s="0" t="n">
        <v>6.62343677628529</v>
      </c>
      <c r="CG121" s="0" t="n">
        <v>7</v>
      </c>
      <c r="CH121" s="3" t="s">
        <v>684</v>
      </c>
      <c r="CI121" s="3" t="s">
        <v>568</v>
      </c>
    </row>
    <row r="122" customFormat="false" ht="14.25" hidden="false" customHeight="false" outlineLevel="0" collapsed="false">
      <c r="A122" s="0" t="s">
        <v>685</v>
      </c>
      <c r="B122" s="0" t="s">
        <v>686</v>
      </c>
      <c r="C122" s="0" t="s">
        <v>560</v>
      </c>
      <c r="D122" s="0" t="s">
        <v>577</v>
      </c>
      <c r="F122" s="0" t="s">
        <v>91</v>
      </c>
      <c r="I122" s="0" t="n">
        <v>2011</v>
      </c>
      <c r="K122" s="0" t="s">
        <v>562</v>
      </c>
      <c r="L122" s="4" t="n">
        <v>46295</v>
      </c>
      <c r="M122" s="0" t="n">
        <v>188</v>
      </c>
      <c r="N122" s="0" t="n">
        <v>15.67</v>
      </c>
      <c r="P122" s="3" t="s">
        <v>446</v>
      </c>
      <c r="Q122" s="3" t="s">
        <v>687</v>
      </c>
      <c r="R122" s="0" t="n">
        <v>1</v>
      </c>
      <c r="S122" s="0" t="n">
        <v>0</v>
      </c>
      <c r="T122" s="0" t="n">
        <v>0</v>
      </c>
      <c r="U122" s="0" t="n">
        <v>1</v>
      </c>
      <c r="V122" s="0" t="n">
        <v>0</v>
      </c>
      <c r="Y122" s="0" t="n">
        <v>3</v>
      </c>
      <c r="Z122" s="0" t="n">
        <v>1</v>
      </c>
      <c r="AF122" s="0" t="n">
        <v>4</v>
      </c>
      <c r="AM122" s="0" t="n">
        <v>2</v>
      </c>
      <c r="AN122" s="3" t="s">
        <v>688</v>
      </c>
      <c r="AO122" s="0" t="n">
        <v>1</v>
      </c>
      <c r="AX122" s="3" t="s">
        <v>101</v>
      </c>
      <c r="AY122" s="3" t="s">
        <v>565</v>
      </c>
      <c r="AZ122" s="3" t="s">
        <v>689</v>
      </c>
      <c r="BC122" s="0" t="n">
        <v>0</v>
      </c>
      <c r="BF122" s="0" t="n">
        <v>188</v>
      </c>
      <c r="BG122" s="0" t="n">
        <v>1</v>
      </c>
      <c r="BK122" s="0" t="n">
        <v>1</v>
      </c>
      <c r="CC122" s="0" t="n">
        <v>5.24131620024293</v>
      </c>
      <c r="CD122" s="0" t="n">
        <v>8.9117933648336</v>
      </c>
      <c r="CG122" s="0" t="n">
        <v>6</v>
      </c>
      <c r="CH122" s="3" t="s">
        <v>690</v>
      </c>
      <c r="CI122" s="3" t="s">
        <v>568</v>
      </c>
    </row>
    <row r="123" customFormat="false" ht="14.25" hidden="false" customHeight="false" outlineLevel="0" collapsed="false">
      <c r="A123" s="0" t="s">
        <v>691</v>
      </c>
      <c r="B123" s="0" t="s">
        <v>692</v>
      </c>
      <c r="C123" s="0" t="s">
        <v>560</v>
      </c>
      <c r="D123" s="0" t="s">
        <v>577</v>
      </c>
      <c r="F123" s="0" t="s">
        <v>91</v>
      </c>
      <c r="I123" s="0" t="n">
        <v>2007</v>
      </c>
      <c r="K123" s="0" t="s">
        <v>562</v>
      </c>
      <c r="L123" s="4" t="n">
        <v>46295</v>
      </c>
      <c r="M123" s="0" t="n">
        <v>236</v>
      </c>
      <c r="N123" s="0" t="n">
        <v>19.67</v>
      </c>
      <c r="P123" s="3" t="s">
        <v>210</v>
      </c>
      <c r="Q123" s="3" t="s">
        <v>693</v>
      </c>
      <c r="R123" s="0" t="n">
        <v>0</v>
      </c>
      <c r="S123" s="0" t="n">
        <v>1</v>
      </c>
      <c r="T123" s="0" t="n">
        <v>1</v>
      </c>
      <c r="U123" s="0" t="n">
        <v>0</v>
      </c>
      <c r="V123" s="0" t="n">
        <v>0</v>
      </c>
      <c r="W123" s="0" t="n">
        <v>1</v>
      </c>
      <c r="Y123" s="0" t="n">
        <v>3</v>
      </c>
      <c r="Z123" s="0" t="n">
        <v>1</v>
      </c>
      <c r="AF123" s="0" t="n">
        <v>3</v>
      </c>
      <c r="AX123" s="3" t="s">
        <v>142</v>
      </c>
      <c r="AY123" s="3" t="s">
        <v>565</v>
      </c>
      <c r="AZ123" s="3" t="s">
        <v>694</v>
      </c>
      <c r="BC123" s="0" t="n">
        <v>1</v>
      </c>
      <c r="BD123" s="0" t="n">
        <v>2017</v>
      </c>
      <c r="BF123" s="0" t="n">
        <v>120</v>
      </c>
      <c r="BG123" s="0" t="n">
        <v>1</v>
      </c>
      <c r="BK123" s="0" t="n">
        <v>1</v>
      </c>
      <c r="CC123" s="0" t="n">
        <v>7.66081506510766</v>
      </c>
      <c r="CD123" s="0" t="n">
        <v>6.37288135593231</v>
      </c>
      <c r="CG123" s="0" t="n">
        <v>8</v>
      </c>
      <c r="CH123" s="3" t="s">
        <v>695</v>
      </c>
      <c r="CI123" s="3" t="s">
        <v>568</v>
      </c>
    </row>
    <row r="124" customFormat="false" ht="14.25" hidden="false" customHeight="false" outlineLevel="0" collapsed="false">
      <c r="A124" s="0" t="s">
        <v>696</v>
      </c>
      <c r="B124" s="0" t="s">
        <v>697</v>
      </c>
      <c r="C124" s="0" t="s">
        <v>560</v>
      </c>
      <c r="D124" s="0" t="s">
        <v>632</v>
      </c>
      <c r="F124" s="0" t="s">
        <v>91</v>
      </c>
      <c r="I124" s="0" t="n">
        <v>2014</v>
      </c>
      <c r="K124" s="0" t="s">
        <v>562</v>
      </c>
      <c r="L124" s="4" t="n">
        <v>46295</v>
      </c>
      <c r="M124" s="0" t="n">
        <v>152</v>
      </c>
      <c r="N124" s="0" t="n">
        <v>12.67</v>
      </c>
      <c r="P124" s="3" t="s">
        <v>165</v>
      </c>
      <c r="Q124" s="3" t="s">
        <v>698</v>
      </c>
      <c r="R124" s="0" t="n">
        <v>0</v>
      </c>
      <c r="S124" s="0" t="n">
        <v>1</v>
      </c>
      <c r="T124" s="0" t="n">
        <v>1</v>
      </c>
      <c r="U124" s="0" t="n">
        <v>0</v>
      </c>
      <c r="V124" s="0" t="n">
        <v>0</v>
      </c>
      <c r="W124" s="0" t="n">
        <v>1</v>
      </c>
      <c r="Y124" s="0" t="n">
        <v>3</v>
      </c>
      <c r="Z124" s="0" t="n">
        <v>1</v>
      </c>
      <c r="AF124" s="0" t="n">
        <v>2</v>
      </c>
      <c r="AX124" s="3" t="s">
        <v>142</v>
      </c>
      <c r="AY124" s="3" t="s">
        <v>565</v>
      </c>
      <c r="AZ124" s="3" t="s">
        <v>699</v>
      </c>
      <c r="BC124" s="0" t="n">
        <v>1</v>
      </c>
      <c r="BD124" s="0" t="n">
        <v>2016</v>
      </c>
      <c r="BF124" s="0" t="n">
        <v>24</v>
      </c>
      <c r="BG124" s="0" t="n">
        <v>1</v>
      </c>
      <c r="BK124" s="0" t="n">
        <v>1</v>
      </c>
      <c r="CC124" s="0" t="n">
        <v>7.41022760516977</v>
      </c>
      <c r="CD124" s="0" t="n">
        <v>6.66565671867899</v>
      </c>
      <c r="CG124" s="0" t="n">
        <v>8</v>
      </c>
      <c r="CH124" s="3" t="s">
        <v>700</v>
      </c>
      <c r="CI124" s="3" t="s">
        <v>568</v>
      </c>
    </row>
    <row r="125" customFormat="false" ht="14.25" hidden="false" customHeight="false" outlineLevel="0" collapsed="false">
      <c r="A125" s="0" t="s">
        <v>701</v>
      </c>
      <c r="B125" s="0" t="s">
        <v>702</v>
      </c>
      <c r="C125" s="0" t="s">
        <v>560</v>
      </c>
      <c r="F125" s="0" t="s">
        <v>91</v>
      </c>
      <c r="I125" s="0" t="n">
        <v>2010</v>
      </c>
      <c r="K125" s="0" t="s">
        <v>562</v>
      </c>
      <c r="L125" s="4" t="n">
        <v>46295</v>
      </c>
      <c r="M125" s="0" t="n">
        <v>200</v>
      </c>
      <c r="N125" s="0" t="n">
        <v>16.67</v>
      </c>
      <c r="P125" s="3" t="s">
        <v>165</v>
      </c>
      <c r="Q125" s="3" t="s">
        <v>703</v>
      </c>
      <c r="R125" s="0" t="n">
        <v>0</v>
      </c>
      <c r="S125" s="0" t="n">
        <v>1</v>
      </c>
      <c r="T125" s="0" t="n">
        <v>1</v>
      </c>
      <c r="U125" s="0" t="n">
        <v>0</v>
      </c>
      <c r="V125" s="0" t="n">
        <v>0</v>
      </c>
      <c r="W125" s="0" t="n">
        <v>1</v>
      </c>
      <c r="Y125" s="0" t="n">
        <v>3</v>
      </c>
      <c r="Z125" s="0" t="n">
        <v>1</v>
      </c>
      <c r="AX125" s="3" t="s">
        <v>142</v>
      </c>
      <c r="AY125" s="3" t="s">
        <v>565</v>
      </c>
      <c r="AZ125" s="3" t="s">
        <v>704</v>
      </c>
      <c r="BC125" s="0" t="n">
        <v>1</v>
      </c>
      <c r="BD125" s="0" t="n">
        <v>2016</v>
      </c>
      <c r="BF125" s="0" t="n">
        <v>72</v>
      </c>
      <c r="BK125" s="0" t="n">
        <v>1</v>
      </c>
      <c r="CC125" s="0" t="n">
        <v>8.49758470165625</v>
      </c>
      <c r="CD125" s="0" t="n">
        <v>11.9893899204244</v>
      </c>
      <c r="CG125" s="0" t="n">
        <v>8</v>
      </c>
      <c r="CH125" s="3" t="s">
        <v>705</v>
      </c>
      <c r="CI125" s="3" t="s">
        <v>568</v>
      </c>
    </row>
    <row r="126" customFormat="false" ht="14.25" hidden="false" customHeight="false" outlineLevel="0" collapsed="false">
      <c r="A126" s="0" t="s">
        <v>706</v>
      </c>
      <c r="B126" s="0" t="s">
        <v>707</v>
      </c>
      <c r="C126" s="0" t="s">
        <v>560</v>
      </c>
      <c r="D126" s="0" t="s">
        <v>601</v>
      </c>
      <c r="F126" s="0" t="s">
        <v>91</v>
      </c>
      <c r="I126" s="0" t="n">
        <v>2014</v>
      </c>
      <c r="K126" s="0" t="s">
        <v>562</v>
      </c>
      <c r="L126" s="4" t="n">
        <v>46295</v>
      </c>
      <c r="M126" s="0" t="n">
        <v>152</v>
      </c>
      <c r="N126" s="0" t="n">
        <v>12.67</v>
      </c>
      <c r="P126" s="3" t="s">
        <v>165</v>
      </c>
      <c r="Q126" s="3" t="s">
        <v>708</v>
      </c>
      <c r="R126" s="0" t="n">
        <v>0</v>
      </c>
      <c r="S126" s="0" t="n">
        <v>1</v>
      </c>
      <c r="T126" s="0" t="n">
        <v>1</v>
      </c>
      <c r="U126" s="0" t="n">
        <v>0</v>
      </c>
      <c r="V126" s="0" t="n">
        <v>0</v>
      </c>
      <c r="W126" s="0" t="n">
        <v>1</v>
      </c>
      <c r="Y126" s="0" t="n">
        <v>3</v>
      </c>
      <c r="Z126" s="0" t="n">
        <v>1</v>
      </c>
      <c r="AM126" s="0" t="n">
        <v>2</v>
      </c>
      <c r="AN126" s="3" t="s">
        <v>709</v>
      </c>
      <c r="AO126" s="0" t="n">
        <v>1</v>
      </c>
      <c r="AX126" s="3" t="s">
        <v>138</v>
      </c>
      <c r="AY126" s="3" t="s">
        <v>565</v>
      </c>
      <c r="AZ126" s="3" t="s">
        <v>710</v>
      </c>
      <c r="BC126" s="0" t="n">
        <v>1</v>
      </c>
      <c r="BD126" s="0" t="n">
        <v>2016</v>
      </c>
      <c r="BF126" s="0" t="n">
        <v>24</v>
      </c>
      <c r="BG126" s="0" t="n">
        <v>1</v>
      </c>
      <c r="BK126" s="0" t="n">
        <v>1</v>
      </c>
      <c r="CC126" s="0" t="n">
        <v>7.41022760516977</v>
      </c>
      <c r="CD126" s="0" t="n">
        <v>6.66565671867899</v>
      </c>
      <c r="CG126" s="0" t="n">
        <v>6</v>
      </c>
      <c r="CH126" s="3" t="s">
        <v>711</v>
      </c>
      <c r="CI126" s="3" t="s">
        <v>568</v>
      </c>
    </row>
    <row r="127" customFormat="false" ht="14.25" hidden="false" customHeight="false" outlineLevel="0" collapsed="false">
      <c r="A127" s="0" t="s">
        <v>712</v>
      </c>
      <c r="B127" s="0" t="s">
        <v>713</v>
      </c>
      <c r="C127" s="0" t="s">
        <v>560</v>
      </c>
      <c r="D127" s="0" t="s">
        <v>601</v>
      </c>
      <c r="F127" s="0" t="s">
        <v>91</v>
      </c>
      <c r="I127" s="0" t="n">
        <v>2014</v>
      </c>
      <c r="K127" s="0" t="s">
        <v>562</v>
      </c>
      <c r="L127" s="4" t="n">
        <v>46295</v>
      </c>
      <c r="M127" s="0" t="n">
        <v>152</v>
      </c>
      <c r="N127" s="0" t="n">
        <v>12.67</v>
      </c>
      <c r="P127" s="3" t="s">
        <v>259</v>
      </c>
      <c r="Q127" s="3" t="s">
        <v>714</v>
      </c>
      <c r="R127" s="0" t="n">
        <v>0</v>
      </c>
      <c r="S127" s="0" t="n">
        <v>1</v>
      </c>
      <c r="T127" s="0" t="n">
        <v>1</v>
      </c>
      <c r="U127" s="0" t="n">
        <v>0</v>
      </c>
      <c r="V127" s="0" t="n">
        <v>0</v>
      </c>
      <c r="W127" s="0" t="n">
        <v>1</v>
      </c>
      <c r="Y127" s="0" t="n">
        <v>3</v>
      </c>
      <c r="Z127" s="0" t="n">
        <v>1</v>
      </c>
      <c r="AF127" s="0" t="n">
        <v>4</v>
      </c>
      <c r="AM127" s="0" t="n">
        <v>3</v>
      </c>
      <c r="AN127" s="3" t="s">
        <v>715</v>
      </c>
      <c r="AO127" s="0" t="n">
        <v>1</v>
      </c>
      <c r="AQ127" s="0" t="n">
        <v>1</v>
      </c>
      <c r="AX127" s="3" t="s">
        <v>142</v>
      </c>
      <c r="AY127" s="3" t="s">
        <v>565</v>
      </c>
      <c r="AZ127" s="3" t="s">
        <v>716</v>
      </c>
      <c r="BC127" s="0" t="n">
        <v>1</v>
      </c>
      <c r="BD127" s="0" t="n">
        <v>2017</v>
      </c>
      <c r="BF127" s="0" t="n">
        <v>36</v>
      </c>
      <c r="BG127" s="0" t="n">
        <v>1</v>
      </c>
      <c r="BK127" s="0" t="n">
        <v>1</v>
      </c>
      <c r="CC127" s="0" t="n">
        <v>7.41022760516977</v>
      </c>
      <c r="CD127" s="0" t="n">
        <v>6.66565671867899</v>
      </c>
      <c r="CG127" s="0" t="n">
        <v>5</v>
      </c>
      <c r="CH127" s="3" t="s">
        <v>717</v>
      </c>
      <c r="CI127" s="3" t="s">
        <v>568</v>
      </c>
    </row>
    <row r="128" customFormat="false" ht="14.25" hidden="false" customHeight="false" outlineLevel="0" collapsed="false">
      <c r="A128" s="0" t="s">
        <v>718</v>
      </c>
      <c r="B128" s="0" t="s">
        <v>719</v>
      </c>
      <c r="C128" s="0" t="s">
        <v>560</v>
      </c>
      <c r="D128" s="0" t="s">
        <v>561</v>
      </c>
      <c r="F128" s="0" t="s">
        <v>91</v>
      </c>
      <c r="I128" s="0" t="n">
        <v>2012</v>
      </c>
      <c r="K128" s="0" t="s">
        <v>562</v>
      </c>
      <c r="L128" s="4" t="n">
        <v>46295</v>
      </c>
      <c r="M128" s="0" t="n">
        <v>176</v>
      </c>
      <c r="N128" s="0" t="n">
        <v>14.67</v>
      </c>
      <c r="P128" s="3" t="s">
        <v>165</v>
      </c>
      <c r="Q128" s="3" t="s">
        <v>720</v>
      </c>
      <c r="R128" s="0" t="n">
        <v>0</v>
      </c>
      <c r="S128" s="0" t="n">
        <v>1</v>
      </c>
      <c r="T128" s="0" t="n">
        <v>1</v>
      </c>
      <c r="U128" s="0" t="n">
        <v>0</v>
      </c>
      <c r="V128" s="0" t="n">
        <v>0</v>
      </c>
      <c r="Y128" s="0" t="n">
        <v>3</v>
      </c>
      <c r="Z128" s="0" t="n">
        <v>1</v>
      </c>
      <c r="AF128" s="0" t="n">
        <v>2</v>
      </c>
      <c r="AX128" s="3" t="s">
        <v>142</v>
      </c>
      <c r="AY128" s="3" t="s">
        <v>565</v>
      </c>
      <c r="AZ128" s="3" t="s">
        <v>721</v>
      </c>
      <c r="BC128" s="0" t="n">
        <v>1</v>
      </c>
      <c r="BD128" s="0" t="n">
        <v>2016</v>
      </c>
      <c r="BF128" s="0" t="n">
        <v>48</v>
      </c>
      <c r="BG128" s="0" t="n">
        <v>1</v>
      </c>
      <c r="BK128" s="0" t="n">
        <v>1</v>
      </c>
      <c r="CC128" s="0" t="n">
        <v>5.45638755164772</v>
      </c>
      <c r="CD128" s="0" t="n">
        <v>9.47899691419792</v>
      </c>
      <c r="CG128" s="0" t="n">
        <v>8</v>
      </c>
      <c r="CH128" s="3" t="s">
        <v>722</v>
      </c>
      <c r="CI128" s="3" t="s">
        <v>568</v>
      </c>
    </row>
    <row r="129" customFormat="false" ht="14.25" hidden="false" customHeight="false" outlineLevel="0" collapsed="false">
      <c r="A129" s="0" t="s">
        <v>723</v>
      </c>
      <c r="B129" s="0" t="s">
        <v>724</v>
      </c>
      <c r="C129" s="0" t="s">
        <v>560</v>
      </c>
      <c r="D129" s="0" t="s">
        <v>632</v>
      </c>
      <c r="F129" s="0" t="s">
        <v>91</v>
      </c>
      <c r="I129" s="0" t="n">
        <v>2010</v>
      </c>
      <c r="K129" s="0" t="s">
        <v>562</v>
      </c>
      <c r="L129" s="4" t="n">
        <v>46295</v>
      </c>
      <c r="M129" s="0" t="n">
        <v>200</v>
      </c>
      <c r="N129" s="0" t="n">
        <v>16.67</v>
      </c>
      <c r="P129" s="3" t="s">
        <v>165</v>
      </c>
      <c r="Q129" s="3" t="s">
        <v>725</v>
      </c>
      <c r="R129" s="0" t="n">
        <v>0</v>
      </c>
      <c r="S129" s="0" t="n">
        <v>1</v>
      </c>
      <c r="T129" s="0" t="n">
        <v>0</v>
      </c>
      <c r="U129" s="0" t="n">
        <v>0</v>
      </c>
      <c r="V129" s="0" t="n">
        <v>0</v>
      </c>
      <c r="Y129" s="0" t="n">
        <v>3</v>
      </c>
      <c r="Z129" s="0" t="n">
        <v>1</v>
      </c>
      <c r="AF129" s="0" t="n">
        <v>4</v>
      </c>
      <c r="AX129" s="3" t="s">
        <v>138</v>
      </c>
      <c r="AY129" s="3" t="s">
        <v>565</v>
      </c>
      <c r="AZ129" s="3" t="s">
        <v>726</v>
      </c>
      <c r="BC129" s="0" t="n">
        <v>1</v>
      </c>
      <c r="BD129" s="0" t="n">
        <v>2019</v>
      </c>
      <c r="BF129" s="0" t="n">
        <v>108</v>
      </c>
      <c r="BG129" s="0" t="n">
        <v>1</v>
      </c>
      <c r="BK129" s="0" t="n">
        <v>1</v>
      </c>
      <c r="CC129" s="0" t="n">
        <v>8.49758470165625</v>
      </c>
      <c r="CD129" s="0" t="n">
        <v>11.9893899204244</v>
      </c>
      <c r="CG129" s="0" t="n">
        <v>8</v>
      </c>
      <c r="CH129" s="3" t="s">
        <v>727</v>
      </c>
      <c r="CI129" s="3" t="s">
        <v>568</v>
      </c>
    </row>
    <row r="130" customFormat="false" ht="14.25" hidden="false" customHeight="false" outlineLevel="0" collapsed="false">
      <c r="A130" s="0" t="s">
        <v>728</v>
      </c>
      <c r="B130" s="0" t="s">
        <v>729</v>
      </c>
      <c r="C130" s="0" t="s">
        <v>560</v>
      </c>
      <c r="D130" s="0" t="s">
        <v>561</v>
      </c>
      <c r="F130" s="0" t="s">
        <v>91</v>
      </c>
      <c r="I130" s="0" t="n">
        <v>2014</v>
      </c>
      <c r="K130" s="0" t="s">
        <v>562</v>
      </c>
      <c r="L130" s="4" t="n">
        <v>46295</v>
      </c>
      <c r="M130" s="0" t="n">
        <v>152</v>
      </c>
      <c r="N130" s="0" t="n">
        <v>12.67</v>
      </c>
      <c r="P130" s="3" t="s">
        <v>165</v>
      </c>
      <c r="Q130" s="3" t="s">
        <v>730</v>
      </c>
      <c r="R130" s="0" t="n">
        <v>1</v>
      </c>
      <c r="S130" s="0" t="n">
        <v>0</v>
      </c>
      <c r="T130" s="0" t="n">
        <v>1</v>
      </c>
      <c r="U130" s="0" t="n">
        <v>0</v>
      </c>
      <c r="V130" s="0" t="n">
        <v>0</v>
      </c>
      <c r="Y130" s="0" t="n">
        <v>3</v>
      </c>
      <c r="Z130" s="0" t="n">
        <v>1</v>
      </c>
      <c r="AF130" s="0" t="n">
        <v>2</v>
      </c>
      <c r="AX130" s="3" t="s">
        <v>142</v>
      </c>
      <c r="AY130" s="3" t="s">
        <v>565</v>
      </c>
      <c r="AZ130" s="3" t="s">
        <v>731</v>
      </c>
      <c r="BC130" s="0" t="n">
        <v>1</v>
      </c>
      <c r="BD130" s="0" t="n">
        <v>2022</v>
      </c>
      <c r="BF130" s="0" t="n">
        <v>96</v>
      </c>
      <c r="BG130" s="0" t="n">
        <v>1</v>
      </c>
      <c r="BK130" s="0" t="n">
        <v>1</v>
      </c>
      <c r="CC130" s="0" t="n">
        <v>7.41022760516977</v>
      </c>
      <c r="CD130" s="0" t="n">
        <v>6.66565671867899</v>
      </c>
      <c r="CG130" s="0" t="n">
        <v>8</v>
      </c>
      <c r="CH130" s="3" t="s">
        <v>732</v>
      </c>
      <c r="CI130" s="3" t="s">
        <v>568</v>
      </c>
    </row>
    <row r="131" customFormat="false" ht="14.25" hidden="false" customHeight="false" outlineLevel="0" collapsed="false">
      <c r="A131" s="0" t="s">
        <v>733</v>
      </c>
      <c r="B131" s="0" t="s">
        <v>734</v>
      </c>
      <c r="C131" s="0" t="s">
        <v>560</v>
      </c>
      <c r="D131" s="0" t="s">
        <v>561</v>
      </c>
      <c r="F131" s="0" t="s">
        <v>91</v>
      </c>
      <c r="I131" s="0" t="n">
        <v>2015</v>
      </c>
      <c r="K131" s="0" t="s">
        <v>562</v>
      </c>
      <c r="L131" s="4" t="n">
        <v>46295</v>
      </c>
      <c r="M131" s="0" t="n">
        <v>140</v>
      </c>
      <c r="N131" s="0" t="n">
        <v>11.67</v>
      </c>
      <c r="P131" s="3" t="s">
        <v>165</v>
      </c>
      <c r="Q131" s="3" t="s">
        <v>735</v>
      </c>
      <c r="R131" s="0" t="n">
        <v>0</v>
      </c>
      <c r="S131" s="0" t="n">
        <v>1</v>
      </c>
      <c r="T131" s="0" t="n">
        <v>1</v>
      </c>
      <c r="U131" s="0" t="n">
        <v>0</v>
      </c>
      <c r="V131" s="0" t="n">
        <v>0</v>
      </c>
      <c r="W131" s="0" t="n">
        <v>1</v>
      </c>
      <c r="Y131" s="0" t="n">
        <v>3</v>
      </c>
      <c r="Z131" s="0" t="n">
        <v>1</v>
      </c>
      <c r="AF131" s="0" t="n">
        <v>2</v>
      </c>
      <c r="AM131" s="0" t="n">
        <v>3</v>
      </c>
      <c r="AN131" s="3" t="s">
        <v>736</v>
      </c>
      <c r="AX131" s="3" t="s">
        <v>142</v>
      </c>
      <c r="AY131" s="3" t="s">
        <v>565</v>
      </c>
      <c r="AZ131" s="3" t="s">
        <v>737</v>
      </c>
      <c r="BC131" s="0" t="n">
        <v>1</v>
      </c>
      <c r="BD131" s="0" t="n">
        <v>2016</v>
      </c>
      <c r="BF131" s="0" t="n">
        <v>12</v>
      </c>
      <c r="BK131" s="0" t="n">
        <v>1</v>
      </c>
      <c r="CC131" s="0" t="n">
        <v>7.99625378567987</v>
      </c>
      <c r="CD131" s="0" t="n">
        <v>4.90697344127249</v>
      </c>
      <c r="CG131" s="0" t="n">
        <v>7</v>
      </c>
      <c r="CH131" s="3" t="s">
        <v>738</v>
      </c>
      <c r="CI131" s="3" t="s">
        <v>568</v>
      </c>
    </row>
    <row r="132" customFormat="false" ht="14.25" hidden="false" customHeight="false" outlineLevel="0" collapsed="false">
      <c r="A132" s="0" t="s">
        <v>739</v>
      </c>
      <c r="B132" s="0" t="s">
        <v>740</v>
      </c>
      <c r="C132" s="0" t="s">
        <v>560</v>
      </c>
      <c r="F132" s="0" t="s">
        <v>91</v>
      </c>
      <c r="I132" s="0" t="n">
        <v>2011</v>
      </c>
      <c r="K132" s="0" t="s">
        <v>562</v>
      </c>
      <c r="L132" s="4" t="n">
        <v>46295</v>
      </c>
      <c r="M132" s="0" t="n">
        <v>188</v>
      </c>
      <c r="N132" s="0" t="n">
        <v>15.67</v>
      </c>
      <c r="P132" s="3" t="s">
        <v>165</v>
      </c>
      <c r="Q132" s="3" t="s">
        <v>741</v>
      </c>
      <c r="R132" s="0" t="n">
        <v>0</v>
      </c>
      <c r="S132" s="0" t="n">
        <v>1</v>
      </c>
      <c r="T132" s="0" t="n">
        <v>0</v>
      </c>
      <c r="U132" s="0" t="n">
        <v>0</v>
      </c>
      <c r="V132" s="0" t="n">
        <v>0</v>
      </c>
      <c r="Y132" s="0" t="n">
        <v>3</v>
      </c>
      <c r="Z132" s="0" t="n">
        <v>1</v>
      </c>
      <c r="AF132" s="0" t="n">
        <v>3</v>
      </c>
      <c r="AX132" s="3" t="s">
        <v>142</v>
      </c>
      <c r="AY132" s="3" t="s">
        <v>565</v>
      </c>
      <c r="AZ132" s="3" t="s">
        <v>742</v>
      </c>
      <c r="BC132" s="0" t="n">
        <v>1</v>
      </c>
      <c r="BD132" s="0" t="n">
        <v>2015</v>
      </c>
      <c r="BF132" s="0" t="n">
        <v>48</v>
      </c>
      <c r="BG132" s="0" t="n">
        <v>0</v>
      </c>
      <c r="BK132" s="0" t="n">
        <v>1</v>
      </c>
      <c r="CC132" s="0" t="n">
        <v>5.24131620024293</v>
      </c>
      <c r="CD132" s="0" t="n">
        <v>8.9117933648336</v>
      </c>
      <c r="CG132" s="0" t="n">
        <v>8</v>
      </c>
      <c r="CH132" s="3" t="s">
        <v>743</v>
      </c>
      <c r="CI132" s="3" t="s">
        <v>568</v>
      </c>
    </row>
    <row r="133" customFormat="false" ht="14.25" hidden="false" customHeight="false" outlineLevel="0" collapsed="false">
      <c r="A133" s="0" t="s">
        <v>744</v>
      </c>
      <c r="B133" s="0" t="s">
        <v>745</v>
      </c>
      <c r="C133" s="0" t="s">
        <v>560</v>
      </c>
      <c r="D133" s="0" t="s">
        <v>561</v>
      </c>
      <c r="F133" s="0" t="s">
        <v>91</v>
      </c>
      <c r="I133" s="0" t="n">
        <v>2015</v>
      </c>
      <c r="K133" s="0" t="s">
        <v>562</v>
      </c>
      <c r="L133" s="4" t="n">
        <v>46295</v>
      </c>
      <c r="M133" s="0" t="n">
        <v>140</v>
      </c>
      <c r="N133" s="0" t="n">
        <v>11.67</v>
      </c>
      <c r="P133" s="3" t="s">
        <v>165</v>
      </c>
      <c r="Q133" s="3" t="s">
        <v>746</v>
      </c>
      <c r="R133" s="0" t="n">
        <v>0</v>
      </c>
      <c r="S133" s="0" t="n">
        <v>1</v>
      </c>
      <c r="T133" s="0" t="n">
        <v>0</v>
      </c>
      <c r="U133" s="0" t="n">
        <v>1</v>
      </c>
      <c r="V133" s="0" t="n">
        <v>0</v>
      </c>
      <c r="Y133" s="0" t="n">
        <v>3</v>
      </c>
      <c r="Z133" s="0" t="n">
        <v>1</v>
      </c>
      <c r="AF133" s="0" t="n">
        <v>2</v>
      </c>
      <c r="AX133" s="3" t="s">
        <v>138</v>
      </c>
      <c r="AY133" s="3" t="s">
        <v>565</v>
      </c>
      <c r="AZ133" s="3" t="s">
        <v>747</v>
      </c>
      <c r="BC133" s="0" t="n">
        <v>1</v>
      </c>
      <c r="BD133" s="0" t="n">
        <v>2019</v>
      </c>
      <c r="BF133" s="0" t="n">
        <v>48</v>
      </c>
      <c r="BG133" s="0" t="n">
        <v>1</v>
      </c>
      <c r="BK133" s="0" t="n">
        <v>1</v>
      </c>
      <c r="CC133" s="0" t="n">
        <v>7.99625378567987</v>
      </c>
      <c r="CD133" s="0" t="n">
        <v>4.90697344127249</v>
      </c>
      <c r="CG133" s="0" t="n">
        <v>8</v>
      </c>
      <c r="CH133" s="3" t="s">
        <v>748</v>
      </c>
      <c r="CI133" s="3" t="s">
        <v>568</v>
      </c>
    </row>
    <row r="134" customFormat="false" ht="14.25" hidden="false" customHeight="false" outlineLevel="0" collapsed="false">
      <c r="A134" s="0" t="s">
        <v>749</v>
      </c>
      <c r="B134" s="0" t="s">
        <v>750</v>
      </c>
      <c r="C134" s="0" t="s">
        <v>560</v>
      </c>
      <c r="D134" s="0" t="s">
        <v>601</v>
      </c>
      <c r="F134" s="0" t="s">
        <v>91</v>
      </c>
      <c r="I134" s="0" t="n">
        <v>2015</v>
      </c>
      <c r="K134" s="0" t="s">
        <v>562</v>
      </c>
      <c r="L134" s="4" t="n">
        <v>46295</v>
      </c>
      <c r="M134" s="0" t="n">
        <v>140</v>
      </c>
      <c r="N134" s="0" t="n">
        <v>11.67</v>
      </c>
      <c r="P134" s="3" t="s">
        <v>165</v>
      </c>
      <c r="Q134" s="3" t="s">
        <v>751</v>
      </c>
      <c r="R134" s="0" t="n">
        <v>0</v>
      </c>
      <c r="S134" s="0" t="n">
        <v>1</v>
      </c>
      <c r="T134" s="0" t="n">
        <v>0</v>
      </c>
      <c r="U134" s="0" t="n">
        <v>1</v>
      </c>
      <c r="V134" s="0" t="n">
        <v>0</v>
      </c>
      <c r="Y134" s="0" t="n">
        <v>3</v>
      </c>
      <c r="Z134" s="0" t="n">
        <v>1</v>
      </c>
      <c r="AA134" s="0" t="n">
        <v>1</v>
      </c>
      <c r="AB134" s="3" t="s">
        <v>752</v>
      </c>
      <c r="AF134" s="0" t="n">
        <v>3</v>
      </c>
      <c r="AM134" s="0" t="n">
        <v>3</v>
      </c>
      <c r="AN134" s="3" t="s">
        <v>753</v>
      </c>
      <c r="AO134" s="0" t="n">
        <v>1</v>
      </c>
      <c r="AX134" s="3" t="s">
        <v>138</v>
      </c>
      <c r="AY134" s="3" t="s">
        <v>565</v>
      </c>
      <c r="AZ134" s="3" t="s">
        <v>754</v>
      </c>
      <c r="BC134" s="0" t="n">
        <v>0</v>
      </c>
      <c r="BF134" s="0" t="n">
        <v>140</v>
      </c>
      <c r="BG134" s="0" t="n">
        <v>1</v>
      </c>
      <c r="BK134" s="0" t="n">
        <v>1</v>
      </c>
      <c r="CC134" s="0" t="n">
        <v>7.99625378567987</v>
      </c>
      <c r="CD134" s="0" t="n">
        <v>4.90697344127249</v>
      </c>
      <c r="CG134" s="0" t="n">
        <v>5</v>
      </c>
      <c r="CH134" s="3" t="s">
        <v>755</v>
      </c>
      <c r="CI134" s="3" t="s">
        <v>568</v>
      </c>
    </row>
    <row r="135" customFormat="false" ht="14.25" hidden="false" customHeight="false" outlineLevel="0" collapsed="false">
      <c r="A135" s="0" t="s">
        <v>756</v>
      </c>
      <c r="B135" s="0" t="s">
        <v>757</v>
      </c>
      <c r="C135" s="0" t="s">
        <v>560</v>
      </c>
      <c r="D135" s="0" t="s">
        <v>561</v>
      </c>
      <c r="F135" s="0" t="s">
        <v>91</v>
      </c>
      <c r="I135" s="0" t="n">
        <v>2010</v>
      </c>
      <c r="K135" s="0" t="s">
        <v>562</v>
      </c>
      <c r="L135" s="4" t="n">
        <v>46295</v>
      </c>
      <c r="M135" s="0" t="n">
        <v>200</v>
      </c>
      <c r="N135" s="0" t="n">
        <v>16.67</v>
      </c>
      <c r="P135" s="3" t="s">
        <v>94</v>
      </c>
      <c r="Q135" s="3" t="s">
        <v>758</v>
      </c>
      <c r="R135" s="0" t="n">
        <v>0</v>
      </c>
      <c r="S135" s="0" t="n">
        <v>1</v>
      </c>
      <c r="T135" s="0" t="n">
        <v>0</v>
      </c>
      <c r="U135" s="0" t="n">
        <v>0</v>
      </c>
      <c r="V135" s="0" t="n">
        <v>0</v>
      </c>
      <c r="W135" s="0" t="n">
        <v>1</v>
      </c>
      <c r="Y135" s="0" t="n">
        <v>3</v>
      </c>
      <c r="Z135" s="0" t="n">
        <v>1</v>
      </c>
      <c r="AF135" s="0" t="n">
        <v>2</v>
      </c>
      <c r="AX135" s="3" t="s">
        <v>101</v>
      </c>
      <c r="AY135" s="3" t="s">
        <v>565</v>
      </c>
      <c r="AZ135" s="3" t="s">
        <v>759</v>
      </c>
      <c r="BC135" s="0" t="n">
        <v>0</v>
      </c>
      <c r="BF135" s="0" t="n">
        <v>200</v>
      </c>
      <c r="BG135" s="0" t="n">
        <v>0</v>
      </c>
      <c r="BK135" s="0" t="n">
        <v>0</v>
      </c>
      <c r="CC135" s="0" t="n">
        <v>8.49758470165625</v>
      </c>
      <c r="CD135" s="0" t="n">
        <v>11.9893899204244</v>
      </c>
      <c r="CG135" s="0" t="n">
        <v>8</v>
      </c>
      <c r="CH135" s="3" t="s">
        <v>760</v>
      </c>
      <c r="CI135" s="3" t="s">
        <v>568</v>
      </c>
    </row>
    <row r="136" customFormat="false" ht="14.25" hidden="false" customHeight="false" outlineLevel="0" collapsed="false">
      <c r="A136" s="0" t="s">
        <v>761</v>
      </c>
      <c r="B136" s="0" t="s">
        <v>762</v>
      </c>
      <c r="C136" s="0" t="s">
        <v>560</v>
      </c>
      <c r="D136" s="0" t="s">
        <v>577</v>
      </c>
      <c r="F136" s="0" t="s">
        <v>91</v>
      </c>
      <c r="I136" s="0" t="n">
        <v>1996</v>
      </c>
      <c r="K136" s="0" t="s">
        <v>562</v>
      </c>
      <c r="L136" s="4" t="n">
        <v>46295</v>
      </c>
      <c r="M136" s="0" t="n">
        <v>368</v>
      </c>
      <c r="N136" s="0" t="n">
        <v>30.67</v>
      </c>
      <c r="P136" s="3" t="s">
        <v>446</v>
      </c>
      <c r="Q136" s="3" t="s">
        <v>763</v>
      </c>
      <c r="R136" s="0" t="n">
        <v>1</v>
      </c>
      <c r="S136" s="0" t="n">
        <v>0</v>
      </c>
      <c r="T136" s="0" t="n">
        <v>0</v>
      </c>
      <c r="U136" s="0" t="n">
        <v>1</v>
      </c>
      <c r="V136" s="0" t="n">
        <v>0</v>
      </c>
      <c r="Y136" s="0" t="n">
        <v>3</v>
      </c>
      <c r="Z136" s="0" t="n">
        <v>1</v>
      </c>
      <c r="AF136" s="0" t="n">
        <v>2</v>
      </c>
      <c r="AM136" s="0" t="n">
        <v>3</v>
      </c>
      <c r="AN136" s="3" t="s">
        <v>764</v>
      </c>
      <c r="AO136" s="0" t="n">
        <v>1</v>
      </c>
      <c r="AX136" s="3" t="s">
        <v>101</v>
      </c>
      <c r="AY136" s="3" t="s">
        <v>565</v>
      </c>
      <c r="AZ136" s="3" t="s">
        <v>765</v>
      </c>
      <c r="BC136" s="0" t="n">
        <v>0</v>
      </c>
      <c r="BF136" s="0" t="n">
        <v>368</v>
      </c>
      <c r="BG136" s="0" t="n">
        <v>0</v>
      </c>
      <c r="BK136" s="0" t="n">
        <v>0</v>
      </c>
      <c r="CG136" s="0" t="n">
        <v>6</v>
      </c>
      <c r="CH136" s="3" t="s">
        <v>766</v>
      </c>
      <c r="CI136" s="3" t="s">
        <v>568</v>
      </c>
    </row>
    <row r="137" customFormat="false" ht="14.25" hidden="false" customHeight="false" outlineLevel="0" collapsed="false">
      <c r="A137" s="0" t="s">
        <v>767</v>
      </c>
      <c r="B137" s="0" t="s">
        <v>768</v>
      </c>
      <c r="C137" s="0" t="s">
        <v>560</v>
      </c>
      <c r="D137" s="0" t="s">
        <v>626</v>
      </c>
      <c r="F137" s="0" t="s">
        <v>91</v>
      </c>
      <c r="I137" s="0" t="n">
        <v>2010</v>
      </c>
      <c r="K137" s="0" t="s">
        <v>562</v>
      </c>
      <c r="L137" s="4" t="n">
        <v>46295</v>
      </c>
      <c r="M137" s="0" t="n">
        <v>200</v>
      </c>
      <c r="N137" s="0" t="n">
        <v>16.67</v>
      </c>
      <c r="P137" s="3" t="s">
        <v>446</v>
      </c>
      <c r="Q137" s="3" t="s">
        <v>769</v>
      </c>
      <c r="R137" s="0" t="n">
        <v>1</v>
      </c>
      <c r="S137" s="0" t="n">
        <v>0</v>
      </c>
      <c r="T137" s="0" t="n">
        <v>0</v>
      </c>
      <c r="U137" s="0" t="n">
        <v>1</v>
      </c>
      <c r="V137" s="0" t="n">
        <v>0</v>
      </c>
      <c r="Y137" s="0" t="n">
        <v>3</v>
      </c>
      <c r="Z137" s="0" t="n">
        <v>1</v>
      </c>
      <c r="AF137" s="0" t="n">
        <v>2</v>
      </c>
      <c r="AM137" s="0" t="n">
        <v>2</v>
      </c>
      <c r="AN137" s="3" t="s">
        <v>770</v>
      </c>
      <c r="AO137" s="0" t="n">
        <v>1</v>
      </c>
      <c r="AQ137" s="0" t="n">
        <v>1</v>
      </c>
      <c r="AX137" s="3" t="s">
        <v>138</v>
      </c>
      <c r="AY137" s="3" t="s">
        <v>565</v>
      </c>
      <c r="AZ137" s="3" t="s">
        <v>771</v>
      </c>
      <c r="BC137" s="0" t="n">
        <v>0</v>
      </c>
      <c r="BF137" s="0" t="n">
        <v>200</v>
      </c>
      <c r="BG137" s="0" t="n">
        <v>0</v>
      </c>
      <c r="BK137" s="0" t="n">
        <v>0</v>
      </c>
      <c r="CC137" s="0" t="n">
        <v>8.49758470165625</v>
      </c>
      <c r="CD137" s="0" t="n">
        <v>11.9893899204244</v>
      </c>
      <c r="CG137" s="0" t="n">
        <v>5</v>
      </c>
      <c r="CH137" s="3" t="s">
        <v>772</v>
      </c>
      <c r="CI137" s="3" t="s">
        <v>568</v>
      </c>
    </row>
    <row r="138" customFormat="false" ht="14.25" hidden="false" customHeight="false" outlineLevel="0" collapsed="false">
      <c r="A138" s="0" t="s">
        <v>773</v>
      </c>
      <c r="B138" s="0" t="s">
        <v>774</v>
      </c>
      <c r="C138" s="0" t="s">
        <v>560</v>
      </c>
      <c r="D138" s="0" t="s">
        <v>775</v>
      </c>
      <c r="F138" s="0" t="s">
        <v>91</v>
      </c>
      <c r="I138" s="0" t="n">
        <v>2002</v>
      </c>
      <c r="K138" s="0" t="s">
        <v>562</v>
      </c>
      <c r="L138" s="4" t="n">
        <v>46295</v>
      </c>
      <c r="M138" s="0" t="n">
        <v>296</v>
      </c>
      <c r="N138" s="0" t="n">
        <v>24.67</v>
      </c>
      <c r="P138" s="3" t="s">
        <v>446</v>
      </c>
      <c r="Q138" s="3" t="s">
        <v>776</v>
      </c>
      <c r="R138" s="0" t="n">
        <v>1</v>
      </c>
      <c r="S138" s="0" t="n">
        <v>0</v>
      </c>
      <c r="T138" s="0" t="n">
        <v>0</v>
      </c>
      <c r="U138" s="0" t="n">
        <v>0</v>
      </c>
      <c r="V138" s="0" t="n">
        <v>0</v>
      </c>
      <c r="Y138" s="0" t="n">
        <v>3</v>
      </c>
      <c r="Z138" s="0" t="n">
        <v>1</v>
      </c>
      <c r="AM138" s="0" t="n">
        <v>3</v>
      </c>
      <c r="AN138" s="3" t="s">
        <v>777</v>
      </c>
      <c r="AO138" s="0" t="n">
        <v>1</v>
      </c>
      <c r="AX138" s="3" t="s">
        <v>138</v>
      </c>
      <c r="AY138" s="3" t="s">
        <v>565</v>
      </c>
      <c r="AZ138" s="3" t="s">
        <v>778</v>
      </c>
      <c r="BC138" s="0" t="n">
        <v>0</v>
      </c>
      <c r="BF138" s="0" t="n">
        <v>296</v>
      </c>
      <c r="BG138" s="0" t="n">
        <v>0</v>
      </c>
      <c r="BK138" s="0" t="n">
        <v>0</v>
      </c>
      <c r="CC138" s="0" t="n">
        <v>3.80397532120038</v>
      </c>
      <c r="CD138" s="0" t="n">
        <v>4.29715203929561</v>
      </c>
      <c r="CG138" s="0" t="n">
        <v>6</v>
      </c>
      <c r="CH138" s="3" t="s">
        <v>779</v>
      </c>
      <c r="CI138" s="3" t="s">
        <v>568</v>
      </c>
    </row>
    <row r="139" customFormat="false" ht="14.25" hidden="false" customHeight="false" outlineLevel="0" collapsed="false">
      <c r="A139" s="0" t="s">
        <v>780</v>
      </c>
      <c r="B139" s="0" t="s">
        <v>781</v>
      </c>
      <c r="C139" s="0" t="s">
        <v>560</v>
      </c>
      <c r="D139" s="0" t="s">
        <v>632</v>
      </c>
      <c r="F139" s="0" t="s">
        <v>91</v>
      </c>
      <c r="I139" s="0" t="n">
        <v>2014</v>
      </c>
      <c r="K139" s="0" t="s">
        <v>562</v>
      </c>
      <c r="L139" s="4" t="n">
        <v>46295</v>
      </c>
      <c r="M139" s="0" t="n">
        <v>152</v>
      </c>
      <c r="N139" s="0" t="n">
        <v>12.67</v>
      </c>
      <c r="P139" s="3" t="s">
        <v>259</v>
      </c>
      <c r="Q139" s="3" t="s">
        <v>782</v>
      </c>
      <c r="R139" s="0" t="n">
        <v>0</v>
      </c>
      <c r="S139" s="0" t="n">
        <v>1</v>
      </c>
      <c r="T139" s="0" t="n">
        <v>0</v>
      </c>
      <c r="U139" s="0" t="n">
        <v>0</v>
      </c>
      <c r="V139" s="0" t="n">
        <v>1</v>
      </c>
      <c r="Y139" s="0" t="n">
        <v>3</v>
      </c>
      <c r="Z139" s="0" t="n">
        <v>1</v>
      </c>
      <c r="AF139" s="0" t="n">
        <v>2</v>
      </c>
      <c r="AX139" s="3" t="s">
        <v>101</v>
      </c>
      <c r="AY139" s="3" t="s">
        <v>565</v>
      </c>
      <c r="AZ139" s="3" t="s">
        <v>783</v>
      </c>
      <c r="BC139" s="0" t="n">
        <v>0</v>
      </c>
      <c r="BF139" s="0" t="n">
        <v>152</v>
      </c>
      <c r="BG139" s="0" t="n">
        <v>0</v>
      </c>
      <c r="BK139" s="0" t="n">
        <v>0</v>
      </c>
      <c r="CC139" s="0" t="n">
        <v>7.41022760516977</v>
      </c>
      <c r="CD139" s="0" t="n">
        <v>6.66565671867899</v>
      </c>
      <c r="CG139" s="0" t="n">
        <v>8</v>
      </c>
      <c r="CH139" s="3" t="s">
        <v>784</v>
      </c>
      <c r="CI139" s="3" t="s">
        <v>568</v>
      </c>
    </row>
    <row r="140" customFormat="false" ht="14.25" hidden="false" customHeight="false" outlineLevel="0" collapsed="false">
      <c r="A140" s="0" t="s">
        <v>785</v>
      </c>
      <c r="B140" s="0" t="s">
        <v>786</v>
      </c>
      <c r="C140" s="0" t="s">
        <v>560</v>
      </c>
      <c r="D140" s="0" t="s">
        <v>577</v>
      </c>
      <c r="F140" s="0" t="s">
        <v>91</v>
      </c>
      <c r="I140" s="0" t="n">
        <v>2012</v>
      </c>
      <c r="K140" s="0" t="s">
        <v>562</v>
      </c>
      <c r="L140" s="4" t="n">
        <v>46295</v>
      </c>
      <c r="M140" s="0" t="n">
        <v>176</v>
      </c>
      <c r="N140" s="0" t="n">
        <v>14.67</v>
      </c>
      <c r="P140" s="3" t="s">
        <v>446</v>
      </c>
      <c r="Q140" s="3" t="s">
        <v>787</v>
      </c>
      <c r="R140" s="0" t="n">
        <v>1</v>
      </c>
      <c r="S140" s="0" t="n">
        <v>0</v>
      </c>
      <c r="T140" s="0" t="n">
        <v>0</v>
      </c>
      <c r="U140" s="0" t="n">
        <v>1</v>
      </c>
      <c r="V140" s="0" t="n">
        <v>0</v>
      </c>
      <c r="Y140" s="0" t="n">
        <v>3</v>
      </c>
      <c r="Z140" s="0" t="n">
        <v>1</v>
      </c>
      <c r="AF140" s="0" t="n">
        <v>1</v>
      </c>
      <c r="AX140" s="3" t="s">
        <v>101</v>
      </c>
      <c r="AY140" s="3" t="s">
        <v>565</v>
      </c>
      <c r="AZ140" s="3" t="s">
        <v>788</v>
      </c>
      <c r="BC140" s="0" t="n">
        <v>0</v>
      </c>
      <c r="BF140" s="0" t="n">
        <v>176</v>
      </c>
      <c r="BG140" s="0" t="n">
        <v>0</v>
      </c>
      <c r="BK140" s="0" t="n">
        <v>0</v>
      </c>
      <c r="CC140" s="0" t="n">
        <v>5.45638755164772</v>
      </c>
      <c r="CD140" s="0" t="n">
        <v>9.47899691419792</v>
      </c>
      <c r="CG140" s="0" t="n">
        <v>8</v>
      </c>
      <c r="CH140" s="3" t="s">
        <v>789</v>
      </c>
      <c r="CI140" s="3" t="s">
        <v>568</v>
      </c>
    </row>
    <row r="141" customFormat="false" ht="14.25" hidden="false" customHeight="false" outlineLevel="0" collapsed="false">
      <c r="A141" s="0" t="s">
        <v>790</v>
      </c>
      <c r="B141" s="0" t="s">
        <v>791</v>
      </c>
      <c r="C141" s="0" t="s">
        <v>560</v>
      </c>
      <c r="D141" s="0" t="s">
        <v>619</v>
      </c>
      <c r="F141" s="0" t="s">
        <v>91</v>
      </c>
      <c r="I141" s="0" t="n">
        <v>2010</v>
      </c>
      <c r="K141" s="0" t="s">
        <v>562</v>
      </c>
      <c r="L141" s="4" t="n">
        <v>46295</v>
      </c>
      <c r="M141" s="0" t="n">
        <v>200</v>
      </c>
      <c r="N141" s="0" t="n">
        <v>16.67</v>
      </c>
      <c r="P141" s="3" t="s">
        <v>446</v>
      </c>
      <c r="Q141" s="3" t="s">
        <v>792</v>
      </c>
      <c r="R141" s="0" t="n">
        <v>1</v>
      </c>
      <c r="S141" s="0" t="n">
        <v>0</v>
      </c>
      <c r="T141" s="0" t="n">
        <v>0</v>
      </c>
      <c r="V141" s="0" t="n">
        <v>0</v>
      </c>
      <c r="Y141" s="0" t="n">
        <v>3</v>
      </c>
      <c r="Z141" s="0" t="n">
        <v>1</v>
      </c>
      <c r="AF141" s="0" t="n">
        <v>3</v>
      </c>
      <c r="AX141" s="3" t="s">
        <v>101</v>
      </c>
      <c r="AY141" s="3" t="s">
        <v>565</v>
      </c>
      <c r="AZ141" s="3" t="s">
        <v>793</v>
      </c>
      <c r="BC141" s="0" t="n">
        <v>0</v>
      </c>
      <c r="BF141" s="0" t="n">
        <v>200</v>
      </c>
      <c r="BG141" s="0" t="n">
        <v>0</v>
      </c>
      <c r="BK141" s="0" t="n">
        <v>0</v>
      </c>
      <c r="CC141" s="0" t="n">
        <v>8.49758470165625</v>
      </c>
      <c r="CD141" s="0" t="n">
        <v>11.9893899204244</v>
      </c>
      <c r="CG141" s="0" t="n">
        <v>8</v>
      </c>
      <c r="CH141" s="3" t="s">
        <v>794</v>
      </c>
      <c r="CI141" s="3" t="s">
        <v>568</v>
      </c>
    </row>
    <row r="142" customFormat="false" ht="14.25" hidden="false" customHeight="false" outlineLevel="0" collapsed="false">
      <c r="A142" s="0" t="s">
        <v>795</v>
      </c>
      <c r="B142" s="0" t="s">
        <v>796</v>
      </c>
      <c r="C142" s="0" t="s">
        <v>560</v>
      </c>
      <c r="D142" s="0" t="s">
        <v>797</v>
      </c>
      <c r="F142" s="0" t="s">
        <v>91</v>
      </c>
      <c r="I142" s="0" t="n">
        <v>2007</v>
      </c>
      <c r="K142" s="0" t="s">
        <v>562</v>
      </c>
      <c r="L142" s="4" t="n">
        <v>46295</v>
      </c>
      <c r="M142" s="0" t="n">
        <v>236</v>
      </c>
      <c r="N142" s="0" t="n">
        <v>19.67</v>
      </c>
      <c r="P142" s="3" t="s">
        <v>446</v>
      </c>
      <c r="Q142" s="3" t="s">
        <v>798</v>
      </c>
      <c r="R142" s="0" t="n">
        <v>1</v>
      </c>
      <c r="S142" s="0" t="n">
        <v>0</v>
      </c>
      <c r="T142" s="0" t="n">
        <v>0</v>
      </c>
      <c r="U142" s="0" t="n">
        <v>1</v>
      </c>
      <c r="V142" s="0" t="n">
        <v>0</v>
      </c>
      <c r="Y142" s="0" t="n">
        <v>3</v>
      </c>
      <c r="Z142" s="0" t="n">
        <v>1</v>
      </c>
      <c r="AA142" s="0" t="n">
        <v>1</v>
      </c>
      <c r="AB142" s="3" t="s">
        <v>799</v>
      </c>
      <c r="AM142" s="0" t="n">
        <v>2</v>
      </c>
      <c r="AN142" s="3" t="s">
        <v>800</v>
      </c>
      <c r="AO142" s="0" t="n">
        <v>1</v>
      </c>
      <c r="AX142" s="3" t="s">
        <v>101</v>
      </c>
      <c r="AY142" s="3" t="s">
        <v>565</v>
      </c>
      <c r="AZ142" s="3" t="s">
        <v>801</v>
      </c>
      <c r="BC142" s="0" t="n">
        <v>0</v>
      </c>
      <c r="BF142" s="0" t="n">
        <v>236</v>
      </c>
      <c r="BG142" s="0" t="n">
        <v>0</v>
      </c>
      <c r="BK142" s="0" t="n">
        <v>0</v>
      </c>
      <c r="CC142" s="0" t="n">
        <v>7.66081506510766</v>
      </c>
      <c r="CD142" s="0" t="n">
        <v>6.37288135593231</v>
      </c>
      <c r="CG142" s="0" t="n">
        <v>5</v>
      </c>
      <c r="CH142" s="3" t="s">
        <v>802</v>
      </c>
      <c r="CI142" s="3" t="s">
        <v>568</v>
      </c>
    </row>
    <row r="143" customFormat="false" ht="14.25" hidden="false" customHeight="false" outlineLevel="0" collapsed="false">
      <c r="A143" s="0" t="s">
        <v>803</v>
      </c>
      <c r="B143" s="0" t="s">
        <v>804</v>
      </c>
      <c r="C143" s="0" t="s">
        <v>560</v>
      </c>
      <c r="D143" s="0" t="s">
        <v>805</v>
      </c>
      <c r="F143" s="0" t="s">
        <v>91</v>
      </c>
      <c r="I143" s="0" t="n">
        <v>1997</v>
      </c>
      <c r="K143" s="0" t="s">
        <v>562</v>
      </c>
      <c r="L143" s="4" t="n">
        <v>46295</v>
      </c>
      <c r="M143" s="0" t="n">
        <v>356</v>
      </c>
      <c r="N143" s="0" t="n">
        <v>29.67</v>
      </c>
      <c r="P143" s="3" t="s">
        <v>165</v>
      </c>
      <c r="Q143" s="3" t="s">
        <v>806</v>
      </c>
      <c r="R143" s="0" t="n">
        <v>1</v>
      </c>
      <c r="S143" s="0" t="n">
        <v>0</v>
      </c>
      <c r="T143" s="0" t="n">
        <v>1</v>
      </c>
      <c r="V143" s="0" t="n">
        <v>0</v>
      </c>
      <c r="Y143" s="0" t="n">
        <v>3</v>
      </c>
      <c r="Z143" s="0" t="n">
        <v>1</v>
      </c>
      <c r="AX143" s="3" t="s">
        <v>101</v>
      </c>
      <c r="AY143" s="3" t="s">
        <v>565</v>
      </c>
      <c r="AZ143" s="3" t="s">
        <v>807</v>
      </c>
      <c r="BC143" s="0" t="n">
        <v>0</v>
      </c>
      <c r="BF143" s="0" t="n">
        <v>356</v>
      </c>
      <c r="BG143" s="0" t="n">
        <v>0</v>
      </c>
      <c r="BK143" s="0" t="n">
        <v>0</v>
      </c>
      <c r="CC143" s="0" t="n">
        <v>4.04982084902483</v>
      </c>
      <c r="CD143" s="0" t="n">
        <v>7.16425211462721</v>
      </c>
      <c r="CG143" s="0" t="n">
        <v>8</v>
      </c>
      <c r="CH143" s="3" t="s">
        <v>808</v>
      </c>
      <c r="CI143" s="3" t="s">
        <v>568</v>
      </c>
    </row>
    <row r="144" customFormat="false" ht="14.25" hidden="false" customHeight="false" outlineLevel="0" collapsed="false">
      <c r="A144" s="0" t="s">
        <v>809</v>
      </c>
      <c r="B144" s="0" t="s">
        <v>810</v>
      </c>
      <c r="C144" s="0" t="s">
        <v>560</v>
      </c>
      <c r="D144" s="0" t="s">
        <v>577</v>
      </c>
      <c r="F144" s="0" t="s">
        <v>91</v>
      </c>
      <c r="I144" s="0" t="n">
        <v>2016</v>
      </c>
      <c r="K144" s="0" t="s">
        <v>562</v>
      </c>
      <c r="L144" s="4" t="n">
        <v>46295</v>
      </c>
      <c r="M144" s="0" t="n">
        <v>128</v>
      </c>
      <c r="N144" s="0" t="n">
        <v>10.67</v>
      </c>
      <c r="P144" s="3" t="s">
        <v>165</v>
      </c>
      <c r="Q144" s="3" t="s">
        <v>811</v>
      </c>
      <c r="R144" s="0" t="n">
        <v>0</v>
      </c>
      <c r="S144" s="0" t="n">
        <v>1</v>
      </c>
      <c r="T144" s="0" t="n">
        <v>0</v>
      </c>
      <c r="U144" s="0" t="n">
        <v>0</v>
      </c>
      <c r="V144" s="0" t="n">
        <v>0</v>
      </c>
      <c r="W144" s="0" t="n">
        <v>0</v>
      </c>
      <c r="Y144" s="0" t="n">
        <v>3</v>
      </c>
      <c r="Z144" s="0" t="n">
        <v>1</v>
      </c>
      <c r="AF144" s="0" t="n">
        <v>1</v>
      </c>
      <c r="AX144" s="3" t="s">
        <v>142</v>
      </c>
      <c r="AY144" s="3" t="s">
        <v>565</v>
      </c>
      <c r="AZ144" s="3" t="s">
        <v>812</v>
      </c>
      <c r="BC144" s="0" t="n">
        <v>1</v>
      </c>
      <c r="BD144" s="0" t="n">
        <v>2023</v>
      </c>
      <c r="BF144" s="0" t="n">
        <v>84</v>
      </c>
      <c r="BG144" s="0" t="n">
        <v>0</v>
      </c>
      <c r="BK144" s="0" t="n">
        <v>1</v>
      </c>
      <c r="CC144" s="0" t="n">
        <v>8.25630550176662</v>
      </c>
      <c r="CD144" s="0" t="n">
        <v>4.94821634062134</v>
      </c>
      <c r="CG144" s="0" t="n">
        <v>8</v>
      </c>
      <c r="CH144" s="3" t="s">
        <v>813</v>
      </c>
      <c r="CI144" s="3" t="s">
        <v>568</v>
      </c>
    </row>
    <row r="145" customFormat="false" ht="14.25" hidden="false" customHeight="false" outlineLevel="0" collapsed="false">
      <c r="A145" s="0" t="s">
        <v>814</v>
      </c>
      <c r="B145" s="0" t="s">
        <v>815</v>
      </c>
      <c r="C145" s="0" t="s">
        <v>560</v>
      </c>
      <c r="D145" s="0" t="s">
        <v>816</v>
      </c>
      <c r="F145" s="0" t="s">
        <v>91</v>
      </c>
      <c r="I145" s="0" t="n">
        <v>2019</v>
      </c>
      <c r="K145" s="0" t="s">
        <v>562</v>
      </c>
      <c r="L145" s="4" t="n">
        <v>46295</v>
      </c>
      <c r="M145" s="0" t="n">
        <v>92</v>
      </c>
      <c r="N145" s="0" t="n">
        <v>7.67</v>
      </c>
      <c r="P145" s="3" t="s">
        <v>259</v>
      </c>
      <c r="Q145" s="3" t="s">
        <v>817</v>
      </c>
      <c r="R145" s="0" t="n">
        <v>0</v>
      </c>
      <c r="S145" s="0" t="n">
        <v>1</v>
      </c>
      <c r="T145" s="0" t="n">
        <v>1</v>
      </c>
      <c r="U145" s="0" t="n">
        <v>0</v>
      </c>
      <c r="V145" s="0" t="n">
        <v>0</v>
      </c>
      <c r="W145" s="0" t="n">
        <v>0</v>
      </c>
      <c r="Y145" s="0" t="n">
        <v>2</v>
      </c>
      <c r="Z145" s="0" t="n">
        <v>1</v>
      </c>
      <c r="AA145" s="0" t="n">
        <v>0</v>
      </c>
      <c r="AF145" s="0" t="n">
        <v>1</v>
      </c>
      <c r="AX145" s="3" t="s">
        <v>142</v>
      </c>
      <c r="AY145" s="3" t="s">
        <v>565</v>
      </c>
      <c r="AZ145" s="3" t="s">
        <v>818</v>
      </c>
      <c r="BC145" s="0" t="n">
        <v>1</v>
      </c>
      <c r="BD145" s="0" t="n">
        <v>2023</v>
      </c>
      <c r="BF145" s="0" t="n">
        <v>48</v>
      </c>
      <c r="BG145" s="0" t="n">
        <v>0</v>
      </c>
      <c r="BK145" s="0" t="n">
        <v>1</v>
      </c>
      <c r="CC145" s="0" t="n">
        <v>3.87143694070524</v>
      </c>
      <c r="CD145" s="0" t="n">
        <v>3.72950573539123</v>
      </c>
      <c r="CG145" s="0" t="n">
        <v>7</v>
      </c>
      <c r="CH145" s="3" t="s">
        <v>819</v>
      </c>
      <c r="CI145" s="3" t="s">
        <v>568</v>
      </c>
    </row>
    <row r="146" customFormat="false" ht="14.25" hidden="false" customHeight="false" outlineLevel="0" collapsed="false">
      <c r="A146" s="0" t="s">
        <v>820</v>
      </c>
      <c r="B146" s="0" t="s">
        <v>821</v>
      </c>
      <c r="C146" s="0" t="s">
        <v>560</v>
      </c>
      <c r="F146" s="0" t="s">
        <v>91</v>
      </c>
      <c r="I146" s="0" t="n">
        <v>2019</v>
      </c>
      <c r="K146" s="0" t="s">
        <v>562</v>
      </c>
      <c r="L146" s="4" t="n">
        <v>46295</v>
      </c>
      <c r="M146" s="0" t="n">
        <v>92</v>
      </c>
      <c r="N146" s="0" t="n">
        <v>7.67</v>
      </c>
      <c r="P146" s="3" t="s">
        <v>94</v>
      </c>
      <c r="Q146" s="3" t="s">
        <v>822</v>
      </c>
      <c r="R146" s="0" t="n">
        <v>0</v>
      </c>
      <c r="S146" s="0" t="n">
        <v>1</v>
      </c>
      <c r="T146" s="0" t="n">
        <v>0</v>
      </c>
      <c r="U146" s="0" t="n">
        <v>1</v>
      </c>
      <c r="V146" s="0" t="n">
        <v>0</v>
      </c>
      <c r="W146" s="0" t="n">
        <v>0</v>
      </c>
      <c r="Y146" s="0" t="n">
        <v>3</v>
      </c>
      <c r="Z146" s="0" t="n">
        <v>1</v>
      </c>
      <c r="AF146" s="0" t="n">
        <v>2</v>
      </c>
      <c r="AR146" s="0" t="n">
        <v>15</v>
      </c>
      <c r="AX146" s="3" t="s">
        <v>142</v>
      </c>
      <c r="AY146" s="3" t="s">
        <v>565</v>
      </c>
      <c r="AZ146" s="3" t="s">
        <v>823</v>
      </c>
      <c r="BC146" s="0" t="n">
        <v>1</v>
      </c>
      <c r="BD146" s="0" t="n">
        <v>2024</v>
      </c>
      <c r="BF146" s="0" t="n">
        <v>60</v>
      </c>
      <c r="BG146" s="0" t="n">
        <v>0</v>
      </c>
      <c r="BK146" s="0" t="n">
        <v>1</v>
      </c>
      <c r="CC146" s="0" t="n">
        <v>3.87143694070524</v>
      </c>
      <c r="CD146" s="0" t="n">
        <v>3.72950573539123</v>
      </c>
      <c r="CG146" s="0" t="n">
        <v>7</v>
      </c>
      <c r="CH146" s="3" t="s">
        <v>824</v>
      </c>
      <c r="CI146" s="3" t="s">
        <v>568</v>
      </c>
    </row>
    <row r="147" customFormat="false" ht="14.25" hidden="false" customHeight="false" outlineLevel="0" collapsed="false">
      <c r="A147" s="0" t="s">
        <v>825</v>
      </c>
      <c r="B147" s="0" t="s">
        <v>826</v>
      </c>
      <c r="C147" s="0" t="s">
        <v>560</v>
      </c>
      <c r="F147" s="0" t="s">
        <v>91</v>
      </c>
      <c r="I147" s="0" t="n">
        <v>2020</v>
      </c>
      <c r="K147" s="0" t="s">
        <v>562</v>
      </c>
      <c r="L147" s="4" t="n">
        <v>46295</v>
      </c>
      <c r="M147" s="0" t="n">
        <v>80</v>
      </c>
      <c r="N147" s="0" t="n">
        <v>6.67</v>
      </c>
      <c r="P147" s="3" t="s">
        <v>267</v>
      </c>
      <c r="Q147" s="3" t="s">
        <v>827</v>
      </c>
      <c r="R147" s="0" t="n">
        <v>0</v>
      </c>
      <c r="S147" s="0" t="n">
        <v>1</v>
      </c>
      <c r="T147" s="0" t="n">
        <v>0</v>
      </c>
      <c r="U147" s="0" t="n">
        <v>0</v>
      </c>
      <c r="V147" s="0" t="n">
        <v>0</v>
      </c>
      <c r="W147" s="0" t="n">
        <v>0</v>
      </c>
      <c r="Y147" s="0" t="n">
        <v>2</v>
      </c>
      <c r="Z147" s="0" t="n">
        <v>1</v>
      </c>
      <c r="AA147" s="0" t="n">
        <v>1</v>
      </c>
      <c r="AB147" s="3" t="s">
        <v>828</v>
      </c>
      <c r="AF147" s="0" t="n">
        <v>3</v>
      </c>
      <c r="AX147" s="3" t="s">
        <v>142</v>
      </c>
      <c r="AY147" s="3" t="s">
        <v>565</v>
      </c>
      <c r="AZ147" s="3" t="s">
        <v>829</v>
      </c>
      <c r="BC147" s="0" t="n">
        <v>1</v>
      </c>
      <c r="BD147" s="0" t="n">
        <v>2023</v>
      </c>
      <c r="BF147" s="0" t="n">
        <v>36</v>
      </c>
      <c r="BK147" s="0" t="n">
        <v>1</v>
      </c>
      <c r="CC147" s="0" t="n">
        <v>-5.77772470687303</v>
      </c>
      <c r="CD147" s="0" t="n">
        <v>6.62343677628529</v>
      </c>
      <c r="CG147" s="0" t="n">
        <v>7</v>
      </c>
      <c r="CH147" s="3" t="s">
        <v>830</v>
      </c>
      <c r="CI147" s="3" t="s">
        <v>568</v>
      </c>
    </row>
    <row r="148" customFormat="false" ht="14.25" hidden="false" customHeight="false" outlineLevel="0" collapsed="false">
      <c r="A148" s="0" t="s">
        <v>831</v>
      </c>
      <c r="B148" s="0" t="s">
        <v>832</v>
      </c>
      <c r="C148" s="0" t="s">
        <v>560</v>
      </c>
      <c r="F148" s="0" t="s">
        <v>91</v>
      </c>
      <c r="I148" s="0" t="n">
        <v>2022</v>
      </c>
      <c r="K148" s="0" t="s">
        <v>562</v>
      </c>
      <c r="L148" s="4" t="n">
        <v>46295</v>
      </c>
      <c r="M148" s="0" t="n">
        <v>56</v>
      </c>
      <c r="N148" s="0" t="n">
        <v>4.67</v>
      </c>
      <c r="P148" s="3" t="s">
        <v>327</v>
      </c>
      <c r="Q148" s="3" t="s">
        <v>833</v>
      </c>
      <c r="R148" s="0" t="n">
        <v>0</v>
      </c>
      <c r="S148" s="0" t="n">
        <v>1</v>
      </c>
      <c r="T148" s="0" t="n">
        <v>0</v>
      </c>
      <c r="U148" s="0" t="n">
        <v>0</v>
      </c>
      <c r="V148" s="0" t="n">
        <v>0</v>
      </c>
      <c r="W148" s="0" t="n">
        <v>0</v>
      </c>
      <c r="Y148" s="0" t="n">
        <v>2</v>
      </c>
      <c r="Z148" s="0" t="n">
        <v>1</v>
      </c>
      <c r="AF148" s="0" t="n">
        <v>1</v>
      </c>
      <c r="AO148" s="0" t="n">
        <v>1</v>
      </c>
      <c r="AQ148" s="0" t="n">
        <v>1</v>
      </c>
      <c r="AX148" s="3" t="s">
        <v>142</v>
      </c>
      <c r="AY148" s="3" t="s">
        <v>565</v>
      </c>
      <c r="AZ148" s="3" t="s">
        <v>834</v>
      </c>
      <c r="BC148" s="0" t="n">
        <v>1</v>
      </c>
      <c r="BD148" s="0" t="n">
        <v>2024</v>
      </c>
      <c r="BF148" s="0" t="n">
        <v>24</v>
      </c>
      <c r="BK148" s="0" t="n">
        <v>1</v>
      </c>
      <c r="CC148" s="0" t="n">
        <v>7.6093649776932</v>
      </c>
      <c r="CD148" s="0" t="n">
        <v>6.69903414079857</v>
      </c>
      <c r="CG148" s="0" t="n">
        <v>6</v>
      </c>
      <c r="CH148" s="3" t="s">
        <v>835</v>
      </c>
      <c r="CI148" s="3" t="s">
        <v>568</v>
      </c>
    </row>
    <row r="149" customFormat="false" ht="14.25" hidden="false" customHeight="false" outlineLevel="0" collapsed="false">
      <c r="A149" s="0" t="s">
        <v>836</v>
      </c>
      <c r="B149" s="0" t="s">
        <v>837</v>
      </c>
      <c r="C149" s="0" t="s">
        <v>560</v>
      </c>
      <c r="D149" s="0" t="s">
        <v>561</v>
      </c>
      <c r="F149" s="0" t="s">
        <v>91</v>
      </c>
      <c r="I149" s="0" t="n">
        <v>1986</v>
      </c>
      <c r="K149" s="0" t="s">
        <v>562</v>
      </c>
      <c r="L149" s="4" t="n">
        <v>46295</v>
      </c>
      <c r="M149" s="0" t="n">
        <v>488</v>
      </c>
      <c r="N149" s="0" t="n">
        <v>40.67</v>
      </c>
      <c r="P149" s="3" t="s">
        <v>446</v>
      </c>
      <c r="Q149" s="3" t="s">
        <v>838</v>
      </c>
      <c r="R149" s="0" t="n">
        <v>1</v>
      </c>
      <c r="S149" s="0" t="n">
        <v>0</v>
      </c>
      <c r="T149" s="0" t="n">
        <v>0</v>
      </c>
      <c r="U149" s="0" t="n">
        <v>1</v>
      </c>
      <c r="V149" s="0" t="n">
        <v>0</v>
      </c>
      <c r="W149" s="0" t="n">
        <v>0</v>
      </c>
      <c r="Y149" s="0" t="n">
        <v>3</v>
      </c>
      <c r="Z149" s="0" t="n">
        <v>1</v>
      </c>
      <c r="AF149" s="0" t="n">
        <v>2</v>
      </c>
      <c r="AO149" s="0" t="n">
        <v>1</v>
      </c>
      <c r="AQ149" s="0" t="n">
        <v>0</v>
      </c>
      <c r="AX149" s="3" t="s">
        <v>101</v>
      </c>
      <c r="AY149" s="3" t="s">
        <v>565</v>
      </c>
      <c r="AZ149" s="3" t="s">
        <v>839</v>
      </c>
      <c r="BC149" s="0" t="n">
        <v>0</v>
      </c>
      <c r="BF149" s="0" t="n">
        <v>488</v>
      </c>
      <c r="BK149" s="0" t="n">
        <v>0</v>
      </c>
      <c r="CG149" s="0" t="n">
        <v>6</v>
      </c>
      <c r="CH149" s="3" t="s">
        <v>840</v>
      </c>
      <c r="CI149" s="3" t="s">
        <v>568</v>
      </c>
    </row>
    <row r="150" customFormat="false" ht="14.25" hidden="false" customHeight="false" outlineLevel="0" collapsed="false">
      <c r="A150" s="0" t="s">
        <v>841</v>
      </c>
      <c r="B150" s="0" t="s">
        <v>842</v>
      </c>
      <c r="C150" s="0" t="s">
        <v>843</v>
      </c>
      <c r="D150" s="0" t="s">
        <v>844</v>
      </c>
      <c r="F150" s="0" t="s">
        <v>91</v>
      </c>
      <c r="I150" s="0" t="n">
        <v>2020</v>
      </c>
      <c r="K150" s="0" t="s">
        <v>562</v>
      </c>
      <c r="L150" s="4" t="n">
        <v>46295</v>
      </c>
      <c r="M150" s="0" t="n">
        <v>80</v>
      </c>
      <c r="N150" s="0" t="n">
        <v>6.67</v>
      </c>
      <c r="P150" s="3" t="s">
        <v>165</v>
      </c>
      <c r="Q150" s="3" t="s">
        <v>845</v>
      </c>
      <c r="R150" s="0" t="n">
        <v>1</v>
      </c>
      <c r="S150" s="0" t="n">
        <v>0</v>
      </c>
      <c r="T150" s="0" t="n">
        <v>1</v>
      </c>
      <c r="V150" s="0" t="n">
        <v>0</v>
      </c>
      <c r="Y150" s="0" t="n">
        <v>3</v>
      </c>
      <c r="Z150" s="0" t="n">
        <v>1</v>
      </c>
      <c r="AA150" s="0" t="n">
        <v>1</v>
      </c>
      <c r="AB150" s="3" t="s">
        <v>846</v>
      </c>
      <c r="AF150" s="0" t="n">
        <v>2</v>
      </c>
      <c r="AX150" s="3" t="s">
        <v>101</v>
      </c>
      <c r="AY150" s="3" t="s">
        <v>565</v>
      </c>
      <c r="AZ150" s="3" t="s">
        <v>847</v>
      </c>
      <c r="BC150" s="0" t="n">
        <v>0</v>
      </c>
      <c r="BF150" s="0" t="n">
        <v>80</v>
      </c>
      <c r="BG150" s="0" t="n">
        <v>1</v>
      </c>
      <c r="BK150" s="0" t="n">
        <v>1</v>
      </c>
      <c r="CC150" s="0" t="n">
        <v>-1.27408744338709</v>
      </c>
      <c r="CD150" s="0" t="n">
        <v>9.74011619320125</v>
      </c>
      <c r="CG150" s="0" t="n">
        <v>7</v>
      </c>
      <c r="CH150" s="3" t="s">
        <v>848</v>
      </c>
      <c r="CI150" s="3" t="s">
        <v>568</v>
      </c>
    </row>
    <row r="151" customFormat="false" ht="14.25" hidden="false" customHeight="false" outlineLevel="0" collapsed="false">
      <c r="A151" s="0" t="s">
        <v>849</v>
      </c>
      <c r="B151" s="0" t="s">
        <v>850</v>
      </c>
      <c r="C151" s="0" t="s">
        <v>843</v>
      </c>
      <c r="D151" s="0" t="s">
        <v>844</v>
      </c>
      <c r="F151" s="0" t="s">
        <v>91</v>
      </c>
      <c r="I151" s="0" t="n">
        <v>2020</v>
      </c>
      <c r="K151" s="0" t="s">
        <v>562</v>
      </c>
      <c r="L151" s="4" t="n">
        <v>46295</v>
      </c>
      <c r="M151" s="0" t="n">
        <v>80</v>
      </c>
      <c r="N151" s="0" t="n">
        <v>6.67</v>
      </c>
      <c r="P151" s="3" t="s">
        <v>165</v>
      </c>
      <c r="Q151" s="3" t="s">
        <v>851</v>
      </c>
      <c r="R151" s="0" t="n">
        <v>1</v>
      </c>
      <c r="S151" s="0" t="n">
        <v>0</v>
      </c>
      <c r="T151" s="0" t="n">
        <v>1</v>
      </c>
      <c r="V151" s="0" t="n">
        <v>0</v>
      </c>
      <c r="Y151" s="0" t="n">
        <v>3</v>
      </c>
      <c r="Z151" s="0" t="n">
        <v>1</v>
      </c>
      <c r="AF151" s="0" t="n">
        <v>2</v>
      </c>
      <c r="AX151" s="3" t="s">
        <v>101</v>
      </c>
      <c r="AY151" s="3" t="s">
        <v>565</v>
      </c>
      <c r="AZ151" s="3" t="s">
        <v>852</v>
      </c>
      <c r="BC151" s="0" t="n">
        <v>0</v>
      </c>
      <c r="BF151" s="0" t="n">
        <v>80</v>
      </c>
      <c r="BG151" s="0" t="n">
        <v>1</v>
      </c>
      <c r="BK151" s="0" t="n">
        <v>1</v>
      </c>
      <c r="CC151" s="0" t="n">
        <v>-1.27408744338709</v>
      </c>
      <c r="CD151" s="0" t="n">
        <v>9.74011619320125</v>
      </c>
      <c r="CG151" s="0" t="n">
        <v>8</v>
      </c>
      <c r="CH151" s="3" t="s">
        <v>853</v>
      </c>
      <c r="CI151" s="3" t="s">
        <v>568</v>
      </c>
    </row>
    <row r="152" customFormat="false" ht="14.25" hidden="false" customHeight="false" outlineLevel="0" collapsed="false">
      <c r="A152" s="0" t="s">
        <v>854</v>
      </c>
      <c r="B152" s="0" t="s">
        <v>855</v>
      </c>
      <c r="C152" s="0" t="s">
        <v>843</v>
      </c>
      <c r="D152" s="0" t="s">
        <v>856</v>
      </c>
      <c r="F152" s="0" t="s">
        <v>91</v>
      </c>
      <c r="I152" s="0" t="n">
        <v>2019</v>
      </c>
      <c r="K152" s="0" t="s">
        <v>562</v>
      </c>
      <c r="L152" s="4" t="n">
        <v>46295</v>
      </c>
      <c r="M152" s="0" t="n">
        <v>92</v>
      </c>
      <c r="N152" s="0" t="n">
        <v>7.67</v>
      </c>
      <c r="P152" s="3" t="s">
        <v>165</v>
      </c>
      <c r="Q152" s="3" t="s">
        <v>857</v>
      </c>
      <c r="R152" s="0" t="n">
        <v>1</v>
      </c>
      <c r="S152" s="0" t="n">
        <v>0</v>
      </c>
      <c r="T152" s="0" t="n">
        <v>1</v>
      </c>
      <c r="V152" s="0" t="n">
        <v>0</v>
      </c>
      <c r="Y152" s="0" t="n">
        <v>3</v>
      </c>
      <c r="Z152" s="0" t="n">
        <v>1</v>
      </c>
      <c r="AX152" s="3" t="s">
        <v>101</v>
      </c>
      <c r="AY152" s="3" t="s">
        <v>565</v>
      </c>
      <c r="AZ152" s="3" t="s">
        <v>858</v>
      </c>
      <c r="BC152" s="0" t="n">
        <v>0</v>
      </c>
      <c r="BF152" s="0" t="n">
        <v>92</v>
      </c>
      <c r="BG152" s="0" t="n">
        <v>1</v>
      </c>
      <c r="BK152" s="0" t="n">
        <v>1</v>
      </c>
      <c r="CC152" s="0" t="n">
        <v>2.49763692943365</v>
      </c>
      <c r="CD152" s="0" t="n">
        <v>10.5780305672024</v>
      </c>
      <c r="CG152" s="0" t="n">
        <v>8</v>
      </c>
      <c r="CH152" s="3" t="s">
        <v>859</v>
      </c>
      <c r="CI152" s="3" t="s">
        <v>568</v>
      </c>
    </row>
    <row r="153" customFormat="false" ht="14.25" hidden="false" customHeight="false" outlineLevel="0" collapsed="false">
      <c r="A153" s="0" t="s">
        <v>860</v>
      </c>
      <c r="B153" s="0" t="s">
        <v>861</v>
      </c>
      <c r="C153" s="0" t="s">
        <v>843</v>
      </c>
      <c r="D153" s="0" t="s">
        <v>856</v>
      </c>
      <c r="F153" s="0" t="s">
        <v>91</v>
      </c>
      <c r="I153" s="0" t="n">
        <v>2019</v>
      </c>
      <c r="K153" s="0" t="s">
        <v>562</v>
      </c>
      <c r="L153" s="4" t="n">
        <v>46295</v>
      </c>
      <c r="M153" s="0" t="n">
        <v>92</v>
      </c>
      <c r="N153" s="0" t="n">
        <v>7.67</v>
      </c>
      <c r="P153" s="3" t="s">
        <v>165</v>
      </c>
      <c r="Q153" s="3" t="s">
        <v>862</v>
      </c>
      <c r="R153" s="0" t="n">
        <v>0</v>
      </c>
      <c r="S153" s="0" t="n">
        <v>1</v>
      </c>
      <c r="T153" s="0" t="n">
        <v>0</v>
      </c>
      <c r="V153" s="0" t="n">
        <v>0</v>
      </c>
      <c r="Y153" s="0" t="n">
        <v>3</v>
      </c>
      <c r="Z153" s="0" t="n">
        <v>1</v>
      </c>
      <c r="AX153" s="3" t="s">
        <v>142</v>
      </c>
      <c r="AY153" s="3" t="s">
        <v>565</v>
      </c>
      <c r="AZ153" s="3" t="s">
        <v>863</v>
      </c>
      <c r="BC153" s="0" t="n">
        <v>1</v>
      </c>
      <c r="BD153" s="0" t="n">
        <v>2022</v>
      </c>
      <c r="BF153" s="0" t="n">
        <v>36</v>
      </c>
      <c r="BG153" s="0" t="n">
        <v>1</v>
      </c>
      <c r="BK153" s="0" t="n">
        <v>1</v>
      </c>
      <c r="CC153" s="0" t="n">
        <v>2.49763692943365</v>
      </c>
      <c r="CD153" s="0" t="n">
        <v>10.5780305672024</v>
      </c>
      <c r="CG153" s="0" t="n">
        <v>8</v>
      </c>
      <c r="CH153" s="3" t="s">
        <v>864</v>
      </c>
      <c r="CI153" s="3" t="s">
        <v>568</v>
      </c>
    </row>
    <row r="154" customFormat="false" ht="14.25" hidden="false" customHeight="false" outlineLevel="0" collapsed="false">
      <c r="A154" s="0" t="s">
        <v>865</v>
      </c>
      <c r="B154" s="0" t="s">
        <v>866</v>
      </c>
      <c r="C154" s="0" t="s">
        <v>843</v>
      </c>
      <c r="D154" s="0" t="s">
        <v>844</v>
      </c>
      <c r="F154" s="0" t="s">
        <v>91</v>
      </c>
      <c r="I154" s="0" t="n">
        <v>2016</v>
      </c>
      <c r="K154" s="0" t="s">
        <v>562</v>
      </c>
      <c r="L154" s="4" t="n">
        <v>46295</v>
      </c>
      <c r="M154" s="0" t="n">
        <v>128</v>
      </c>
      <c r="N154" s="0" t="n">
        <v>10.67</v>
      </c>
      <c r="P154" s="3" t="s">
        <v>210</v>
      </c>
      <c r="Q154" s="3" t="s">
        <v>867</v>
      </c>
      <c r="R154" s="0" t="n">
        <v>1</v>
      </c>
      <c r="S154" s="0" t="n">
        <v>1</v>
      </c>
      <c r="T154" s="0" t="n">
        <v>1</v>
      </c>
      <c r="V154" s="0" t="n">
        <v>0</v>
      </c>
      <c r="Y154" s="0" t="n">
        <v>3</v>
      </c>
      <c r="Z154" s="0" t="n">
        <v>1</v>
      </c>
      <c r="AF154" s="0" t="n">
        <v>1</v>
      </c>
      <c r="AM154" s="0" t="n">
        <v>3</v>
      </c>
      <c r="AN154" s="3" t="s">
        <v>868</v>
      </c>
      <c r="AO154" s="0" t="n">
        <v>1</v>
      </c>
      <c r="AQ154" s="0" t="n">
        <v>1</v>
      </c>
      <c r="AX154" s="3" t="s">
        <v>101</v>
      </c>
      <c r="AY154" s="3" t="s">
        <v>565</v>
      </c>
      <c r="AZ154" s="3" t="s">
        <v>869</v>
      </c>
      <c r="BC154" s="0" t="n">
        <v>0</v>
      </c>
      <c r="BF154" s="0" t="n">
        <v>128</v>
      </c>
      <c r="BG154" s="0" t="n">
        <v>1</v>
      </c>
      <c r="BK154" s="0" t="n">
        <v>1</v>
      </c>
      <c r="CC154" s="0" t="n">
        <v>6.57383828511043</v>
      </c>
      <c r="CD154" s="0" t="n">
        <v>3.7651191635658</v>
      </c>
      <c r="CG154" s="0" t="n">
        <v>5</v>
      </c>
      <c r="CH154" s="3" t="s">
        <v>870</v>
      </c>
      <c r="CI154" s="3" t="s">
        <v>568</v>
      </c>
    </row>
    <row r="155" customFormat="false" ht="14.25" hidden="false" customHeight="false" outlineLevel="0" collapsed="false">
      <c r="A155" s="0" t="s">
        <v>871</v>
      </c>
      <c r="B155" s="0" t="s">
        <v>872</v>
      </c>
      <c r="C155" s="0" t="s">
        <v>843</v>
      </c>
      <c r="D155" s="0" t="s">
        <v>856</v>
      </c>
      <c r="F155" s="0" t="s">
        <v>91</v>
      </c>
      <c r="I155" s="0" t="n">
        <v>2016</v>
      </c>
      <c r="K155" s="0" t="s">
        <v>562</v>
      </c>
      <c r="L155" s="4" t="n">
        <v>46295</v>
      </c>
      <c r="M155" s="0" t="n">
        <v>128</v>
      </c>
      <c r="N155" s="0" t="n">
        <v>10.67</v>
      </c>
      <c r="P155" s="3" t="s">
        <v>94</v>
      </c>
      <c r="Q155" s="3" t="s">
        <v>873</v>
      </c>
      <c r="R155" s="0" t="n">
        <v>1</v>
      </c>
      <c r="S155" s="0" t="n">
        <v>1</v>
      </c>
      <c r="T155" s="0" t="n">
        <v>0</v>
      </c>
      <c r="V155" s="0" t="n">
        <v>0</v>
      </c>
      <c r="Y155" s="0" t="n">
        <v>3</v>
      </c>
      <c r="Z155" s="0" t="n">
        <v>1</v>
      </c>
      <c r="AF155" s="0" t="n">
        <v>3</v>
      </c>
      <c r="AX155" s="3" t="s">
        <v>101</v>
      </c>
      <c r="AY155" s="3" t="s">
        <v>565</v>
      </c>
      <c r="AZ155" s="3" t="s">
        <v>874</v>
      </c>
      <c r="BC155" s="0" t="n">
        <v>0</v>
      </c>
      <c r="BF155" s="0" t="n">
        <v>128</v>
      </c>
      <c r="BG155" s="0" t="n">
        <v>1</v>
      </c>
      <c r="BK155" s="0" t="n">
        <v>1</v>
      </c>
      <c r="CC155" s="0" t="n">
        <v>6.57383828511043</v>
      </c>
      <c r="CD155" s="0" t="n">
        <v>3.7651191635658</v>
      </c>
      <c r="CG155" s="0" t="n">
        <v>8</v>
      </c>
      <c r="CH155" s="3" t="s">
        <v>875</v>
      </c>
      <c r="CI155" s="3" t="s">
        <v>568</v>
      </c>
    </row>
    <row r="156" customFormat="false" ht="14.25" hidden="false" customHeight="false" outlineLevel="0" collapsed="false">
      <c r="A156" s="0" t="s">
        <v>876</v>
      </c>
      <c r="B156" s="0" t="s">
        <v>877</v>
      </c>
      <c r="C156" s="0" t="s">
        <v>843</v>
      </c>
      <c r="D156" s="0" t="s">
        <v>878</v>
      </c>
      <c r="F156" s="0" t="s">
        <v>91</v>
      </c>
      <c r="I156" s="0" t="n">
        <v>2019</v>
      </c>
      <c r="K156" s="0" t="s">
        <v>562</v>
      </c>
      <c r="L156" s="4" t="n">
        <v>46295</v>
      </c>
      <c r="M156" s="0" t="n">
        <v>92</v>
      </c>
      <c r="N156" s="0" t="n">
        <v>7.67</v>
      </c>
      <c r="P156" s="3" t="s">
        <v>94</v>
      </c>
      <c r="Q156" s="3" t="s">
        <v>879</v>
      </c>
      <c r="R156" s="0" t="n">
        <v>0</v>
      </c>
      <c r="S156" s="0" t="n">
        <v>1</v>
      </c>
      <c r="T156" s="0" t="n">
        <v>0</v>
      </c>
      <c r="V156" s="0" t="n">
        <v>0</v>
      </c>
      <c r="Y156" s="0" t="n">
        <v>3</v>
      </c>
      <c r="Z156" s="0" t="n">
        <v>1</v>
      </c>
      <c r="AX156" s="3" t="s">
        <v>138</v>
      </c>
      <c r="AY156" s="3" t="s">
        <v>565</v>
      </c>
      <c r="AZ156" s="3" t="s">
        <v>880</v>
      </c>
      <c r="BC156" s="0" t="n">
        <v>0</v>
      </c>
      <c r="BF156" s="0" t="n">
        <v>92</v>
      </c>
      <c r="BG156" s="0" t="n">
        <v>1</v>
      </c>
      <c r="BK156" s="0" t="n">
        <v>1</v>
      </c>
      <c r="CC156" s="0" t="n">
        <v>2.49763692943365</v>
      </c>
      <c r="CD156" s="0" t="n">
        <v>10.5780305672024</v>
      </c>
      <c r="CG156" s="0" t="n">
        <v>8</v>
      </c>
      <c r="CH156" s="3" t="s">
        <v>881</v>
      </c>
      <c r="CI156" s="3" t="s">
        <v>568</v>
      </c>
    </row>
    <row r="157" customFormat="false" ht="14.25" hidden="false" customHeight="false" outlineLevel="0" collapsed="false">
      <c r="A157" s="0" t="s">
        <v>882</v>
      </c>
      <c r="B157" s="0" t="s">
        <v>883</v>
      </c>
      <c r="C157" s="0" t="s">
        <v>843</v>
      </c>
      <c r="D157" s="0" t="s">
        <v>844</v>
      </c>
      <c r="F157" s="0" t="s">
        <v>91</v>
      </c>
      <c r="L157" s="4" t="n">
        <v>46295</v>
      </c>
      <c r="P157" s="3" t="s">
        <v>94</v>
      </c>
      <c r="Q157" s="3" t="s">
        <v>884</v>
      </c>
      <c r="R157" s="0" t="n">
        <v>1</v>
      </c>
      <c r="S157" s="0" t="n">
        <v>1</v>
      </c>
      <c r="T157" s="0" t="n">
        <v>0</v>
      </c>
      <c r="V157" s="0" t="n">
        <v>0</v>
      </c>
      <c r="Y157" s="0" t="n">
        <v>3</v>
      </c>
      <c r="Z157" s="0" t="n">
        <v>1</v>
      </c>
      <c r="AX157" s="3" t="s">
        <v>101</v>
      </c>
      <c r="AY157" s="3" t="s">
        <v>565</v>
      </c>
      <c r="AZ157" s="3" t="s">
        <v>885</v>
      </c>
      <c r="BC157" s="0" t="n">
        <v>0</v>
      </c>
      <c r="BG157" s="0" t="n">
        <v>0</v>
      </c>
      <c r="BK157" s="0" t="n">
        <v>1</v>
      </c>
      <c r="CG157" s="0" t="n">
        <v>8</v>
      </c>
      <c r="CH157" s="3" t="s">
        <v>886</v>
      </c>
      <c r="CI157" s="3" t="s">
        <v>568</v>
      </c>
    </row>
    <row r="158" customFormat="false" ht="14.25" hidden="false" customHeight="false" outlineLevel="0" collapsed="false">
      <c r="A158" s="0" t="s">
        <v>887</v>
      </c>
      <c r="B158" s="0" t="s">
        <v>888</v>
      </c>
      <c r="C158" s="0" t="s">
        <v>843</v>
      </c>
      <c r="F158" s="0" t="s">
        <v>91</v>
      </c>
      <c r="I158" s="0" t="n">
        <v>2021</v>
      </c>
      <c r="K158" s="0" t="s">
        <v>562</v>
      </c>
      <c r="L158" s="4" t="n">
        <v>46295</v>
      </c>
      <c r="M158" s="0" t="n">
        <v>68</v>
      </c>
      <c r="N158" s="0" t="n">
        <v>5.67</v>
      </c>
      <c r="P158" s="3" t="s">
        <v>94</v>
      </c>
      <c r="Q158" s="3" t="s">
        <v>889</v>
      </c>
      <c r="R158" s="0" t="n">
        <v>1</v>
      </c>
      <c r="S158" s="0" t="n">
        <v>0</v>
      </c>
      <c r="T158" s="0" t="n">
        <v>0</v>
      </c>
      <c r="V158" s="0" t="n">
        <v>0</v>
      </c>
      <c r="Y158" s="0" t="n">
        <v>3</v>
      </c>
      <c r="Z158" s="0" t="n">
        <v>1</v>
      </c>
      <c r="AX158" s="3" t="s">
        <v>101</v>
      </c>
      <c r="AY158" s="3" t="s">
        <v>565</v>
      </c>
      <c r="AZ158" s="3" t="s">
        <v>890</v>
      </c>
      <c r="BC158" s="0" t="n">
        <v>0</v>
      </c>
      <c r="BF158" s="0" t="n">
        <v>68</v>
      </c>
      <c r="BG158" s="0" t="n">
        <v>1</v>
      </c>
      <c r="BK158" s="0" t="n">
        <v>1</v>
      </c>
      <c r="CC158" s="0" t="n">
        <v>6.51388575852702</v>
      </c>
      <c r="CD158" s="0" t="n">
        <v>9.49641577285205</v>
      </c>
      <c r="CG158" s="0" t="n">
        <v>8</v>
      </c>
      <c r="CH158" s="3" t="s">
        <v>891</v>
      </c>
      <c r="CI158" s="3" t="s">
        <v>568</v>
      </c>
    </row>
    <row r="159" customFormat="false" ht="14.25" hidden="false" customHeight="false" outlineLevel="0" collapsed="false">
      <c r="A159" s="0" t="s">
        <v>892</v>
      </c>
      <c r="B159" s="0" t="s">
        <v>893</v>
      </c>
      <c r="C159" s="0" t="s">
        <v>843</v>
      </c>
      <c r="D159" s="0" t="s">
        <v>856</v>
      </c>
      <c r="F159" s="0" t="s">
        <v>91</v>
      </c>
      <c r="I159" s="0" t="n">
        <v>2018</v>
      </c>
      <c r="K159" s="0" t="s">
        <v>562</v>
      </c>
      <c r="L159" s="4" t="n">
        <v>46295</v>
      </c>
      <c r="M159" s="0" t="n">
        <v>104</v>
      </c>
      <c r="N159" s="0" t="n">
        <v>8.67</v>
      </c>
      <c r="P159" s="3" t="s">
        <v>165</v>
      </c>
      <c r="Q159" s="3" t="s">
        <v>894</v>
      </c>
      <c r="R159" s="0" t="n">
        <v>1</v>
      </c>
      <c r="S159" s="0" t="n">
        <v>0</v>
      </c>
      <c r="T159" s="0" t="n">
        <v>1</v>
      </c>
      <c r="V159" s="0" t="n">
        <v>0</v>
      </c>
      <c r="Y159" s="0" t="n">
        <v>3</v>
      </c>
      <c r="Z159" s="0" t="n">
        <v>1</v>
      </c>
      <c r="AA159" s="0" t="n">
        <v>1</v>
      </c>
      <c r="AB159" s="3" t="s">
        <v>895</v>
      </c>
      <c r="AF159" s="0" t="n">
        <v>2</v>
      </c>
      <c r="AX159" s="3" t="s">
        <v>101</v>
      </c>
      <c r="AY159" s="3" t="s">
        <v>565</v>
      </c>
      <c r="AZ159" s="3" t="s">
        <v>896</v>
      </c>
      <c r="BC159" s="0" t="n">
        <v>0</v>
      </c>
      <c r="BF159" s="0" t="n">
        <v>104</v>
      </c>
      <c r="BG159" s="0" t="n">
        <v>1</v>
      </c>
      <c r="BK159" s="0" t="n">
        <v>1</v>
      </c>
      <c r="CC159" s="0" t="n">
        <v>6.15170261099519</v>
      </c>
      <c r="CD159" s="0" t="n">
        <v>5.07805725868916</v>
      </c>
      <c r="CG159" s="0" t="n">
        <v>7</v>
      </c>
      <c r="CH159" s="3" t="s">
        <v>897</v>
      </c>
      <c r="CI159" s="3" t="s">
        <v>568</v>
      </c>
    </row>
    <row r="160" customFormat="false" ht="14.25" hidden="false" customHeight="false" outlineLevel="0" collapsed="false">
      <c r="A160" s="0" t="s">
        <v>898</v>
      </c>
      <c r="B160" s="0" t="s">
        <v>899</v>
      </c>
      <c r="C160" s="0" t="s">
        <v>843</v>
      </c>
      <c r="D160" s="0" t="s">
        <v>844</v>
      </c>
      <c r="F160" s="0" t="s">
        <v>91</v>
      </c>
      <c r="I160" s="0" t="n">
        <v>2021</v>
      </c>
      <c r="K160" s="0" t="s">
        <v>562</v>
      </c>
      <c r="L160" s="4" t="n">
        <v>46295</v>
      </c>
      <c r="M160" s="0" t="n">
        <v>68</v>
      </c>
      <c r="N160" s="0" t="n">
        <v>5.67</v>
      </c>
      <c r="P160" s="3" t="s">
        <v>94</v>
      </c>
      <c r="Q160" s="3" t="s">
        <v>900</v>
      </c>
      <c r="R160" s="0" t="n">
        <v>1</v>
      </c>
      <c r="S160" s="0" t="n">
        <v>1</v>
      </c>
      <c r="T160" s="0" t="n">
        <v>0</v>
      </c>
      <c r="V160" s="0" t="n">
        <v>0</v>
      </c>
      <c r="Y160" s="0" t="n">
        <v>3</v>
      </c>
      <c r="Z160" s="0" t="n">
        <v>1</v>
      </c>
      <c r="AF160" s="0" t="n">
        <v>2</v>
      </c>
      <c r="AX160" s="3" t="s">
        <v>101</v>
      </c>
      <c r="AY160" s="3" t="s">
        <v>565</v>
      </c>
      <c r="AZ160" s="3" t="s">
        <v>901</v>
      </c>
      <c r="BC160" s="0" t="n">
        <v>0</v>
      </c>
      <c r="BF160" s="0" t="n">
        <v>68</v>
      </c>
      <c r="BG160" s="0" t="n">
        <v>1</v>
      </c>
      <c r="BK160" s="0" t="n">
        <v>1</v>
      </c>
      <c r="CC160" s="0" t="n">
        <v>6.51388575852702</v>
      </c>
      <c r="CD160" s="0" t="n">
        <v>9.49641577285205</v>
      </c>
      <c r="CG160" s="0" t="n">
        <v>8</v>
      </c>
      <c r="CH160" s="3" t="s">
        <v>902</v>
      </c>
      <c r="CI160" s="3" t="s">
        <v>568</v>
      </c>
    </row>
    <row r="161" customFormat="false" ht="14.25" hidden="false" customHeight="false" outlineLevel="0" collapsed="false">
      <c r="A161" s="0" t="s">
        <v>903</v>
      </c>
      <c r="B161" s="0" t="s">
        <v>904</v>
      </c>
      <c r="C161" s="0" t="s">
        <v>843</v>
      </c>
      <c r="D161" s="0" t="s">
        <v>844</v>
      </c>
      <c r="F161" s="0" t="s">
        <v>91</v>
      </c>
      <c r="I161" s="0" t="n">
        <v>2019</v>
      </c>
      <c r="K161" s="0" t="s">
        <v>562</v>
      </c>
      <c r="L161" s="4" t="n">
        <v>46295</v>
      </c>
      <c r="M161" s="0" t="n">
        <v>92</v>
      </c>
      <c r="N161" s="0" t="n">
        <v>7.67</v>
      </c>
      <c r="P161" s="3" t="s">
        <v>94</v>
      </c>
      <c r="Q161" s="3" t="s">
        <v>905</v>
      </c>
      <c r="R161" s="0" t="n">
        <v>1</v>
      </c>
      <c r="S161" s="0" t="n">
        <v>0</v>
      </c>
      <c r="T161" s="0" t="n">
        <v>0</v>
      </c>
      <c r="V161" s="0" t="n">
        <v>0</v>
      </c>
      <c r="Y161" s="0" t="n">
        <v>3</v>
      </c>
      <c r="Z161" s="0" t="n">
        <v>1</v>
      </c>
      <c r="AF161" s="0" t="n">
        <v>3</v>
      </c>
      <c r="AX161" s="3" t="s">
        <v>101</v>
      </c>
      <c r="AY161" s="3" t="s">
        <v>565</v>
      </c>
      <c r="AZ161" s="3" t="s">
        <v>906</v>
      </c>
      <c r="BC161" s="0" t="n">
        <v>0</v>
      </c>
      <c r="BF161" s="0" t="n">
        <v>92</v>
      </c>
      <c r="BG161" s="0" t="n">
        <v>0</v>
      </c>
      <c r="BK161" s="0" t="n">
        <v>1</v>
      </c>
      <c r="CC161" s="0" t="n">
        <v>2.49763692943365</v>
      </c>
      <c r="CD161" s="0" t="n">
        <v>10.5780305672024</v>
      </c>
      <c r="CG161" s="0" t="n">
        <v>8</v>
      </c>
      <c r="CH161" s="3" t="s">
        <v>907</v>
      </c>
      <c r="CI161" s="3" t="s">
        <v>568</v>
      </c>
    </row>
    <row r="162" customFormat="false" ht="14.25" hidden="false" customHeight="false" outlineLevel="0" collapsed="false">
      <c r="A162" s="0" t="s">
        <v>908</v>
      </c>
      <c r="B162" s="0" t="s">
        <v>909</v>
      </c>
      <c r="C162" s="0" t="s">
        <v>843</v>
      </c>
      <c r="D162" s="0" t="s">
        <v>844</v>
      </c>
      <c r="F162" s="0" t="s">
        <v>91</v>
      </c>
      <c r="I162" s="0" t="n">
        <v>2018</v>
      </c>
      <c r="K162" s="0" t="s">
        <v>562</v>
      </c>
      <c r="L162" s="4" t="n">
        <v>46295</v>
      </c>
      <c r="M162" s="0" t="n">
        <v>104</v>
      </c>
      <c r="N162" s="0" t="n">
        <v>8.67</v>
      </c>
      <c r="P162" s="3" t="s">
        <v>94</v>
      </c>
      <c r="Q162" s="3" t="s">
        <v>910</v>
      </c>
      <c r="R162" s="0" t="n">
        <v>0</v>
      </c>
      <c r="S162" s="0" t="n">
        <v>1</v>
      </c>
      <c r="T162" s="0" t="n">
        <v>0</v>
      </c>
      <c r="V162" s="0" t="n">
        <v>0</v>
      </c>
      <c r="Y162" s="0" t="n">
        <v>3</v>
      </c>
      <c r="Z162" s="0" t="n">
        <v>1</v>
      </c>
      <c r="AF162" s="0" t="n">
        <v>2</v>
      </c>
      <c r="AX162" s="3" t="s">
        <v>101</v>
      </c>
      <c r="AY162" s="3" t="s">
        <v>565</v>
      </c>
      <c r="AZ162" s="3" t="s">
        <v>911</v>
      </c>
      <c r="BC162" s="0" t="n">
        <v>0</v>
      </c>
      <c r="BF162" s="0" t="n">
        <v>104</v>
      </c>
      <c r="BG162" s="0" t="n">
        <v>1</v>
      </c>
      <c r="BK162" s="0" t="n">
        <v>1</v>
      </c>
      <c r="CC162" s="0" t="n">
        <v>6.15170261099519</v>
      </c>
      <c r="CD162" s="0" t="n">
        <v>5.07805725868916</v>
      </c>
      <c r="CG162" s="0" t="n">
        <v>8</v>
      </c>
      <c r="CH162" s="3" t="s">
        <v>912</v>
      </c>
      <c r="CI162" s="3" t="s">
        <v>568</v>
      </c>
    </row>
    <row r="163" customFormat="false" ht="14.25" hidden="false" customHeight="false" outlineLevel="0" collapsed="false">
      <c r="A163" s="0" t="s">
        <v>913</v>
      </c>
      <c r="B163" s="0" t="s">
        <v>914</v>
      </c>
      <c r="C163" s="0" t="s">
        <v>843</v>
      </c>
      <c r="D163" s="0" t="s">
        <v>878</v>
      </c>
      <c r="F163" s="0" t="s">
        <v>91</v>
      </c>
      <c r="I163" s="0" t="n">
        <v>2020</v>
      </c>
      <c r="K163" s="0" t="s">
        <v>562</v>
      </c>
      <c r="L163" s="4" t="n">
        <v>46295</v>
      </c>
      <c r="M163" s="0" t="n">
        <v>80</v>
      </c>
      <c r="N163" s="0" t="n">
        <v>6.67</v>
      </c>
      <c r="P163" s="3" t="s">
        <v>94</v>
      </c>
      <c r="Q163" s="3" t="s">
        <v>915</v>
      </c>
      <c r="R163" s="0" t="n">
        <v>0</v>
      </c>
      <c r="S163" s="0" t="n">
        <v>1</v>
      </c>
      <c r="T163" s="0" t="n">
        <v>0</v>
      </c>
      <c r="V163" s="0" t="n">
        <v>0</v>
      </c>
      <c r="Y163" s="0" t="n">
        <v>3</v>
      </c>
      <c r="Z163" s="0" t="n">
        <v>1</v>
      </c>
      <c r="AX163" s="3" t="s">
        <v>262</v>
      </c>
      <c r="AY163" s="3" t="s">
        <v>565</v>
      </c>
      <c r="AZ163" s="3" t="s">
        <v>916</v>
      </c>
      <c r="BC163" s="0" t="n">
        <v>0</v>
      </c>
      <c r="BF163" s="0" t="n">
        <v>80</v>
      </c>
      <c r="BG163" s="0" t="n">
        <v>1</v>
      </c>
      <c r="BK163" s="0" t="n">
        <v>1</v>
      </c>
      <c r="CC163" s="0" t="n">
        <v>-1.27408744338709</v>
      </c>
      <c r="CD163" s="0" t="n">
        <v>9.74011619320125</v>
      </c>
      <c r="CG163" s="0" t="n">
        <v>8</v>
      </c>
      <c r="CH163" s="3" t="s">
        <v>917</v>
      </c>
      <c r="CI163" s="3" t="s">
        <v>568</v>
      </c>
    </row>
    <row r="164" customFormat="false" ht="14.25" hidden="false" customHeight="false" outlineLevel="0" collapsed="false">
      <c r="A164" s="0" t="s">
        <v>918</v>
      </c>
      <c r="B164" s="0" t="s">
        <v>919</v>
      </c>
      <c r="C164" s="0" t="s">
        <v>843</v>
      </c>
      <c r="D164" s="0" t="s">
        <v>844</v>
      </c>
      <c r="F164" s="0" t="s">
        <v>91</v>
      </c>
      <c r="I164" s="0" t="n">
        <v>2020</v>
      </c>
      <c r="K164" s="0" t="s">
        <v>562</v>
      </c>
      <c r="L164" s="4" t="n">
        <v>46295</v>
      </c>
      <c r="M164" s="0" t="n">
        <v>80</v>
      </c>
      <c r="N164" s="0" t="n">
        <v>6.67</v>
      </c>
      <c r="P164" s="3" t="s">
        <v>210</v>
      </c>
      <c r="Q164" s="3" t="s">
        <v>920</v>
      </c>
      <c r="R164" s="0" t="n">
        <v>1</v>
      </c>
      <c r="S164" s="0" t="n">
        <v>0</v>
      </c>
      <c r="T164" s="0" t="n">
        <v>1</v>
      </c>
      <c r="V164" s="0" t="n">
        <v>0</v>
      </c>
      <c r="Y164" s="0" t="n">
        <v>3</v>
      </c>
      <c r="Z164" s="0" t="n">
        <v>1</v>
      </c>
      <c r="AF164" s="0" t="n">
        <v>3</v>
      </c>
      <c r="AX164" s="3" t="s">
        <v>101</v>
      </c>
      <c r="AY164" s="3" t="s">
        <v>565</v>
      </c>
      <c r="AZ164" s="3" t="s">
        <v>921</v>
      </c>
      <c r="BC164" s="0" t="n">
        <v>0</v>
      </c>
      <c r="BF164" s="0" t="n">
        <v>80</v>
      </c>
      <c r="BG164" s="0" t="n">
        <v>1</v>
      </c>
      <c r="BK164" s="0" t="n">
        <v>1</v>
      </c>
      <c r="CC164" s="0" t="n">
        <v>-1.27408744338709</v>
      </c>
      <c r="CD164" s="0" t="n">
        <v>9.74011619320125</v>
      </c>
      <c r="CG164" s="0" t="n">
        <v>8</v>
      </c>
      <c r="CH164" s="3" t="s">
        <v>922</v>
      </c>
      <c r="CI164" s="3" t="s">
        <v>568</v>
      </c>
    </row>
    <row r="165" customFormat="false" ht="14.25" hidden="false" customHeight="false" outlineLevel="0" collapsed="false">
      <c r="A165" s="0" t="s">
        <v>923</v>
      </c>
      <c r="B165" s="0" t="s">
        <v>924</v>
      </c>
      <c r="C165" s="0" t="s">
        <v>843</v>
      </c>
      <c r="D165" s="0" t="s">
        <v>844</v>
      </c>
      <c r="F165" s="0" t="s">
        <v>91</v>
      </c>
      <c r="I165" s="0" t="n">
        <v>2020</v>
      </c>
      <c r="K165" s="0" t="s">
        <v>562</v>
      </c>
      <c r="L165" s="4" t="n">
        <v>46295</v>
      </c>
      <c r="M165" s="0" t="n">
        <v>80</v>
      </c>
      <c r="N165" s="0" t="n">
        <v>6.67</v>
      </c>
      <c r="P165" s="3" t="s">
        <v>327</v>
      </c>
      <c r="Q165" s="3" t="s">
        <v>925</v>
      </c>
      <c r="R165" s="0" t="n">
        <v>1</v>
      </c>
      <c r="S165" s="0" t="n">
        <v>1</v>
      </c>
      <c r="T165" s="0" t="n">
        <v>0</v>
      </c>
      <c r="V165" s="0" t="n">
        <v>0</v>
      </c>
      <c r="Y165" s="0" t="n">
        <v>3</v>
      </c>
      <c r="Z165" s="0" t="n">
        <v>1</v>
      </c>
      <c r="AF165" s="0" t="n">
        <v>3</v>
      </c>
      <c r="AX165" s="3" t="s">
        <v>142</v>
      </c>
      <c r="AY165" s="3" t="s">
        <v>565</v>
      </c>
      <c r="AZ165" s="3" t="s">
        <v>926</v>
      </c>
      <c r="BC165" s="0" t="n">
        <v>1</v>
      </c>
      <c r="BD165" s="0" t="n">
        <v>2023</v>
      </c>
      <c r="BF165" s="0" t="n">
        <v>36</v>
      </c>
      <c r="BG165" s="0" t="n">
        <v>1</v>
      </c>
      <c r="BK165" s="0" t="n">
        <v>1</v>
      </c>
      <c r="CC165" s="0" t="n">
        <v>-1.27408744338709</v>
      </c>
      <c r="CD165" s="0" t="n">
        <v>9.74011619320125</v>
      </c>
      <c r="CG165" s="0" t="n">
        <v>8</v>
      </c>
      <c r="CH165" s="3" t="s">
        <v>927</v>
      </c>
      <c r="CI165" s="3" t="s">
        <v>568</v>
      </c>
    </row>
    <row r="166" customFormat="false" ht="14.25" hidden="false" customHeight="false" outlineLevel="0" collapsed="false">
      <c r="A166" s="0" t="s">
        <v>928</v>
      </c>
      <c r="B166" s="0" t="s">
        <v>929</v>
      </c>
      <c r="C166" s="0" t="s">
        <v>843</v>
      </c>
      <c r="D166" s="0" t="s">
        <v>844</v>
      </c>
      <c r="F166" s="0" t="s">
        <v>91</v>
      </c>
      <c r="I166" s="0" t="n">
        <v>2014</v>
      </c>
      <c r="K166" s="0" t="s">
        <v>562</v>
      </c>
      <c r="L166" s="4" t="n">
        <v>46295</v>
      </c>
      <c r="M166" s="0" t="n">
        <v>152</v>
      </c>
      <c r="N166" s="0" t="n">
        <v>12.67</v>
      </c>
      <c r="P166" s="3" t="s">
        <v>327</v>
      </c>
      <c r="Q166" s="3" t="s">
        <v>930</v>
      </c>
      <c r="R166" s="0" t="n">
        <v>1</v>
      </c>
      <c r="S166" s="0" t="n">
        <v>1</v>
      </c>
      <c r="T166" s="0" t="n">
        <v>0</v>
      </c>
      <c r="V166" s="0" t="n">
        <v>0</v>
      </c>
      <c r="Y166" s="0" t="n">
        <v>3</v>
      </c>
      <c r="Z166" s="0" t="n">
        <v>1</v>
      </c>
      <c r="AX166" s="3" t="s">
        <v>101</v>
      </c>
      <c r="AY166" s="3" t="s">
        <v>565</v>
      </c>
      <c r="BC166" s="0" t="n">
        <v>0</v>
      </c>
      <c r="BF166" s="0" t="n">
        <v>152</v>
      </c>
      <c r="BG166" s="0" t="n">
        <v>1</v>
      </c>
      <c r="BK166" s="0" t="n">
        <v>1</v>
      </c>
      <c r="CC166" s="0" t="n">
        <v>4.11642817161422</v>
      </c>
      <c r="CD166" s="0" t="n">
        <v>7.18938402847027</v>
      </c>
      <c r="CG166" s="0" t="n">
        <v>8</v>
      </c>
      <c r="CH166" s="3" t="s">
        <v>931</v>
      </c>
      <c r="CI166" s="3" t="s">
        <v>568</v>
      </c>
    </row>
    <row r="167" customFormat="false" ht="14.25" hidden="false" customHeight="false" outlineLevel="0" collapsed="false">
      <c r="A167" s="0" t="s">
        <v>932</v>
      </c>
      <c r="B167" s="0" t="s">
        <v>933</v>
      </c>
      <c r="C167" s="0" t="s">
        <v>843</v>
      </c>
      <c r="D167" s="0" t="s">
        <v>844</v>
      </c>
      <c r="F167" s="0" t="s">
        <v>91</v>
      </c>
      <c r="I167" s="0" t="n">
        <v>2021</v>
      </c>
      <c r="K167" s="0" t="s">
        <v>562</v>
      </c>
      <c r="L167" s="4" t="n">
        <v>46295</v>
      </c>
      <c r="M167" s="0" t="n">
        <v>68</v>
      </c>
      <c r="N167" s="0" t="n">
        <v>5.67</v>
      </c>
      <c r="P167" s="3" t="s">
        <v>267</v>
      </c>
      <c r="Q167" s="3" t="s">
        <v>934</v>
      </c>
      <c r="R167" s="0" t="n">
        <v>0</v>
      </c>
      <c r="S167" s="0" t="n">
        <v>1</v>
      </c>
      <c r="T167" s="0" t="n">
        <v>0</v>
      </c>
      <c r="V167" s="0" t="n">
        <v>0</v>
      </c>
      <c r="Y167" s="0" t="n">
        <v>3</v>
      </c>
      <c r="Z167" s="0" t="n">
        <v>1</v>
      </c>
      <c r="AF167" s="0" t="n">
        <v>2</v>
      </c>
      <c r="AX167" s="3" t="s">
        <v>101</v>
      </c>
      <c r="AY167" s="3" t="s">
        <v>565</v>
      </c>
      <c r="AZ167" s="3" t="s">
        <v>935</v>
      </c>
      <c r="BC167" s="0" t="n">
        <v>0</v>
      </c>
      <c r="BF167" s="0" t="n">
        <v>68</v>
      </c>
      <c r="BG167" s="0" t="n">
        <v>1</v>
      </c>
      <c r="BK167" s="0" t="n">
        <v>1</v>
      </c>
      <c r="CC167" s="0" t="n">
        <v>6.51388575852702</v>
      </c>
      <c r="CD167" s="0" t="n">
        <v>9.49641577285205</v>
      </c>
      <c r="CG167" s="0" t="n">
        <v>8</v>
      </c>
      <c r="CH167" s="3" t="s">
        <v>936</v>
      </c>
      <c r="CI167" s="3" t="s">
        <v>568</v>
      </c>
    </row>
    <row r="168" customFormat="false" ht="14.25" hidden="false" customHeight="false" outlineLevel="0" collapsed="false">
      <c r="A168" s="0" t="s">
        <v>937</v>
      </c>
      <c r="B168" s="0" t="s">
        <v>938</v>
      </c>
      <c r="C168" s="0" t="s">
        <v>843</v>
      </c>
      <c r="D168" s="0" t="s">
        <v>878</v>
      </c>
      <c r="F168" s="0" t="s">
        <v>91</v>
      </c>
      <c r="I168" s="0" t="n">
        <v>2020</v>
      </c>
      <c r="K168" s="0" t="s">
        <v>562</v>
      </c>
      <c r="L168" s="4" t="n">
        <v>46295</v>
      </c>
      <c r="M168" s="0" t="n">
        <v>80</v>
      </c>
      <c r="N168" s="0" t="n">
        <v>6.67</v>
      </c>
      <c r="P168" s="3" t="s">
        <v>94</v>
      </c>
      <c r="Q168" s="3" t="s">
        <v>939</v>
      </c>
      <c r="R168" s="0" t="n">
        <v>0</v>
      </c>
      <c r="S168" s="0" t="n">
        <v>1</v>
      </c>
      <c r="T168" s="0" t="n">
        <v>0</v>
      </c>
      <c r="V168" s="0" t="n">
        <v>0</v>
      </c>
      <c r="Y168" s="0" t="n">
        <v>3</v>
      </c>
      <c r="Z168" s="0" t="n">
        <v>1</v>
      </c>
      <c r="AA168" s="0" t="n">
        <v>1</v>
      </c>
      <c r="AB168" s="3" t="s">
        <v>940</v>
      </c>
      <c r="AF168" s="0" t="n">
        <v>3</v>
      </c>
      <c r="AX168" s="3" t="s">
        <v>262</v>
      </c>
      <c r="AY168" s="3" t="s">
        <v>565</v>
      </c>
      <c r="AZ168" s="3" t="s">
        <v>941</v>
      </c>
      <c r="BC168" s="0" t="n">
        <v>0</v>
      </c>
      <c r="BF168" s="0" t="n">
        <v>80</v>
      </c>
      <c r="BG168" s="0" t="n">
        <v>1</v>
      </c>
      <c r="BK168" s="0" t="n">
        <v>1</v>
      </c>
      <c r="CC168" s="0" t="n">
        <v>-1.27408744338709</v>
      </c>
      <c r="CD168" s="0" t="n">
        <v>9.74011619320125</v>
      </c>
      <c r="CG168" s="0" t="n">
        <v>7</v>
      </c>
      <c r="CH168" s="3" t="s">
        <v>942</v>
      </c>
      <c r="CI168" s="3" t="s">
        <v>568</v>
      </c>
    </row>
    <row r="169" customFormat="false" ht="14.25" hidden="false" customHeight="false" outlineLevel="0" collapsed="false">
      <c r="A169" s="0" t="s">
        <v>943</v>
      </c>
      <c r="B169" s="0" t="s">
        <v>944</v>
      </c>
      <c r="C169" s="0" t="s">
        <v>843</v>
      </c>
      <c r="D169" s="0" t="s">
        <v>856</v>
      </c>
      <c r="F169" s="0" t="s">
        <v>91</v>
      </c>
      <c r="I169" s="0" t="n">
        <v>2015</v>
      </c>
      <c r="K169" s="0" t="s">
        <v>562</v>
      </c>
      <c r="L169" s="4" t="n">
        <v>46295</v>
      </c>
      <c r="M169" s="0" t="n">
        <v>140</v>
      </c>
      <c r="N169" s="0" t="n">
        <v>11.67</v>
      </c>
      <c r="P169" s="3" t="s">
        <v>210</v>
      </c>
      <c r="Q169" s="3" t="s">
        <v>945</v>
      </c>
      <c r="R169" s="0" t="n">
        <v>0</v>
      </c>
      <c r="S169" s="0" t="n">
        <v>1</v>
      </c>
      <c r="T169" s="0" t="n">
        <v>1</v>
      </c>
      <c r="U169" s="0" t="n">
        <v>0</v>
      </c>
      <c r="V169" s="0" t="n">
        <v>0</v>
      </c>
      <c r="W169" s="0" t="n">
        <v>1</v>
      </c>
      <c r="Y169" s="0" t="n">
        <v>3</v>
      </c>
      <c r="Z169" s="0" t="n">
        <v>1</v>
      </c>
      <c r="AF169" s="0" t="n">
        <v>2</v>
      </c>
      <c r="AX169" s="3" t="s">
        <v>142</v>
      </c>
      <c r="AY169" s="3" t="s">
        <v>565</v>
      </c>
      <c r="AZ169" s="3" t="s">
        <v>946</v>
      </c>
      <c r="BC169" s="0" t="n">
        <v>1</v>
      </c>
      <c r="BD169" s="0" t="n">
        <v>2024</v>
      </c>
      <c r="BF169" s="0" t="n">
        <v>108</v>
      </c>
      <c r="BG169" s="0" t="n">
        <v>1</v>
      </c>
      <c r="BK169" s="0" t="n">
        <v>1</v>
      </c>
      <c r="CC169" s="0" t="n">
        <v>4.21794209572506</v>
      </c>
      <c r="CD169" s="0" t="n">
        <v>2.52932817254228</v>
      </c>
      <c r="CG169" s="0" t="n">
        <v>8</v>
      </c>
      <c r="CH169" s="3" t="s">
        <v>947</v>
      </c>
      <c r="CI169" s="3" t="s">
        <v>568</v>
      </c>
    </row>
    <row r="170" customFormat="false" ht="14.25" hidden="false" customHeight="false" outlineLevel="0" collapsed="false">
      <c r="A170" s="0" t="s">
        <v>948</v>
      </c>
      <c r="B170" s="0" t="s">
        <v>949</v>
      </c>
      <c r="C170" s="0" t="s">
        <v>843</v>
      </c>
      <c r="D170" s="0" t="s">
        <v>856</v>
      </c>
      <c r="F170" s="0" t="s">
        <v>91</v>
      </c>
      <c r="I170" s="0" t="n">
        <v>2014</v>
      </c>
      <c r="K170" s="0" t="s">
        <v>562</v>
      </c>
      <c r="L170" s="4" t="n">
        <v>46295</v>
      </c>
      <c r="M170" s="0" t="n">
        <v>152</v>
      </c>
      <c r="N170" s="0" t="n">
        <v>12.67</v>
      </c>
      <c r="P170" s="3" t="s">
        <v>210</v>
      </c>
      <c r="Q170" s="3" t="s">
        <v>950</v>
      </c>
      <c r="R170" s="0" t="n">
        <v>0</v>
      </c>
      <c r="S170" s="0" t="n">
        <v>1</v>
      </c>
      <c r="T170" s="0" t="n">
        <v>1</v>
      </c>
      <c r="U170" s="0" t="n">
        <v>0</v>
      </c>
      <c r="V170" s="0" t="n">
        <v>0</v>
      </c>
      <c r="Y170" s="0" t="n">
        <v>3</v>
      </c>
      <c r="Z170" s="0" t="n">
        <v>1</v>
      </c>
      <c r="AA170" s="0" t="n">
        <v>1</v>
      </c>
      <c r="AB170" s="3" t="s">
        <v>951</v>
      </c>
      <c r="AX170" s="3" t="s">
        <v>142</v>
      </c>
      <c r="AY170" s="3" t="s">
        <v>565</v>
      </c>
      <c r="AZ170" s="3" t="s">
        <v>952</v>
      </c>
      <c r="BC170" s="0" t="n">
        <v>1</v>
      </c>
      <c r="BD170" s="0" t="n">
        <v>2017</v>
      </c>
      <c r="BF170" s="0" t="n">
        <v>36</v>
      </c>
      <c r="BK170" s="0" t="n">
        <v>1</v>
      </c>
      <c r="CC170" s="0" t="n">
        <v>4.11642817161422</v>
      </c>
      <c r="CD170" s="0" t="n">
        <v>7.18938402847027</v>
      </c>
      <c r="CG170" s="0" t="n">
        <v>7</v>
      </c>
      <c r="CH170" s="3" t="s">
        <v>953</v>
      </c>
      <c r="CI170" s="3" t="s">
        <v>568</v>
      </c>
    </row>
    <row r="171" customFormat="false" ht="14.25" hidden="false" customHeight="false" outlineLevel="0" collapsed="false">
      <c r="A171" s="0" t="s">
        <v>954</v>
      </c>
      <c r="B171" s="0" t="s">
        <v>955</v>
      </c>
      <c r="C171" s="0" t="s">
        <v>843</v>
      </c>
      <c r="D171" s="0" t="s">
        <v>878</v>
      </c>
      <c r="F171" s="0" t="s">
        <v>91</v>
      </c>
      <c r="I171" s="0" t="n">
        <v>2015</v>
      </c>
      <c r="K171" s="0" t="s">
        <v>562</v>
      </c>
      <c r="L171" s="4" t="n">
        <v>46295</v>
      </c>
      <c r="M171" s="0" t="n">
        <v>140</v>
      </c>
      <c r="N171" s="0" t="n">
        <v>11.67</v>
      </c>
      <c r="P171" s="3" t="s">
        <v>516</v>
      </c>
      <c r="Q171" s="3" t="s">
        <v>956</v>
      </c>
      <c r="R171" s="0" t="n">
        <v>0</v>
      </c>
      <c r="S171" s="0" t="n">
        <v>1</v>
      </c>
      <c r="T171" s="0" t="n">
        <v>1</v>
      </c>
      <c r="U171" s="0" t="n">
        <v>0</v>
      </c>
      <c r="V171" s="0" t="n">
        <v>0</v>
      </c>
      <c r="W171" s="0" t="n">
        <v>1</v>
      </c>
      <c r="Y171" s="0" t="n">
        <v>3</v>
      </c>
      <c r="Z171" s="0" t="n">
        <v>1</v>
      </c>
      <c r="AF171" s="0" t="n">
        <v>1</v>
      </c>
      <c r="AX171" s="3" t="s">
        <v>142</v>
      </c>
      <c r="AY171" s="3" t="s">
        <v>565</v>
      </c>
      <c r="AZ171" s="3" t="s">
        <v>957</v>
      </c>
      <c r="BC171" s="0" t="n">
        <v>1</v>
      </c>
      <c r="BD171" s="0" t="n">
        <v>2020</v>
      </c>
      <c r="BF171" s="0" t="n">
        <v>60</v>
      </c>
      <c r="BG171" s="0" t="n">
        <v>0</v>
      </c>
      <c r="BK171" s="0" t="n">
        <v>0</v>
      </c>
      <c r="CC171" s="0" t="n">
        <v>4.21794209572506</v>
      </c>
      <c r="CD171" s="0" t="n">
        <v>2.52932817254228</v>
      </c>
      <c r="CG171" s="0" t="n">
        <v>8</v>
      </c>
      <c r="CH171" s="3" t="s">
        <v>958</v>
      </c>
      <c r="CI171" s="3" t="s">
        <v>568</v>
      </c>
    </row>
    <row r="172" customFormat="false" ht="14.25" hidden="false" customHeight="false" outlineLevel="0" collapsed="false">
      <c r="A172" s="0" t="s">
        <v>959</v>
      </c>
      <c r="B172" s="0" t="s">
        <v>960</v>
      </c>
      <c r="C172" s="0" t="s">
        <v>843</v>
      </c>
      <c r="D172" s="0" t="s">
        <v>856</v>
      </c>
      <c r="F172" s="0" t="s">
        <v>91</v>
      </c>
      <c r="I172" s="0" t="n">
        <v>2015</v>
      </c>
      <c r="K172" s="0" t="s">
        <v>562</v>
      </c>
      <c r="L172" s="4" t="n">
        <v>46295</v>
      </c>
      <c r="M172" s="0" t="n">
        <v>140</v>
      </c>
      <c r="N172" s="0" t="n">
        <v>11.67</v>
      </c>
      <c r="P172" s="3" t="s">
        <v>516</v>
      </c>
      <c r="Q172" s="3" t="s">
        <v>961</v>
      </c>
      <c r="R172" s="0" t="n">
        <v>0</v>
      </c>
      <c r="S172" s="0" t="n">
        <v>1</v>
      </c>
      <c r="U172" s="0" t="n">
        <v>0</v>
      </c>
      <c r="V172" s="0" t="n">
        <v>0</v>
      </c>
      <c r="Y172" s="0" t="n">
        <v>3</v>
      </c>
      <c r="Z172" s="0" t="n">
        <v>1</v>
      </c>
      <c r="AF172" s="0" t="n">
        <v>4</v>
      </c>
      <c r="AX172" s="3" t="s">
        <v>142</v>
      </c>
      <c r="AY172" s="3" t="s">
        <v>565</v>
      </c>
      <c r="AZ172" s="3" t="s">
        <v>962</v>
      </c>
      <c r="BC172" s="0" t="n">
        <v>1</v>
      </c>
      <c r="BF172" s="0" t="n">
        <v>140</v>
      </c>
      <c r="BK172" s="0" t="n">
        <v>1</v>
      </c>
      <c r="CC172" s="0" t="n">
        <v>4.21794209572506</v>
      </c>
      <c r="CD172" s="0" t="n">
        <v>2.52932817254228</v>
      </c>
      <c r="CG172" s="0" t="n">
        <v>8</v>
      </c>
      <c r="CH172" s="3" t="s">
        <v>963</v>
      </c>
      <c r="CI172" s="3" t="s">
        <v>568</v>
      </c>
    </row>
    <row r="173" customFormat="false" ht="14.25" hidden="false" customHeight="false" outlineLevel="0" collapsed="false">
      <c r="A173" s="0" t="s">
        <v>964</v>
      </c>
      <c r="B173" s="0" t="s">
        <v>965</v>
      </c>
      <c r="C173" s="0" t="s">
        <v>843</v>
      </c>
      <c r="F173" s="0" t="s">
        <v>91</v>
      </c>
      <c r="I173" s="0" t="n">
        <v>2020</v>
      </c>
      <c r="K173" s="0" t="s">
        <v>562</v>
      </c>
      <c r="L173" s="4" t="n">
        <v>46295</v>
      </c>
      <c r="M173" s="0" t="n">
        <v>80</v>
      </c>
      <c r="N173" s="0" t="n">
        <v>6.67</v>
      </c>
      <c r="P173" s="3" t="s">
        <v>94</v>
      </c>
      <c r="Q173" s="3" t="s">
        <v>966</v>
      </c>
      <c r="R173" s="0" t="n">
        <v>0</v>
      </c>
      <c r="S173" s="0" t="n">
        <v>1</v>
      </c>
      <c r="U173" s="0" t="n">
        <v>0</v>
      </c>
      <c r="V173" s="0" t="n">
        <v>0</v>
      </c>
      <c r="W173" s="0" t="n">
        <v>1</v>
      </c>
      <c r="Y173" s="0" t="n">
        <v>3</v>
      </c>
      <c r="Z173" s="0" t="n">
        <v>1</v>
      </c>
      <c r="AX173" s="3" t="s">
        <v>142</v>
      </c>
      <c r="AY173" s="3" t="s">
        <v>565</v>
      </c>
      <c r="AZ173" s="3" t="s">
        <v>967</v>
      </c>
      <c r="BC173" s="0" t="n">
        <v>1</v>
      </c>
      <c r="BD173" s="0" t="n">
        <v>2025</v>
      </c>
      <c r="BF173" s="0" t="n">
        <v>60</v>
      </c>
      <c r="BK173" s="0" t="n">
        <v>1</v>
      </c>
      <c r="CC173" s="0" t="n">
        <v>-1.27408744338709</v>
      </c>
      <c r="CD173" s="0" t="n">
        <v>9.74011619320125</v>
      </c>
      <c r="CG173" s="0" t="n">
        <v>8</v>
      </c>
      <c r="CH173" s="3" t="s">
        <v>968</v>
      </c>
      <c r="CI173" s="3" t="s">
        <v>568</v>
      </c>
    </row>
    <row r="174" customFormat="false" ht="14.25" hidden="false" customHeight="false" outlineLevel="0" collapsed="false">
      <c r="A174" s="0" t="s">
        <v>969</v>
      </c>
      <c r="B174" s="0" t="s">
        <v>970</v>
      </c>
      <c r="C174" s="0" t="s">
        <v>843</v>
      </c>
      <c r="D174" s="0" t="s">
        <v>856</v>
      </c>
      <c r="F174" s="0" t="s">
        <v>91</v>
      </c>
      <c r="I174" s="0" t="n">
        <v>2013</v>
      </c>
      <c r="K174" s="0" t="s">
        <v>562</v>
      </c>
      <c r="L174" s="4" t="n">
        <v>46295</v>
      </c>
      <c r="M174" s="0" t="n">
        <v>164</v>
      </c>
      <c r="N174" s="0" t="n">
        <v>13.67</v>
      </c>
      <c r="P174" s="3" t="s">
        <v>165</v>
      </c>
      <c r="Q174" s="3" t="s">
        <v>971</v>
      </c>
      <c r="R174" s="0" t="n">
        <v>0</v>
      </c>
      <c r="S174" s="0" t="n">
        <v>1</v>
      </c>
      <c r="T174" s="0" t="n">
        <v>0</v>
      </c>
      <c r="U174" s="0" t="n">
        <v>0</v>
      </c>
      <c r="V174" s="0" t="n">
        <v>0</v>
      </c>
      <c r="Y174" s="0" t="n">
        <v>3</v>
      </c>
      <c r="Z174" s="0" t="n">
        <v>1</v>
      </c>
      <c r="AA174" s="0" t="n">
        <v>1</v>
      </c>
      <c r="AB174" s="3" t="s">
        <v>972</v>
      </c>
      <c r="AF174" s="0" t="n">
        <v>1</v>
      </c>
      <c r="AO174" s="0" t="n">
        <v>1</v>
      </c>
      <c r="AX174" s="3" t="s">
        <v>142</v>
      </c>
      <c r="AY174" s="3" t="s">
        <v>565</v>
      </c>
      <c r="AZ174" s="3" t="s">
        <v>973</v>
      </c>
      <c r="BC174" s="0" t="n">
        <v>1</v>
      </c>
      <c r="BD174" s="0" t="n">
        <v>2018</v>
      </c>
      <c r="BF174" s="0" t="n">
        <v>60</v>
      </c>
      <c r="BG174" s="0" t="n">
        <v>0</v>
      </c>
      <c r="BK174" s="0" t="n">
        <v>1</v>
      </c>
      <c r="CC174" s="0" t="n">
        <v>4.36686504978387</v>
      </c>
      <c r="CD174" s="0" t="n">
        <v>7.69215611899564</v>
      </c>
      <c r="CG174" s="0" t="n">
        <v>6</v>
      </c>
      <c r="CH174" s="3" t="s">
        <v>974</v>
      </c>
      <c r="CI174" s="3" t="s">
        <v>568</v>
      </c>
    </row>
    <row r="175" customFormat="false" ht="14.25" hidden="false" customHeight="false" outlineLevel="0" collapsed="false">
      <c r="A175" s="0" t="s">
        <v>975</v>
      </c>
      <c r="B175" s="0" t="s">
        <v>976</v>
      </c>
      <c r="C175" s="0" t="s">
        <v>843</v>
      </c>
      <c r="D175" s="0" t="s">
        <v>856</v>
      </c>
      <c r="F175" s="0" t="s">
        <v>91</v>
      </c>
      <c r="I175" s="0" t="n">
        <v>2006</v>
      </c>
      <c r="K175" s="0" t="s">
        <v>562</v>
      </c>
      <c r="L175" s="4" t="n">
        <v>46295</v>
      </c>
      <c r="M175" s="0" t="n">
        <v>248</v>
      </c>
      <c r="N175" s="0" t="n">
        <v>20.67</v>
      </c>
      <c r="P175" s="3" t="s">
        <v>259</v>
      </c>
      <c r="Q175" s="3" t="s">
        <v>977</v>
      </c>
      <c r="R175" s="0" t="n">
        <v>1</v>
      </c>
      <c r="S175" s="0" t="n">
        <v>0</v>
      </c>
      <c r="T175" s="0" t="n">
        <v>0</v>
      </c>
      <c r="U175" s="0" t="n">
        <v>0</v>
      </c>
      <c r="V175" s="0" t="n">
        <v>0</v>
      </c>
      <c r="Y175" s="0" t="n">
        <v>3</v>
      </c>
      <c r="Z175" s="0" t="n">
        <v>1</v>
      </c>
      <c r="AF175" s="0" t="n">
        <v>3</v>
      </c>
      <c r="AO175" s="0" t="n">
        <v>0</v>
      </c>
      <c r="AX175" s="3" t="s">
        <v>138</v>
      </c>
      <c r="AY175" s="3" t="s">
        <v>565</v>
      </c>
      <c r="AZ175" s="3" t="s">
        <v>978</v>
      </c>
      <c r="BC175" s="0" t="n">
        <v>0</v>
      </c>
      <c r="BF175" s="0" t="n">
        <v>248</v>
      </c>
      <c r="BK175" s="0" t="n">
        <v>0</v>
      </c>
      <c r="CC175" s="0" t="n">
        <v>6.05163767569996</v>
      </c>
      <c r="CD175" s="0" t="n">
        <v>7.92108440058788</v>
      </c>
      <c r="CG175" s="0" t="n">
        <v>7</v>
      </c>
      <c r="CH175" s="3" t="s">
        <v>979</v>
      </c>
      <c r="CI175" s="3" t="s">
        <v>568</v>
      </c>
    </row>
    <row r="176" customFormat="false" ht="14.25" hidden="false" customHeight="false" outlineLevel="0" collapsed="false">
      <c r="A176" s="0" t="s">
        <v>980</v>
      </c>
      <c r="B176" s="0" t="s">
        <v>981</v>
      </c>
      <c r="C176" s="0" t="s">
        <v>843</v>
      </c>
      <c r="D176" s="0" t="s">
        <v>856</v>
      </c>
      <c r="F176" s="0" t="s">
        <v>91</v>
      </c>
      <c r="I176" s="0" t="n">
        <v>2006</v>
      </c>
      <c r="K176" s="0" t="s">
        <v>562</v>
      </c>
      <c r="L176" s="4" t="n">
        <v>46295</v>
      </c>
      <c r="M176" s="0" t="n">
        <v>248</v>
      </c>
      <c r="N176" s="0" t="n">
        <v>20.67</v>
      </c>
      <c r="P176" s="3" t="s">
        <v>516</v>
      </c>
      <c r="Q176" s="3" t="s">
        <v>982</v>
      </c>
      <c r="R176" s="0" t="n">
        <v>0</v>
      </c>
      <c r="S176" s="0" t="n">
        <v>1</v>
      </c>
      <c r="T176" s="0" t="n">
        <v>0</v>
      </c>
      <c r="U176" s="0" t="n">
        <v>0</v>
      </c>
      <c r="V176" s="0" t="n">
        <v>0</v>
      </c>
      <c r="Y176" s="0" t="n">
        <v>3</v>
      </c>
      <c r="Z176" s="0" t="n">
        <v>1</v>
      </c>
      <c r="AF176" s="0" t="n">
        <v>2</v>
      </c>
      <c r="AM176" s="0" t="n">
        <v>2</v>
      </c>
      <c r="AN176" s="3" t="s">
        <v>983</v>
      </c>
      <c r="AO176" s="0" t="n">
        <v>1</v>
      </c>
      <c r="AX176" s="3" t="s">
        <v>101</v>
      </c>
      <c r="AY176" s="3" t="s">
        <v>565</v>
      </c>
      <c r="AZ176" s="3" t="s">
        <v>984</v>
      </c>
      <c r="BC176" s="0" t="n">
        <v>0</v>
      </c>
      <c r="BF176" s="0" t="n">
        <v>248</v>
      </c>
      <c r="BK176" s="0" t="n">
        <v>0</v>
      </c>
      <c r="CC176" s="0" t="n">
        <v>6.05163767569996</v>
      </c>
      <c r="CD176" s="0" t="n">
        <v>7.92108440058788</v>
      </c>
      <c r="CG176" s="0" t="n">
        <v>6</v>
      </c>
      <c r="CH176" s="3" t="s">
        <v>985</v>
      </c>
      <c r="CI176" s="3" t="s">
        <v>568</v>
      </c>
    </row>
    <row r="177" customFormat="false" ht="14.25" hidden="false" customHeight="false" outlineLevel="0" collapsed="false">
      <c r="A177" s="0" t="s">
        <v>986</v>
      </c>
      <c r="B177" s="0" t="s">
        <v>987</v>
      </c>
      <c r="C177" s="0" t="s">
        <v>843</v>
      </c>
      <c r="D177" s="0" t="s">
        <v>856</v>
      </c>
      <c r="F177" s="0" t="s">
        <v>91</v>
      </c>
      <c r="I177" s="0" t="n">
        <v>2007</v>
      </c>
      <c r="K177" s="0" t="s">
        <v>562</v>
      </c>
      <c r="L177" s="4" t="n">
        <v>46295</v>
      </c>
      <c r="M177" s="0" t="n">
        <v>236</v>
      </c>
      <c r="N177" s="0" t="n">
        <v>19.67</v>
      </c>
      <c r="P177" s="3" t="s">
        <v>446</v>
      </c>
      <c r="Q177" s="3" t="s">
        <v>988</v>
      </c>
      <c r="R177" s="0" t="n">
        <v>1</v>
      </c>
      <c r="S177" s="0" t="n">
        <v>0</v>
      </c>
      <c r="T177" s="0" t="n">
        <v>0</v>
      </c>
      <c r="U177" s="0" t="n">
        <v>0</v>
      </c>
      <c r="V177" s="0" t="n">
        <v>0</v>
      </c>
      <c r="Y177" s="0" t="n">
        <v>3</v>
      </c>
      <c r="Z177" s="0" t="n">
        <v>1</v>
      </c>
      <c r="AM177" s="0" t="n">
        <v>2</v>
      </c>
      <c r="AN177" s="3" t="s">
        <v>989</v>
      </c>
      <c r="AO177" s="0" t="n">
        <v>1</v>
      </c>
      <c r="AX177" s="3" t="s">
        <v>101</v>
      </c>
      <c r="AY177" s="3" t="s">
        <v>565</v>
      </c>
      <c r="AZ177" s="3" t="s">
        <v>990</v>
      </c>
      <c r="BC177" s="0" t="n">
        <v>0</v>
      </c>
      <c r="BF177" s="0" t="n">
        <v>236</v>
      </c>
      <c r="BK177" s="0" t="n">
        <v>0</v>
      </c>
      <c r="CC177" s="0" t="n">
        <v>4.4448143398844</v>
      </c>
      <c r="CD177" s="0" t="n">
        <v>7.59868441050774</v>
      </c>
      <c r="CG177" s="0" t="n">
        <v>6</v>
      </c>
      <c r="CH177" s="3" t="s">
        <v>991</v>
      </c>
      <c r="CI177" s="3" t="s">
        <v>568</v>
      </c>
    </row>
    <row r="178" customFormat="false" ht="14.25" hidden="false" customHeight="false" outlineLevel="0" collapsed="false">
      <c r="A178" s="0" t="s">
        <v>992</v>
      </c>
      <c r="B178" s="0" t="s">
        <v>993</v>
      </c>
      <c r="C178" s="0" t="s">
        <v>843</v>
      </c>
      <c r="D178" s="0" t="s">
        <v>856</v>
      </c>
      <c r="F178" s="0" t="s">
        <v>91</v>
      </c>
      <c r="I178" s="0" t="n">
        <v>2005</v>
      </c>
      <c r="K178" s="0" t="s">
        <v>562</v>
      </c>
      <c r="L178" s="4" t="n">
        <v>46295</v>
      </c>
      <c r="M178" s="0" t="n">
        <v>260</v>
      </c>
      <c r="N178" s="0" t="n">
        <v>21.67</v>
      </c>
      <c r="P178" s="3" t="s">
        <v>165</v>
      </c>
      <c r="Q178" s="3" t="s">
        <v>994</v>
      </c>
      <c r="R178" s="0" t="n">
        <v>0</v>
      </c>
      <c r="S178" s="0" t="n">
        <v>1</v>
      </c>
      <c r="T178" s="0" t="n">
        <v>0</v>
      </c>
      <c r="U178" s="0" t="n">
        <v>0</v>
      </c>
      <c r="V178" s="0" t="n">
        <v>0</v>
      </c>
      <c r="Y178" s="0" t="n">
        <v>3</v>
      </c>
      <c r="Z178" s="0" t="n">
        <v>1</v>
      </c>
      <c r="AX178" s="3" t="s">
        <v>101</v>
      </c>
      <c r="AY178" s="3" t="s">
        <v>565</v>
      </c>
      <c r="AZ178" s="3" t="s">
        <v>995</v>
      </c>
      <c r="BC178" s="0" t="n">
        <v>0</v>
      </c>
      <c r="BF178" s="0" t="n">
        <v>260</v>
      </c>
      <c r="BK178" s="0" t="n">
        <v>0</v>
      </c>
      <c r="CC178" s="0" t="n">
        <v>7.2765744364722</v>
      </c>
      <c r="CD178" s="0" t="n">
        <v>9.06332737030417</v>
      </c>
      <c r="CG178" s="0" t="n">
        <v>8</v>
      </c>
      <c r="CH178" s="3" t="s">
        <v>996</v>
      </c>
      <c r="CI178" s="3" t="s">
        <v>568</v>
      </c>
    </row>
    <row r="179" customFormat="false" ht="14.25" hidden="false" customHeight="false" outlineLevel="0" collapsed="false">
      <c r="A179" s="0" t="s">
        <v>997</v>
      </c>
      <c r="B179" s="0" t="s">
        <v>998</v>
      </c>
      <c r="C179" s="0" t="s">
        <v>843</v>
      </c>
      <c r="D179" s="0" t="s">
        <v>844</v>
      </c>
      <c r="F179" s="0" t="s">
        <v>91</v>
      </c>
      <c r="I179" s="0" t="n">
        <v>2008</v>
      </c>
      <c r="K179" s="0" t="s">
        <v>562</v>
      </c>
      <c r="L179" s="4" t="n">
        <v>46295</v>
      </c>
      <c r="M179" s="0" t="n">
        <v>224</v>
      </c>
      <c r="N179" s="0" t="n">
        <v>18.67</v>
      </c>
      <c r="P179" s="3" t="s">
        <v>165</v>
      </c>
      <c r="Q179" s="3" t="s">
        <v>999</v>
      </c>
      <c r="R179" s="0" t="n">
        <v>0</v>
      </c>
      <c r="S179" s="0" t="n">
        <v>1</v>
      </c>
      <c r="T179" s="0" t="n">
        <v>0</v>
      </c>
      <c r="U179" s="0" t="n">
        <v>0</v>
      </c>
      <c r="V179" s="0" t="n">
        <v>0</v>
      </c>
      <c r="Y179" s="0" t="n">
        <v>3</v>
      </c>
      <c r="Z179" s="0" t="n">
        <v>1</v>
      </c>
      <c r="AF179" s="0" t="n">
        <v>1</v>
      </c>
      <c r="AX179" s="3" t="s">
        <v>101</v>
      </c>
      <c r="AY179" s="3" t="s">
        <v>565</v>
      </c>
      <c r="AZ179" s="3" t="s">
        <v>1000</v>
      </c>
      <c r="BC179" s="0" t="n">
        <v>0</v>
      </c>
      <c r="BF179" s="0" t="n">
        <v>224</v>
      </c>
      <c r="BK179" s="0" t="n">
        <v>0</v>
      </c>
      <c r="CC179" s="0" t="n">
        <v>2.1204410433083</v>
      </c>
      <c r="CD179" s="0" t="n">
        <v>20.2861210929554</v>
      </c>
      <c r="CG179" s="0" t="n">
        <v>8</v>
      </c>
      <c r="CH179" s="3" t="s">
        <v>1001</v>
      </c>
      <c r="CI179" s="3" t="s">
        <v>568</v>
      </c>
    </row>
    <row r="180" customFormat="false" ht="14.25" hidden="false" customHeight="false" outlineLevel="0" collapsed="false">
      <c r="A180" s="0" t="s">
        <v>1002</v>
      </c>
      <c r="B180" s="0" t="s">
        <v>1003</v>
      </c>
      <c r="C180" s="0" t="s">
        <v>843</v>
      </c>
      <c r="D180" s="0" t="s">
        <v>878</v>
      </c>
      <c r="F180" s="0" t="s">
        <v>91</v>
      </c>
      <c r="I180" s="0" t="n">
        <v>2014</v>
      </c>
      <c r="K180" s="0" t="s">
        <v>562</v>
      </c>
      <c r="L180" s="4" t="n">
        <v>46295</v>
      </c>
      <c r="M180" s="0" t="n">
        <v>152</v>
      </c>
      <c r="N180" s="0" t="n">
        <v>12.67</v>
      </c>
      <c r="P180" s="3" t="s">
        <v>516</v>
      </c>
      <c r="Q180" s="3" t="s">
        <v>1004</v>
      </c>
      <c r="R180" s="0" t="n">
        <v>0</v>
      </c>
      <c r="S180" s="0" t="n">
        <v>1</v>
      </c>
      <c r="T180" s="0" t="n">
        <v>0</v>
      </c>
      <c r="U180" s="0" t="n">
        <v>0</v>
      </c>
      <c r="V180" s="0" t="n">
        <v>0</v>
      </c>
      <c r="Y180" s="0" t="n">
        <v>3</v>
      </c>
      <c r="Z180" s="0" t="n">
        <v>1</v>
      </c>
      <c r="AX180" s="3" t="s">
        <v>101</v>
      </c>
      <c r="AY180" s="3" t="s">
        <v>565</v>
      </c>
      <c r="AZ180" s="3" t="s">
        <v>1005</v>
      </c>
      <c r="BC180" s="0" t="n">
        <v>0</v>
      </c>
      <c r="BF180" s="0" t="n">
        <v>152</v>
      </c>
      <c r="BK180" s="0" t="n">
        <v>0</v>
      </c>
      <c r="CC180" s="0" t="n">
        <v>4.11642817161422</v>
      </c>
      <c r="CD180" s="0" t="n">
        <v>7.18938402847027</v>
      </c>
      <c r="CG180" s="0" t="n">
        <v>8</v>
      </c>
      <c r="CH180" s="3" t="s">
        <v>1006</v>
      </c>
      <c r="CI180" s="3" t="s">
        <v>568</v>
      </c>
    </row>
    <row r="181" customFormat="false" ht="14.25" hidden="false" customHeight="false" outlineLevel="0" collapsed="false">
      <c r="A181" s="0" t="s">
        <v>1007</v>
      </c>
      <c r="B181" s="0" t="s">
        <v>1008</v>
      </c>
      <c r="C181" s="0" t="s">
        <v>843</v>
      </c>
      <c r="D181" s="0" t="s">
        <v>856</v>
      </c>
      <c r="F181" s="0" t="s">
        <v>91</v>
      </c>
      <c r="I181" s="0" t="n">
        <v>2016</v>
      </c>
      <c r="K181" s="0" t="s">
        <v>562</v>
      </c>
      <c r="L181" s="4" t="n">
        <v>46295</v>
      </c>
      <c r="M181" s="0" t="n">
        <v>128</v>
      </c>
      <c r="N181" s="0" t="n">
        <v>10.67</v>
      </c>
      <c r="P181" s="3" t="s">
        <v>259</v>
      </c>
      <c r="Q181" s="3" t="s">
        <v>1009</v>
      </c>
      <c r="R181" s="0" t="n">
        <v>0</v>
      </c>
      <c r="S181" s="0" t="n">
        <v>1</v>
      </c>
      <c r="T181" s="0" t="n">
        <v>1</v>
      </c>
      <c r="U181" s="0" t="n">
        <v>0</v>
      </c>
      <c r="V181" s="0" t="n">
        <v>0</v>
      </c>
      <c r="W181" s="0" t="n">
        <v>1</v>
      </c>
      <c r="Y181" s="0" t="n">
        <v>3</v>
      </c>
      <c r="Z181" s="0" t="n">
        <v>1</v>
      </c>
      <c r="AF181" s="0" t="n">
        <v>4</v>
      </c>
      <c r="AX181" s="3" t="s">
        <v>101</v>
      </c>
      <c r="AY181" s="3" t="s">
        <v>565</v>
      </c>
      <c r="AZ181" s="3" t="s">
        <v>1010</v>
      </c>
      <c r="BC181" s="0" t="n">
        <v>0</v>
      </c>
      <c r="BF181" s="0" t="n">
        <v>128</v>
      </c>
      <c r="BK181" s="0" t="n">
        <v>0</v>
      </c>
      <c r="CC181" s="0" t="n">
        <v>6.57383828511043</v>
      </c>
      <c r="CD181" s="0" t="n">
        <v>3.7651191635658</v>
      </c>
      <c r="CG181" s="0" t="n">
        <v>8</v>
      </c>
      <c r="CH181" s="3" t="s">
        <v>1011</v>
      </c>
      <c r="CI181" s="3" t="s">
        <v>568</v>
      </c>
    </row>
    <row r="182" customFormat="false" ht="14.25" hidden="false" customHeight="false" outlineLevel="0" collapsed="false">
      <c r="A182" s="0" t="s">
        <v>1012</v>
      </c>
      <c r="B182" s="0" t="s">
        <v>1013</v>
      </c>
      <c r="C182" s="0" t="s">
        <v>843</v>
      </c>
      <c r="D182" s="0" t="s">
        <v>856</v>
      </c>
      <c r="F182" s="0" t="s">
        <v>91</v>
      </c>
      <c r="I182" s="0" t="n">
        <v>2004</v>
      </c>
      <c r="K182" s="0" t="s">
        <v>562</v>
      </c>
      <c r="L182" s="4" t="n">
        <v>46295</v>
      </c>
      <c r="M182" s="0" t="n">
        <v>272</v>
      </c>
      <c r="N182" s="0" t="n">
        <v>22.67</v>
      </c>
      <c r="P182" s="3" t="s">
        <v>267</v>
      </c>
      <c r="Q182" s="3" t="s">
        <v>1014</v>
      </c>
      <c r="R182" s="0" t="n">
        <v>0</v>
      </c>
      <c r="S182" s="0" t="n">
        <v>1</v>
      </c>
      <c r="T182" s="0" t="n">
        <v>0</v>
      </c>
      <c r="U182" s="0" t="n">
        <v>0</v>
      </c>
      <c r="V182" s="0" t="n">
        <v>0</v>
      </c>
      <c r="Y182" s="0" t="n">
        <v>3</v>
      </c>
      <c r="Z182" s="0" t="n">
        <v>1</v>
      </c>
      <c r="AF182" s="0" t="n">
        <v>1</v>
      </c>
      <c r="AX182" s="3" t="s">
        <v>101</v>
      </c>
      <c r="AY182" s="3" t="s">
        <v>565</v>
      </c>
      <c r="AZ182" s="3" t="s">
        <v>1015</v>
      </c>
      <c r="BC182" s="0" t="n">
        <v>0</v>
      </c>
      <c r="BF182" s="0" t="n">
        <v>272</v>
      </c>
      <c r="BK182" s="0" t="n">
        <v>0</v>
      </c>
      <c r="CC182" s="0" t="n">
        <v>7.83125556961251</v>
      </c>
      <c r="CD182" s="0" t="n">
        <v>7.44462469342739</v>
      </c>
      <c r="CG182" s="0" t="n">
        <v>8</v>
      </c>
      <c r="CH182" s="3" t="s">
        <v>1016</v>
      </c>
      <c r="CI182" s="3" t="s">
        <v>568</v>
      </c>
    </row>
    <row r="183" customFormat="false" ht="14.25" hidden="false" customHeight="false" outlineLevel="0" collapsed="false">
      <c r="A183" s="0" t="s">
        <v>1017</v>
      </c>
      <c r="B183" s="0" t="s">
        <v>1018</v>
      </c>
      <c r="C183" s="0" t="s">
        <v>843</v>
      </c>
      <c r="D183" s="0" t="s">
        <v>844</v>
      </c>
      <c r="F183" s="0" t="s">
        <v>91</v>
      </c>
      <c r="I183" s="0" t="n">
        <v>2017</v>
      </c>
      <c r="K183" s="0" t="s">
        <v>562</v>
      </c>
      <c r="L183" s="4" t="n">
        <v>46295</v>
      </c>
      <c r="M183" s="0" t="n">
        <v>116</v>
      </c>
      <c r="N183" s="0" t="n">
        <v>9.67</v>
      </c>
      <c r="P183" s="3" t="s">
        <v>259</v>
      </c>
      <c r="Q183" s="3" t="s">
        <v>1019</v>
      </c>
      <c r="R183" s="0" t="n">
        <v>1</v>
      </c>
      <c r="S183" s="0" t="n">
        <v>0</v>
      </c>
      <c r="T183" s="0" t="n">
        <v>0</v>
      </c>
      <c r="U183" s="0" t="n">
        <v>0</v>
      </c>
      <c r="V183" s="0" t="n">
        <v>0</v>
      </c>
      <c r="Y183" s="0" t="n">
        <v>3</v>
      </c>
      <c r="Z183" s="0" t="n">
        <v>1</v>
      </c>
      <c r="AX183" s="3" t="s">
        <v>138</v>
      </c>
      <c r="AY183" s="3" t="s">
        <v>565</v>
      </c>
      <c r="AZ183" s="3" t="s">
        <v>1020</v>
      </c>
      <c r="BC183" s="0" t="n">
        <v>0</v>
      </c>
      <c r="BF183" s="0" t="n">
        <v>116</v>
      </c>
      <c r="BK183" s="0" t="n">
        <v>0</v>
      </c>
      <c r="CC183" s="0" t="n">
        <v>4.43262590683975</v>
      </c>
      <c r="CD183" s="0" t="n">
        <v>4.08537368032608</v>
      </c>
      <c r="CG183" s="0" t="n">
        <v>8</v>
      </c>
      <c r="CH183" s="3" t="s">
        <v>1021</v>
      </c>
      <c r="CI183" s="3" t="s">
        <v>568</v>
      </c>
    </row>
    <row r="184" customFormat="false" ht="14.25" hidden="false" customHeight="false" outlineLevel="0" collapsed="false">
      <c r="A184" s="0" t="s">
        <v>1022</v>
      </c>
      <c r="B184" s="0" t="s">
        <v>1023</v>
      </c>
      <c r="C184" s="0" t="s">
        <v>843</v>
      </c>
      <c r="D184" s="0" t="s">
        <v>856</v>
      </c>
      <c r="F184" s="0" t="s">
        <v>91</v>
      </c>
      <c r="I184" s="0" t="n">
        <v>2020</v>
      </c>
      <c r="K184" s="0" t="s">
        <v>562</v>
      </c>
      <c r="L184" s="4" t="n">
        <v>46295</v>
      </c>
      <c r="M184" s="0" t="n">
        <v>80</v>
      </c>
      <c r="N184" s="0" t="n">
        <v>6.67</v>
      </c>
      <c r="P184" s="3" t="s">
        <v>210</v>
      </c>
      <c r="Q184" s="3" t="s">
        <v>1024</v>
      </c>
      <c r="R184" s="0" t="n">
        <v>0</v>
      </c>
      <c r="S184" s="0" t="n">
        <v>1</v>
      </c>
      <c r="T184" s="0" t="n">
        <v>0</v>
      </c>
      <c r="U184" s="0" t="n">
        <v>0</v>
      </c>
      <c r="V184" s="0" t="n">
        <v>0</v>
      </c>
      <c r="W184" s="0" t="n">
        <v>1</v>
      </c>
      <c r="Y184" s="0" t="n">
        <v>2</v>
      </c>
      <c r="Z184" s="0" t="n">
        <v>1</v>
      </c>
      <c r="AA184" s="0" t="n">
        <v>1</v>
      </c>
      <c r="AB184" s="3" t="s">
        <v>1025</v>
      </c>
      <c r="AF184" s="0" t="n">
        <v>1</v>
      </c>
      <c r="AQ184" s="0" t="n">
        <v>0</v>
      </c>
      <c r="AX184" s="3" t="s">
        <v>142</v>
      </c>
      <c r="AY184" s="3" t="s">
        <v>565</v>
      </c>
      <c r="AZ184" s="3" t="s">
        <v>1026</v>
      </c>
      <c r="BC184" s="0" t="n">
        <v>1</v>
      </c>
      <c r="BD184" s="0" t="n">
        <v>2024</v>
      </c>
      <c r="BF184" s="0" t="n">
        <v>48</v>
      </c>
      <c r="BK184" s="0" t="n">
        <v>1</v>
      </c>
      <c r="CC184" s="0" t="n">
        <v>-1.27408744338709</v>
      </c>
      <c r="CD184" s="0" t="n">
        <v>9.74011619320125</v>
      </c>
      <c r="CG184" s="0" t="n">
        <v>6</v>
      </c>
      <c r="CH184" s="3" t="s">
        <v>1027</v>
      </c>
      <c r="CI184" s="3" t="s">
        <v>568</v>
      </c>
    </row>
    <row r="185" customFormat="false" ht="14.25" hidden="false" customHeight="false" outlineLevel="0" collapsed="false">
      <c r="A185" s="0" t="s">
        <v>1028</v>
      </c>
      <c r="B185" s="0" t="s">
        <v>1029</v>
      </c>
      <c r="C185" s="0" t="s">
        <v>843</v>
      </c>
      <c r="D185" s="0" t="s">
        <v>856</v>
      </c>
      <c r="F185" s="0" t="s">
        <v>91</v>
      </c>
      <c r="I185" s="0" t="n">
        <v>2016</v>
      </c>
      <c r="K185" s="0" t="s">
        <v>562</v>
      </c>
      <c r="L185" s="4" t="n">
        <v>46295</v>
      </c>
      <c r="M185" s="0" t="n">
        <v>128</v>
      </c>
      <c r="N185" s="0" t="n">
        <v>10.67</v>
      </c>
      <c r="P185" s="3" t="s">
        <v>165</v>
      </c>
      <c r="Q185" s="3" t="s">
        <v>1030</v>
      </c>
      <c r="R185" s="0" t="n">
        <v>1</v>
      </c>
      <c r="S185" s="0" t="n">
        <v>1</v>
      </c>
      <c r="T185" s="0" t="n">
        <v>1</v>
      </c>
      <c r="U185" s="0" t="n">
        <v>0</v>
      </c>
      <c r="V185" s="0" t="n">
        <v>0</v>
      </c>
      <c r="W185" s="0" t="n">
        <v>1</v>
      </c>
      <c r="Y185" s="0" t="n">
        <v>3</v>
      </c>
      <c r="Z185" s="0" t="n">
        <v>1</v>
      </c>
      <c r="AF185" s="0" t="n">
        <v>1</v>
      </c>
      <c r="AX185" s="3" t="s">
        <v>142</v>
      </c>
      <c r="AY185" s="3" t="s">
        <v>565</v>
      </c>
      <c r="AZ185" s="3" t="s">
        <v>1031</v>
      </c>
      <c r="BC185" s="0" t="n">
        <v>1</v>
      </c>
      <c r="BD185" s="0" t="n">
        <v>2022</v>
      </c>
      <c r="BF185" s="0" t="n">
        <v>72</v>
      </c>
      <c r="BK185" s="0" t="n">
        <v>1</v>
      </c>
      <c r="CC185" s="0" t="n">
        <v>6.57383828511043</v>
      </c>
      <c r="CD185" s="0" t="n">
        <v>3.7651191635658</v>
      </c>
      <c r="CG185" s="0" t="n">
        <v>8</v>
      </c>
      <c r="CH185" s="3" t="s">
        <v>1032</v>
      </c>
      <c r="CI185" s="3" t="s">
        <v>568</v>
      </c>
    </row>
    <row r="186" customFormat="false" ht="14.25" hidden="false" customHeight="false" outlineLevel="0" collapsed="false">
      <c r="A186" s="0" t="s">
        <v>1033</v>
      </c>
      <c r="B186" s="0" t="s">
        <v>1034</v>
      </c>
      <c r="C186" s="0" t="s">
        <v>89</v>
      </c>
      <c r="D186" s="0" t="s">
        <v>1035</v>
      </c>
      <c r="E186" s="0" t="n">
        <v>0</v>
      </c>
      <c r="F186" s="0" t="s">
        <v>91</v>
      </c>
      <c r="I186" s="0" t="n">
        <v>2020</v>
      </c>
      <c r="K186" s="0" t="s">
        <v>92</v>
      </c>
      <c r="L186" s="4" t="n">
        <v>46295</v>
      </c>
      <c r="M186" s="0" t="n">
        <v>80</v>
      </c>
      <c r="N186" s="0" t="n">
        <v>6.67</v>
      </c>
      <c r="O186" s="3" t="s">
        <v>1036</v>
      </c>
      <c r="P186" s="3" t="s">
        <v>267</v>
      </c>
      <c r="Q186" s="3" t="s">
        <v>1037</v>
      </c>
      <c r="R186" s="0" t="n">
        <v>1</v>
      </c>
      <c r="S186" s="0" t="n">
        <v>0</v>
      </c>
      <c r="T186" s="0" t="n">
        <v>0</v>
      </c>
      <c r="U186" s="0" t="n">
        <v>1</v>
      </c>
      <c r="V186" s="0" t="n">
        <v>0</v>
      </c>
      <c r="W186" s="0" t="n">
        <v>0</v>
      </c>
      <c r="Y186" s="0" t="n">
        <v>3</v>
      </c>
      <c r="Z186" s="0" t="n">
        <v>1</v>
      </c>
      <c r="AC186" s="0" t="n">
        <v>0</v>
      </c>
      <c r="AF186" s="0" t="n">
        <v>1</v>
      </c>
      <c r="AG186" s="0" t="n">
        <v>1</v>
      </c>
      <c r="AH186" s="0" t="n">
        <v>0</v>
      </c>
      <c r="AI186" s="0" t="n">
        <v>0</v>
      </c>
      <c r="AJ186" s="0" t="n">
        <v>0</v>
      </c>
      <c r="AK186" s="0" t="n">
        <v>0</v>
      </c>
      <c r="AM186" s="0" t="n">
        <v>0</v>
      </c>
      <c r="AN186" s="3" t="s">
        <v>136</v>
      </c>
      <c r="AO186" s="0" t="n">
        <v>1</v>
      </c>
      <c r="AP186" s="0" t="n">
        <v>1</v>
      </c>
      <c r="AQ186" s="0" t="n">
        <v>0</v>
      </c>
      <c r="AR186" s="0" t="n">
        <v>5</v>
      </c>
      <c r="AS186" s="0" t="n">
        <v>5</v>
      </c>
      <c r="AX186" s="3" t="s">
        <v>101</v>
      </c>
      <c r="AY186" s="3" t="s">
        <v>565</v>
      </c>
      <c r="AZ186" s="3" t="s">
        <v>1038</v>
      </c>
      <c r="BA186" s="0" t="n">
        <v>0</v>
      </c>
      <c r="BB186" s="0" t="n">
        <v>0</v>
      </c>
      <c r="BC186" s="0" t="n">
        <v>0</v>
      </c>
      <c r="BF186" s="0" t="n">
        <v>80</v>
      </c>
      <c r="BG186" s="0" t="n">
        <v>0</v>
      </c>
      <c r="BH186" s="0" t="n">
        <v>0</v>
      </c>
      <c r="BI186" s="3" t="s">
        <v>116</v>
      </c>
      <c r="BK186" s="0" t="n">
        <v>0</v>
      </c>
      <c r="BL186" s="0" t="n">
        <v>0</v>
      </c>
      <c r="BM186" s="0" t="n">
        <v>0</v>
      </c>
      <c r="BN186" s="0" t="n">
        <v>0</v>
      </c>
      <c r="BO186" s="0" t="n">
        <v>0</v>
      </c>
      <c r="BP186" s="0" t="n">
        <v>0</v>
      </c>
      <c r="BQ186" s="0" t="n">
        <v>0</v>
      </c>
      <c r="BR186" s="0" t="n">
        <v>0</v>
      </c>
      <c r="CC186" s="0" t="n">
        <v>3.45</v>
      </c>
      <c r="CD186" s="0" t="n">
        <v>5.69</v>
      </c>
      <c r="CG186" s="0" t="n">
        <v>3</v>
      </c>
      <c r="CH186" s="3" t="s">
        <v>1039</v>
      </c>
      <c r="CI186" s="3" t="s">
        <v>1040</v>
      </c>
    </row>
    <row r="187" customFormat="false" ht="14.25" hidden="false" customHeight="false" outlineLevel="0" collapsed="false">
      <c r="A187" s="0" t="s">
        <v>1041</v>
      </c>
      <c r="B187" s="0" t="s">
        <v>1042</v>
      </c>
      <c r="C187" s="0" t="s">
        <v>89</v>
      </c>
      <c r="D187" s="0" t="s">
        <v>1035</v>
      </c>
      <c r="E187" s="0" t="n">
        <v>0</v>
      </c>
      <c r="F187" s="0" t="s">
        <v>91</v>
      </c>
      <c r="I187" s="0" t="n">
        <v>2016</v>
      </c>
      <c r="J187" s="0" t="n">
        <v>4</v>
      </c>
      <c r="K187" s="0" t="s">
        <v>133</v>
      </c>
      <c r="L187" s="4" t="n">
        <v>46295</v>
      </c>
      <c r="M187" s="0" t="n">
        <v>125</v>
      </c>
      <c r="N187" s="0" t="n">
        <v>10.42</v>
      </c>
      <c r="O187" s="3" t="s">
        <v>1043</v>
      </c>
      <c r="P187" s="3" t="s">
        <v>446</v>
      </c>
      <c r="Q187" s="3" t="s">
        <v>1044</v>
      </c>
      <c r="R187" s="0" t="n">
        <v>1</v>
      </c>
      <c r="S187" s="0" t="n">
        <v>0</v>
      </c>
      <c r="T187" s="0" t="n">
        <v>0</v>
      </c>
      <c r="U187" s="0" t="n">
        <v>1</v>
      </c>
      <c r="V187" s="0" t="n">
        <v>0</v>
      </c>
      <c r="W187" s="0" t="n">
        <v>0</v>
      </c>
      <c r="Y187" s="0" t="n">
        <v>3</v>
      </c>
      <c r="Z187" s="0" t="n">
        <v>1</v>
      </c>
      <c r="AC187" s="0" t="n">
        <v>0</v>
      </c>
      <c r="AF187" s="0" t="n">
        <v>1</v>
      </c>
      <c r="AG187" s="0" t="n">
        <v>1</v>
      </c>
      <c r="AH187" s="0" t="n">
        <v>0</v>
      </c>
      <c r="AI187" s="0" t="n">
        <v>0</v>
      </c>
      <c r="AJ187" s="0" t="n">
        <v>0</v>
      </c>
      <c r="AK187" s="0" t="n">
        <v>0</v>
      </c>
      <c r="AM187" s="0" t="n">
        <v>1</v>
      </c>
      <c r="AN187" s="3" t="s">
        <v>147</v>
      </c>
      <c r="AO187" s="0" t="n">
        <v>1</v>
      </c>
      <c r="AP187" s="0" t="n">
        <v>1</v>
      </c>
      <c r="AQ187" s="0" t="n">
        <v>1</v>
      </c>
      <c r="AR187" s="0" t="n">
        <v>6</v>
      </c>
      <c r="AS187" s="0" t="n">
        <v>6</v>
      </c>
      <c r="AT187" s="0" t="n">
        <v>125</v>
      </c>
      <c r="AU187" s="3" t="s">
        <v>130</v>
      </c>
      <c r="AV187" s="3" t="s">
        <v>1045</v>
      </c>
      <c r="AX187" s="3" t="s">
        <v>101</v>
      </c>
      <c r="AY187" s="3" t="s">
        <v>565</v>
      </c>
      <c r="AZ187" s="3" t="s">
        <v>1046</v>
      </c>
      <c r="BA187" s="0" t="n">
        <v>0</v>
      </c>
      <c r="BB187" s="0" t="n">
        <v>0</v>
      </c>
      <c r="BC187" s="0" t="n">
        <v>0</v>
      </c>
      <c r="BF187" s="0" t="n">
        <v>125</v>
      </c>
      <c r="BG187" s="0" t="n">
        <v>0</v>
      </c>
      <c r="BH187" s="0" t="n">
        <v>0</v>
      </c>
      <c r="BI187" s="3" t="s">
        <v>116</v>
      </c>
      <c r="BK187" s="0" t="n">
        <v>0</v>
      </c>
      <c r="BL187" s="0" t="n">
        <v>0</v>
      </c>
      <c r="BM187" s="0" t="n">
        <v>0</v>
      </c>
      <c r="BN187" s="0" t="n">
        <v>0</v>
      </c>
      <c r="BO187" s="0" t="n">
        <v>0</v>
      </c>
      <c r="BP187" s="0" t="n">
        <v>0</v>
      </c>
      <c r="BQ187" s="0" t="n">
        <v>0</v>
      </c>
      <c r="BR187" s="0" t="n">
        <v>0</v>
      </c>
      <c r="CC187" s="0" t="n">
        <v>7.11</v>
      </c>
      <c r="CD187" s="0" t="n">
        <v>5.51</v>
      </c>
      <c r="CG187" s="0" t="n">
        <v>2</v>
      </c>
      <c r="CH187" s="3" t="s">
        <v>1047</v>
      </c>
      <c r="CI187" s="3" t="s">
        <v>1040</v>
      </c>
    </row>
    <row r="188" customFormat="false" ht="14.25" hidden="false" customHeight="false" outlineLevel="0" collapsed="false">
      <c r="A188" s="0" t="s">
        <v>1048</v>
      </c>
      <c r="B188" s="0" t="s">
        <v>1049</v>
      </c>
      <c r="C188" s="0" t="s">
        <v>89</v>
      </c>
      <c r="D188" s="0" t="s">
        <v>90</v>
      </c>
      <c r="E188" s="0" t="n">
        <v>0</v>
      </c>
      <c r="F188" s="0" t="s">
        <v>91</v>
      </c>
      <c r="I188" s="0" t="n">
        <v>2016</v>
      </c>
      <c r="K188" s="0" t="s">
        <v>92</v>
      </c>
      <c r="L188" s="4" t="n">
        <v>46295</v>
      </c>
      <c r="M188" s="0" t="n">
        <v>128</v>
      </c>
      <c r="N188" s="0" t="n">
        <v>10.67</v>
      </c>
      <c r="O188" s="3" t="s">
        <v>1050</v>
      </c>
      <c r="P188" s="3" t="s">
        <v>210</v>
      </c>
      <c r="Q188" s="3" t="s">
        <v>1051</v>
      </c>
      <c r="R188" s="0" t="n">
        <v>1</v>
      </c>
      <c r="S188" s="0" t="n">
        <v>1</v>
      </c>
      <c r="T188" s="0" t="n">
        <v>0</v>
      </c>
      <c r="U188" s="0" t="n">
        <v>0</v>
      </c>
      <c r="V188" s="0" t="n">
        <v>0</v>
      </c>
      <c r="W188" s="0" t="n">
        <v>1</v>
      </c>
      <c r="Y188" s="0" t="n">
        <v>3</v>
      </c>
      <c r="Z188" s="0" t="n">
        <v>1</v>
      </c>
      <c r="AC188" s="0" t="n">
        <v>0</v>
      </c>
      <c r="AF188" s="0" t="n">
        <v>1</v>
      </c>
      <c r="AG188" s="0" t="n">
        <v>1</v>
      </c>
      <c r="AH188" s="0" t="n">
        <v>0</v>
      </c>
      <c r="AI188" s="0" t="n">
        <v>0</v>
      </c>
      <c r="AJ188" s="0" t="n">
        <v>0</v>
      </c>
      <c r="AK188" s="0" t="n">
        <v>0</v>
      </c>
      <c r="AM188" s="0" t="n">
        <v>1</v>
      </c>
      <c r="AN188" s="3" t="s">
        <v>147</v>
      </c>
      <c r="AO188" s="0" t="n">
        <v>1</v>
      </c>
      <c r="AP188" s="0" t="n">
        <v>1</v>
      </c>
      <c r="AQ188" s="0" t="n">
        <v>0</v>
      </c>
      <c r="AR188" s="0" t="n">
        <v>0</v>
      </c>
      <c r="AS188" s="0" t="n">
        <v>0</v>
      </c>
      <c r="AX188" s="3" t="s">
        <v>101</v>
      </c>
      <c r="AY188" s="3" t="s">
        <v>565</v>
      </c>
      <c r="AZ188" s="3" t="s">
        <v>1052</v>
      </c>
      <c r="BA188" s="0" t="n">
        <v>0</v>
      </c>
      <c r="BB188" s="0" t="n">
        <v>0</v>
      </c>
      <c r="BC188" s="0" t="n">
        <v>0</v>
      </c>
      <c r="BF188" s="0" t="n">
        <v>128</v>
      </c>
      <c r="BG188" s="0" t="n">
        <v>0</v>
      </c>
      <c r="BH188" s="0" t="n">
        <v>0</v>
      </c>
      <c r="BI188" s="3" t="s">
        <v>116</v>
      </c>
      <c r="BK188" s="0" t="n">
        <v>0</v>
      </c>
      <c r="BL188" s="0" t="n">
        <v>0</v>
      </c>
      <c r="BM188" s="0" t="n">
        <v>0</v>
      </c>
      <c r="BN188" s="0" t="n">
        <v>0</v>
      </c>
      <c r="BO188" s="0" t="n">
        <v>0</v>
      </c>
      <c r="BP188" s="0" t="n">
        <v>0</v>
      </c>
      <c r="BQ188" s="0" t="n">
        <v>0</v>
      </c>
      <c r="BR188" s="0" t="n">
        <v>0</v>
      </c>
      <c r="CC188" s="0" t="n">
        <v>7.11</v>
      </c>
      <c r="CD188" s="0" t="n">
        <v>5.51</v>
      </c>
      <c r="CG188" s="0" t="n">
        <v>3</v>
      </c>
      <c r="CH188" s="3" t="s">
        <v>1053</v>
      </c>
      <c r="CI188" s="3" t="s">
        <v>1040</v>
      </c>
    </row>
    <row r="189" customFormat="false" ht="14.25" hidden="false" customHeight="false" outlineLevel="0" collapsed="false">
      <c r="A189" s="0" t="s">
        <v>1054</v>
      </c>
      <c r="B189" s="0" t="s">
        <v>1055</v>
      </c>
      <c r="C189" s="0" t="s">
        <v>89</v>
      </c>
      <c r="D189" s="0" t="s">
        <v>90</v>
      </c>
      <c r="E189" s="0" t="n">
        <v>0</v>
      </c>
      <c r="F189" s="0" t="s">
        <v>91</v>
      </c>
      <c r="I189" s="0" t="n">
        <v>2015</v>
      </c>
      <c r="K189" s="0" t="s">
        <v>92</v>
      </c>
      <c r="L189" s="4" t="n">
        <v>46295</v>
      </c>
      <c r="M189" s="0" t="n">
        <v>140</v>
      </c>
      <c r="N189" s="0" t="n">
        <v>11.67</v>
      </c>
      <c r="O189" s="3" t="s">
        <v>1056</v>
      </c>
      <c r="P189" s="3" t="s">
        <v>446</v>
      </c>
      <c r="Q189" s="3" t="s">
        <v>1057</v>
      </c>
      <c r="R189" s="0" t="n">
        <v>1</v>
      </c>
      <c r="S189" s="0" t="n">
        <v>1</v>
      </c>
      <c r="T189" s="0" t="n">
        <v>0</v>
      </c>
      <c r="U189" s="0" t="n">
        <v>0</v>
      </c>
      <c r="V189" s="0" t="n">
        <v>0</v>
      </c>
      <c r="W189" s="0" t="n">
        <v>0</v>
      </c>
      <c r="Y189" s="0" t="n">
        <v>3</v>
      </c>
      <c r="Z189" s="0" t="n">
        <v>1</v>
      </c>
      <c r="AC189" s="0" t="n">
        <v>0</v>
      </c>
      <c r="AF189" s="0" t="n">
        <v>2</v>
      </c>
      <c r="AG189" s="0" t="n">
        <v>2</v>
      </c>
      <c r="AH189" s="0" t="n">
        <v>0</v>
      </c>
      <c r="AI189" s="0" t="n">
        <v>0</v>
      </c>
      <c r="AJ189" s="0" t="n">
        <v>0</v>
      </c>
      <c r="AK189" s="0" t="n">
        <v>0</v>
      </c>
      <c r="AM189" s="0" t="n">
        <v>1</v>
      </c>
      <c r="AN189" s="3" t="s">
        <v>147</v>
      </c>
      <c r="AO189" s="0" t="n">
        <v>1</v>
      </c>
      <c r="AP189" s="0" t="n">
        <v>1</v>
      </c>
      <c r="AQ189" s="0" t="n">
        <v>0</v>
      </c>
      <c r="AR189" s="0" t="n">
        <v>0</v>
      </c>
      <c r="AS189" s="0" t="n">
        <v>0</v>
      </c>
      <c r="AX189" s="3" t="s">
        <v>101</v>
      </c>
      <c r="AY189" s="3" t="s">
        <v>565</v>
      </c>
      <c r="AZ189" s="3" t="s">
        <v>1058</v>
      </c>
      <c r="BA189" s="0" t="n">
        <v>0</v>
      </c>
      <c r="BB189" s="0" t="n">
        <v>0</v>
      </c>
      <c r="BC189" s="0" t="n">
        <v>0</v>
      </c>
      <c r="BF189" s="0" t="n">
        <v>140</v>
      </c>
      <c r="BG189" s="0" t="n">
        <v>0</v>
      </c>
      <c r="BH189" s="0" t="n">
        <v>0</v>
      </c>
      <c r="BI189" s="3" t="s">
        <v>116</v>
      </c>
      <c r="BK189" s="0" t="n">
        <v>0</v>
      </c>
      <c r="BL189" s="0" t="n">
        <v>0</v>
      </c>
      <c r="BM189" s="0" t="n">
        <v>0</v>
      </c>
      <c r="BN189" s="0" t="n">
        <v>0</v>
      </c>
      <c r="BO189" s="0" t="n">
        <v>0</v>
      </c>
      <c r="BP189" s="0" t="n">
        <v>0</v>
      </c>
      <c r="BQ189" s="0" t="n">
        <v>0</v>
      </c>
      <c r="BR189" s="0" t="n">
        <v>0</v>
      </c>
      <c r="CC189" s="0" t="n">
        <v>6.55</v>
      </c>
      <c r="CD189" s="0" t="n">
        <v>6.4</v>
      </c>
      <c r="CG189" s="0" t="n">
        <v>3</v>
      </c>
      <c r="CH189" s="3" t="s">
        <v>1059</v>
      </c>
      <c r="CI189" s="3" t="s">
        <v>1040</v>
      </c>
    </row>
    <row r="190" customFormat="false" ht="14.25" hidden="false" customHeight="false" outlineLevel="0" collapsed="false">
      <c r="A190" s="0" t="s">
        <v>1060</v>
      </c>
      <c r="B190" s="0" t="s">
        <v>1061</v>
      </c>
      <c r="C190" s="0" t="s">
        <v>89</v>
      </c>
      <c r="D190" s="0" t="s">
        <v>90</v>
      </c>
      <c r="E190" s="0" t="n">
        <v>0</v>
      </c>
      <c r="F190" s="0" t="s">
        <v>91</v>
      </c>
      <c r="I190" s="0" t="n">
        <v>2017</v>
      </c>
      <c r="K190" s="0" t="s">
        <v>92</v>
      </c>
      <c r="L190" s="4" t="n">
        <v>46295</v>
      </c>
      <c r="M190" s="0" t="n">
        <v>116</v>
      </c>
      <c r="N190" s="0" t="n">
        <v>9.67</v>
      </c>
      <c r="O190" s="3" t="s">
        <v>1062</v>
      </c>
      <c r="P190" s="3" t="s">
        <v>446</v>
      </c>
      <c r="Q190" s="3" t="s">
        <v>1063</v>
      </c>
      <c r="R190" s="0" t="n">
        <v>1</v>
      </c>
      <c r="S190" s="0" t="n">
        <v>0</v>
      </c>
      <c r="T190" s="0" t="n">
        <v>0</v>
      </c>
      <c r="U190" s="0" t="n">
        <v>0</v>
      </c>
      <c r="V190" s="0" t="n">
        <v>0</v>
      </c>
      <c r="W190" s="0" t="n">
        <v>0</v>
      </c>
      <c r="Y190" s="0" t="n">
        <v>3</v>
      </c>
      <c r="Z190" s="0" t="n">
        <v>1</v>
      </c>
      <c r="AC190" s="0" t="n">
        <v>0</v>
      </c>
      <c r="AF190" s="0" t="n">
        <v>1</v>
      </c>
      <c r="AG190" s="0" t="n">
        <v>1</v>
      </c>
      <c r="AH190" s="0" t="n">
        <v>0</v>
      </c>
      <c r="AI190" s="0" t="n">
        <v>0</v>
      </c>
      <c r="AJ190" s="0" t="n">
        <v>0</v>
      </c>
      <c r="AK190" s="0" t="n">
        <v>0</v>
      </c>
      <c r="AM190" s="0" t="n">
        <v>1</v>
      </c>
      <c r="AN190" s="3" t="s">
        <v>147</v>
      </c>
      <c r="AO190" s="0" t="n">
        <v>1</v>
      </c>
      <c r="AP190" s="0" t="n">
        <v>1</v>
      </c>
      <c r="AQ190" s="0" t="n">
        <v>0</v>
      </c>
      <c r="AR190" s="0" t="n">
        <v>11</v>
      </c>
      <c r="AS190" s="0" t="n">
        <v>11</v>
      </c>
      <c r="AT190" s="0" t="n">
        <v>5000</v>
      </c>
      <c r="AU190" s="3" t="s">
        <v>1064</v>
      </c>
      <c r="AV190" s="3" t="s">
        <v>1045</v>
      </c>
      <c r="AX190" s="3" t="s">
        <v>101</v>
      </c>
      <c r="AY190" s="3" t="s">
        <v>565</v>
      </c>
      <c r="AZ190" s="3" t="s">
        <v>1065</v>
      </c>
      <c r="BA190" s="0" t="n">
        <v>0</v>
      </c>
      <c r="BB190" s="0" t="n">
        <v>0</v>
      </c>
      <c r="BC190" s="0" t="n">
        <v>0</v>
      </c>
      <c r="BF190" s="0" t="n">
        <v>116</v>
      </c>
      <c r="BG190" s="0" t="n">
        <v>0</v>
      </c>
      <c r="BH190" s="0" t="n">
        <v>0</v>
      </c>
      <c r="BI190" s="3" t="s">
        <v>116</v>
      </c>
      <c r="BK190" s="0" t="n">
        <v>0</v>
      </c>
      <c r="BL190" s="0" t="n">
        <v>0</v>
      </c>
      <c r="BM190" s="0" t="n">
        <v>0</v>
      </c>
      <c r="BN190" s="0" t="n">
        <v>0</v>
      </c>
      <c r="BO190" s="0" t="n">
        <v>0</v>
      </c>
      <c r="BP190" s="0" t="n">
        <v>0</v>
      </c>
      <c r="BQ190" s="0" t="n">
        <v>0</v>
      </c>
      <c r="BR190" s="0" t="n">
        <v>0</v>
      </c>
      <c r="CC190" s="0" t="n">
        <v>6.59</v>
      </c>
      <c r="CD190" s="0" t="n">
        <v>5.7</v>
      </c>
      <c r="CG190" s="0" t="n">
        <v>2</v>
      </c>
      <c r="CH190" s="3" t="s">
        <v>1066</v>
      </c>
      <c r="CI190" s="3" t="s">
        <v>1040</v>
      </c>
    </row>
    <row r="191" customFormat="false" ht="14.25" hidden="false" customHeight="false" outlineLevel="0" collapsed="false">
      <c r="A191" s="0" t="s">
        <v>1067</v>
      </c>
      <c r="B191" s="0" t="s">
        <v>1068</v>
      </c>
      <c r="C191" s="0" t="s">
        <v>89</v>
      </c>
      <c r="D191" s="0" t="s">
        <v>90</v>
      </c>
      <c r="E191" s="0" t="n">
        <v>0</v>
      </c>
      <c r="F191" s="0" t="s">
        <v>91</v>
      </c>
      <c r="I191" s="0" t="n">
        <v>2010</v>
      </c>
      <c r="K191" s="0" t="s">
        <v>92</v>
      </c>
      <c r="L191" s="4" t="n">
        <v>46295</v>
      </c>
      <c r="M191" s="0" t="n">
        <v>200</v>
      </c>
      <c r="N191" s="0" t="n">
        <v>16.67</v>
      </c>
      <c r="O191" s="3" t="s">
        <v>1069</v>
      </c>
      <c r="P191" s="3" t="s">
        <v>446</v>
      </c>
      <c r="Q191" s="3" t="s">
        <v>1070</v>
      </c>
      <c r="R191" s="0" t="n">
        <v>1</v>
      </c>
      <c r="S191" s="0" t="n">
        <v>0</v>
      </c>
      <c r="T191" s="0" t="n">
        <v>0</v>
      </c>
      <c r="U191" s="0" t="n">
        <v>0</v>
      </c>
      <c r="V191" s="0" t="n">
        <v>0</v>
      </c>
      <c r="W191" s="0" t="n">
        <v>0</v>
      </c>
      <c r="Y191" s="0" t="n">
        <v>3</v>
      </c>
      <c r="Z191" s="0" t="n">
        <v>1</v>
      </c>
      <c r="AC191" s="0" t="n">
        <v>0</v>
      </c>
      <c r="AF191" s="0" t="n">
        <v>3</v>
      </c>
      <c r="AG191" s="0" t="n">
        <v>3</v>
      </c>
      <c r="AH191" s="0" t="n">
        <v>0</v>
      </c>
      <c r="AI191" s="0" t="n">
        <v>0</v>
      </c>
      <c r="AJ191" s="0" t="n">
        <v>0</v>
      </c>
      <c r="AK191" s="0" t="n">
        <v>0</v>
      </c>
      <c r="AM191" s="0" t="n">
        <v>2</v>
      </c>
      <c r="AN191" s="3" t="s">
        <v>98</v>
      </c>
      <c r="AO191" s="0" t="n">
        <v>1</v>
      </c>
      <c r="AP191" s="0" t="n">
        <v>0.67</v>
      </c>
      <c r="AQ191" s="0" t="n">
        <v>0</v>
      </c>
      <c r="AR191" s="0" t="n">
        <v>3</v>
      </c>
      <c r="AS191" s="0" t="n">
        <v>3</v>
      </c>
      <c r="AT191" s="0" t="n">
        <v>70</v>
      </c>
      <c r="AU191" s="3" t="s">
        <v>130</v>
      </c>
      <c r="AV191" s="3" t="s">
        <v>1045</v>
      </c>
      <c r="AX191" s="3" t="s">
        <v>101</v>
      </c>
      <c r="AY191" s="3" t="s">
        <v>565</v>
      </c>
      <c r="AZ191" s="3" t="s">
        <v>1071</v>
      </c>
      <c r="BA191" s="0" t="n">
        <v>0</v>
      </c>
      <c r="BB191" s="0" t="n">
        <v>0</v>
      </c>
      <c r="BC191" s="0" t="n">
        <v>0</v>
      </c>
      <c r="BF191" s="0" t="n">
        <v>200</v>
      </c>
      <c r="BG191" s="0" t="n">
        <v>0</v>
      </c>
      <c r="BH191" s="0" t="n">
        <v>0</v>
      </c>
      <c r="BI191" s="3" t="s">
        <v>116</v>
      </c>
      <c r="BK191" s="0" t="n">
        <v>0</v>
      </c>
      <c r="BL191" s="0" t="n">
        <v>0</v>
      </c>
      <c r="BM191" s="0" t="n">
        <v>0</v>
      </c>
      <c r="BN191" s="0" t="n">
        <v>0</v>
      </c>
      <c r="BO191" s="0" t="n">
        <v>0</v>
      </c>
      <c r="BP191" s="0" t="n">
        <v>0</v>
      </c>
      <c r="BQ191" s="0" t="n">
        <v>0</v>
      </c>
      <c r="BR191" s="0" t="n">
        <v>0</v>
      </c>
      <c r="CC191" s="0" t="n">
        <v>5.57</v>
      </c>
      <c r="CD191" s="0" t="n">
        <v>7.3</v>
      </c>
      <c r="CG191" s="0" t="n">
        <v>2</v>
      </c>
      <c r="CH191" s="3" t="s">
        <v>1072</v>
      </c>
      <c r="CI191" s="3" t="s">
        <v>1040</v>
      </c>
    </row>
    <row r="192" customFormat="false" ht="14.25" hidden="false" customHeight="false" outlineLevel="0" collapsed="false">
      <c r="A192" s="0" t="s">
        <v>1073</v>
      </c>
      <c r="B192" s="0" t="s">
        <v>1074</v>
      </c>
      <c r="C192" s="0" t="s">
        <v>89</v>
      </c>
      <c r="D192" s="0" t="s">
        <v>1075</v>
      </c>
      <c r="E192" s="0" t="n">
        <v>0</v>
      </c>
      <c r="F192" s="0" t="s">
        <v>91</v>
      </c>
      <c r="I192" s="0" t="n">
        <v>2019</v>
      </c>
      <c r="K192" s="0" t="s">
        <v>92</v>
      </c>
      <c r="L192" s="4" t="n">
        <v>46295</v>
      </c>
      <c r="M192" s="0" t="n">
        <v>92</v>
      </c>
      <c r="N192" s="0" t="n">
        <v>7.67</v>
      </c>
      <c r="O192" s="3" t="s">
        <v>1076</v>
      </c>
      <c r="P192" s="3" t="s">
        <v>446</v>
      </c>
      <c r="Q192" s="3" t="s">
        <v>1077</v>
      </c>
      <c r="R192" s="0" t="n">
        <v>1</v>
      </c>
      <c r="S192" s="0" t="n">
        <v>0</v>
      </c>
      <c r="T192" s="0" t="n">
        <v>0</v>
      </c>
      <c r="U192" s="0" t="n">
        <v>1</v>
      </c>
      <c r="V192" s="0" t="n">
        <v>0</v>
      </c>
      <c r="W192" s="0" t="n">
        <v>0</v>
      </c>
      <c r="Y192" s="0" t="n">
        <v>3</v>
      </c>
      <c r="Z192" s="0" t="n">
        <v>1</v>
      </c>
      <c r="AC192" s="0" t="n">
        <v>0</v>
      </c>
      <c r="AF192" s="0" t="n">
        <v>1</v>
      </c>
      <c r="AG192" s="0" t="n">
        <v>1</v>
      </c>
      <c r="AH192" s="0" t="n">
        <v>0</v>
      </c>
      <c r="AI192" s="0" t="n">
        <v>0</v>
      </c>
      <c r="AJ192" s="0" t="n">
        <v>0</v>
      </c>
      <c r="AK192" s="0" t="n">
        <v>0</v>
      </c>
      <c r="AM192" s="0" t="n">
        <v>1</v>
      </c>
      <c r="AN192" s="3" t="s">
        <v>147</v>
      </c>
      <c r="AO192" s="0" t="n">
        <v>1</v>
      </c>
      <c r="AP192" s="0" t="n">
        <v>1</v>
      </c>
      <c r="AQ192" s="0" t="n">
        <v>0</v>
      </c>
      <c r="AR192" s="0" t="n">
        <v>2</v>
      </c>
      <c r="AS192" s="0" t="n">
        <v>2</v>
      </c>
      <c r="AT192" s="0" t="n">
        <v>35</v>
      </c>
      <c r="AU192" s="3" t="s">
        <v>161</v>
      </c>
      <c r="AV192" s="3" t="s">
        <v>1045</v>
      </c>
      <c r="AX192" s="3" t="s">
        <v>101</v>
      </c>
      <c r="AY192" s="3" t="s">
        <v>565</v>
      </c>
      <c r="AZ192" s="3" t="s">
        <v>1078</v>
      </c>
      <c r="BA192" s="0" t="n">
        <v>0</v>
      </c>
      <c r="BB192" s="0" t="n">
        <v>0</v>
      </c>
      <c r="BC192" s="0" t="n">
        <v>0</v>
      </c>
      <c r="BF192" s="0" t="n">
        <v>92</v>
      </c>
      <c r="BG192" s="0" t="n">
        <v>0</v>
      </c>
      <c r="BH192" s="0" t="n">
        <v>0</v>
      </c>
      <c r="BI192" s="3" t="s">
        <v>116</v>
      </c>
      <c r="BK192" s="0" t="n">
        <v>0</v>
      </c>
      <c r="BL192" s="0" t="n">
        <v>0</v>
      </c>
      <c r="BM192" s="0" t="n">
        <v>0</v>
      </c>
      <c r="BN192" s="0" t="n">
        <v>0</v>
      </c>
      <c r="BO192" s="0" t="n">
        <v>0</v>
      </c>
      <c r="BP192" s="0" t="n">
        <v>0</v>
      </c>
      <c r="BQ192" s="0" t="n">
        <v>0</v>
      </c>
      <c r="BR192" s="0" t="n">
        <v>0</v>
      </c>
      <c r="CC192" s="0" t="n">
        <v>7.88</v>
      </c>
      <c r="CD192" s="0" t="n">
        <v>5.5</v>
      </c>
      <c r="CG192" s="0" t="n">
        <v>2</v>
      </c>
      <c r="CH192" s="3" t="s">
        <v>1079</v>
      </c>
      <c r="CI192" s="3" t="s">
        <v>1040</v>
      </c>
    </row>
    <row r="193" customFormat="false" ht="14.25" hidden="false" customHeight="false" outlineLevel="0" collapsed="false">
      <c r="A193" s="0" t="s">
        <v>1080</v>
      </c>
      <c r="B193" s="0" t="s">
        <v>1081</v>
      </c>
      <c r="C193" s="0" t="s">
        <v>89</v>
      </c>
      <c r="D193" s="0" t="s">
        <v>90</v>
      </c>
      <c r="E193" s="0" t="n">
        <v>0</v>
      </c>
      <c r="F193" s="0" t="s">
        <v>91</v>
      </c>
      <c r="I193" s="0" t="n">
        <v>2020</v>
      </c>
      <c r="J193" s="0" t="n">
        <v>8</v>
      </c>
      <c r="K193" s="0" t="s">
        <v>133</v>
      </c>
      <c r="L193" s="4" t="n">
        <v>46295</v>
      </c>
      <c r="M193" s="0" t="n">
        <v>73</v>
      </c>
      <c r="N193" s="0" t="n">
        <v>6.08</v>
      </c>
      <c r="O193" s="3" t="s">
        <v>1082</v>
      </c>
      <c r="P193" s="3" t="s">
        <v>267</v>
      </c>
      <c r="Q193" s="3" t="s">
        <v>1083</v>
      </c>
      <c r="R193" s="0" t="n">
        <v>0</v>
      </c>
      <c r="S193" s="0" t="n">
        <v>1</v>
      </c>
      <c r="T193" s="0" t="n">
        <v>0</v>
      </c>
      <c r="U193" s="0" t="n">
        <v>0</v>
      </c>
      <c r="V193" s="0" t="n">
        <v>0</v>
      </c>
      <c r="W193" s="0" t="n">
        <v>0</v>
      </c>
      <c r="Y193" s="0" t="n">
        <v>3</v>
      </c>
      <c r="Z193" s="0" t="n">
        <v>1</v>
      </c>
      <c r="AC193" s="0" t="n">
        <v>0</v>
      </c>
      <c r="AF193" s="0" t="n">
        <v>1</v>
      </c>
      <c r="AG193" s="0" t="n">
        <v>1</v>
      </c>
      <c r="AH193" s="0" t="n">
        <v>0</v>
      </c>
      <c r="AI193" s="0" t="n">
        <v>0</v>
      </c>
      <c r="AJ193" s="0" t="n">
        <v>0</v>
      </c>
      <c r="AK193" s="0" t="n">
        <v>0</v>
      </c>
      <c r="AM193" s="0" t="n">
        <v>1</v>
      </c>
      <c r="AN193" s="3" t="s">
        <v>147</v>
      </c>
      <c r="AO193" s="0" t="n">
        <v>1</v>
      </c>
      <c r="AP193" s="0" t="n">
        <v>1</v>
      </c>
      <c r="AQ193" s="0" t="n">
        <v>1</v>
      </c>
      <c r="AR193" s="0" t="n">
        <v>12</v>
      </c>
      <c r="AS193" s="0" t="n">
        <v>12</v>
      </c>
      <c r="AX193" s="3" t="s">
        <v>101</v>
      </c>
      <c r="AY193" s="3" t="s">
        <v>565</v>
      </c>
      <c r="AZ193" s="3" t="s">
        <v>1084</v>
      </c>
      <c r="BA193" s="0" t="n">
        <v>0</v>
      </c>
      <c r="BB193" s="0" t="n">
        <v>0</v>
      </c>
      <c r="BC193" s="0" t="n">
        <v>0</v>
      </c>
      <c r="BF193" s="0" t="n">
        <v>73</v>
      </c>
      <c r="BG193" s="0" t="n">
        <v>0</v>
      </c>
      <c r="BH193" s="0" t="n">
        <v>0</v>
      </c>
      <c r="BI193" s="3" t="s">
        <v>116</v>
      </c>
      <c r="BK193" s="0" t="n">
        <v>0</v>
      </c>
      <c r="BL193" s="0" t="n">
        <v>0</v>
      </c>
      <c r="BM193" s="0" t="n">
        <v>0</v>
      </c>
      <c r="BN193" s="0" t="n">
        <v>0</v>
      </c>
      <c r="BO193" s="0" t="n">
        <v>0</v>
      </c>
      <c r="BP193" s="0" t="n">
        <v>0</v>
      </c>
      <c r="BQ193" s="0" t="n">
        <v>0</v>
      </c>
      <c r="BR193" s="0" t="n">
        <v>0</v>
      </c>
      <c r="CC193" s="0" t="n">
        <v>3.45</v>
      </c>
      <c r="CD193" s="0" t="n">
        <v>5.69</v>
      </c>
      <c r="CG193" s="0" t="n">
        <v>3</v>
      </c>
      <c r="CH193" s="3" t="s">
        <v>1085</v>
      </c>
      <c r="CI193" s="3" t="s">
        <v>1040</v>
      </c>
    </row>
    <row r="194" customFormat="false" ht="14.25" hidden="false" customHeight="false" outlineLevel="0" collapsed="false">
      <c r="A194" s="0" t="s">
        <v>1086</v>
      </c>
      <c r="B194" s="0" t="s">
        <v>1087</v>
      </c>
      <c r="C194" s="0" t="s">
        <v>89</v>
      </c>
      <c r="D194" s="0" t="s">
        <v>90</v>
      </c>
      <c r="E194" s="0" t="n">
        <v>0</v>
      </c>
      <c r="F194" s="0" t="s">
        <v>91</v>
      </c>
      <c r="I194" s="0" t="n">
        <v>2018</v>
      </c>
      <c r="K194" s="0" t="s">
        <v>92</v>
      </c>
      <c r="L194" s="4" t="n">
        <v>46295</v>
      </c>
      <c r="M194" s="0" t="n">
        <v>104</v>
      </c>
      <c r="N194" s="0" t="n">
        <v>8.67</v>
      </c>
      <c r="O194" s="3" t="s">
        <v>1088</v>
      </c>
      <c r="P194" s="3" t="s">
        <v>267</v>
      </c>
      <c r="Q194" s="3" t="s">
        <v>1089</v>
      </c>
      <c r="R194" s="0" t="n">
        <v>0</v>
      </c>
      <c r="S194" s="0" t="n">
        <v>1</v>
      </c>
      <c r="T194" s="0" t="n">
        <v>0</v>
      </c>
      <c r="U194" s="0" t="n">
        <v>0</v>
      </c>
      <c r="V194" s="0" t="n">
        <v>0</v>
      </c>
      <c r="W194" s="0" t="n">
        <v>0</v>
      </c>
      <c r="Y194" s="0" t="n">
        <v>3</v>
      </c>
      <c r="Z194" s="0" t="n">
        <v>1</v>
      </c>
      <c r="AC194" s="0" t="n">
        <v>0</v>
      </c>
      <c r="AF194" s="0" t="n">
        <v>1</v>
      </c>
      <c r="AG194" s="0" t="n">
        <v>1</v>
      </c>
      <c r="AH194" s="0" t="n">
        <v>0</v>
      </c>
      <c r="AI194" s="0" t="n">
        <v>0</v>
      </c>
      <c r="AJ194" s="0" t="n">
        <v>0</v>
      </c>
      <c r="AK194" s="0" t="n">
        <v>0</v>
      </c>
      <c r="AM194" s="0" t="n">
        <v>1</v>
      </c>
      <c r="AN194" s="3" t="s">
        <v>147</v>
      </c>
      <c r="AO194" s="0" t="n">
        <v>1</v>
      </c>
      <c r="AP194" s="0" t="n">
        <v>1</v>
      </c>
      <c r="AQ194" s="0" t="n">
        <v>1</v>
      </c>
      <c r="AR194" s="0" t="n">
        <v>2</v>
      </c>
      <c r="AS194" s="0" t="n">
        <v>2</v>
      </c>
      <c r="AX194" s="3" t="s">
        <v>101</v>
      </c>
      <c r="AY194" s="3" t="s">
        <v>565</v>
      </c>
      <c r="AZ194" s="3" t="s">
        <v>1090</v>
      </c>
      <c r="BA194" s="0" t="n">
        <v>0</v>
      </c>
      <c r="BB194" s="0" t="n">
        <v>0</v>
      </c>
      <c r="BC194" s="0" t="n">
        <v>0</v>
      </c>
      <c r="BF194" s="0" t="n">
        <v>104</v>
      </c>
      <c r="BG194" s="0" t="n">
        <v>0</v>
      </c>
      <c r="BH194" s="0" t="n">
        <v>0</v>
      </c>
      <c r="BI194" s="3" t="s">
        <v>116</v>
      </c>
      <c r="BK194" s="0" t="n">
        <v>0</v>
      </c>
      <c r="BL194" s="0" t="n">
        <v>0</v>
      </c>
      <c r="BM194" s="0" t="n">
        <v>0</v>
      </c>
      <c r="BN194" s="0" t="n">
        <v>0</v>
      </c>
      <c r="BO194" s="0" t="n">
        <v>0</v>
      </c>
      <c r="BP194" s="0" t="n">
        <v>0</v>
      </c>
      <c r="BQ194" s="0" t="n">
        <v>0</v>
      </c>
      <c r="BR194" s="0" t="n">
        <v>0</v>
      </c>
      <c r="CC194" s="0" t="n">
        <v>7.32</v>
      </c>
      <c r="CD194" s="0" t="n">
        <v>5.54</v>
      </c>
      <c r="CG194" s="0" t="n">
        <v>3</v>
      </c>
      <c r="CH194" s="3" t="s">
        <v>1091</v>
      </c>
      <c r="CI194" s="3" t="s">
        <v>1040</v>
      </c>
    </row>
    <row r="195" customFormat="false" ht="14.25" hidden="false" customHeight="false" outlineLevel="0" collapsed="false">
      <c r="A195" s="0" t="s">
        <v>1092</v>
      </c>
      <c r="B195" s="0" t="s">
        <v>1093</v>
      </c>
      <c r="C195" s="0" t="s">
        <v>89</v>
      </c>
      <c r="D195" s="0" t="s">
        <v>90</v>
      </c>
      <c r="E195" s="0" t="n">
        <v>0</v>
      </c>
      <c r="F195" s="0" t="s">
        <v>91</v>
      </c>
      <c r="I195" s="0" t="n">
        <v>2018</v>
      </c>
      <c r="K195" s="0" t="s">
        <v>92</v>
      </c>
      <c r="L195" s="4" t="n">
        <v>46295</v>
      </c>
      <c r="M195" s="0" t="n">
        <v>104</v>
      </c>
      <c r="N195" s="0" t="n">
        <v>8.67</v>
      </c>
      <c r="O195" s="3" t="s">
        <v>1094</v>
      </c>
      <c r="P195" s="3" t="s">
        <v>267</v>
      </c>
      <c r="Q195" s="3" t="s">
        <v>1095</v>
      </c>
      <c r="R195" s="0" t="n">
        <v>0</v>
      </c>
      <c r="S195" s="0" t="n">
        <v>1</v>
      </c>
      <c r="T195" s="0" t="n">
        <v>0</v>
      </c>
      <c r="U195" s="0" t="n">
        <v>0</v>
      </c>
      <c r="V195" s="0" t="n">
        <v>0</v>
      </c>
      <c r="W195" s="0" t="n">
        <v>0</v>
      </c>
      <c r="Y195" s="0" t="n">
        <v>3</v>
      </c>
      <c r="Z195" s="0" t="n">
        <v>1</v>
      </c>
      <c r="AC195" s="0" t="n">
        <v>0</v>
      </c>
      <c r="AF195" s="0" t="n">
        <v>1</v>
      </c>
      <c r="AG195" s="0" t="n">
        <v>1</v>
      </c>
      <c r="AH195" s="0" t="n">
        <v>0</v>
      </c>
      <c r="AI195" s="0" t="n">
        <v>0</v>
      </c>
      <c r="AJ195" s="0" t="n">
        <v>0</v>
      </c>
      <c r="AK195" s="0" t="n">
        <v>0</v>
      </c>
      <c r="AM195" s="0" t="n">
        <v>1</v>
      </c>
      <c r="AN195" s="3" t="s">
        <v>147</v>
      </c>
      <c r="AO195" s="0" t="n">
        <v>1</v>
      </c>
      <c r="AP195" s="0" t="n">
        <v>1</v>
      </c>
      <c r="AQ195" s="0" t="n">
        <v>0</v>
      </c>
      <c r="AR195" s="0" t="n">
        <v>6</v>
      </c>
      <c r="AS195" s="0" t="n">
        <v>6</v>
      </c>
      <c r="AX195" s="3" t="s">
        <v>101</v>
      </c>
      <c r="AY195" s="3" t="s">
        <v>565</v>
      </c>
      <c r="AZ195" s="3" t="s">
        <v>1096</v>
      </c>
      <c r="BA195" s="0" t="n">
        <v>0</v>
      </c>
      <c r="BB195" s="0" t="n">
        <v>0</v>
      </c>
      <c r="BC195" s="0" t="n">
        <v>0</v>
      </c>
      <c r="BF195" s="0" t="n">
        <v>104</v>
      </c>
      <c r="BG195" s="0" t="n">
        <v>0</v>
      </c>
      <c r="BH195" s="0" t="n">
        <v>0</v>
      </c>
      <c r="BI195" s="3" t="s">
        <v>116</v>
      </c>
      <c r="BK195" s="0" t="n">
        <v>0</v>
      </c>
      <c r="BL195" s="0" t="n">
        <v>0</v>
      </c>
      <c r="BM195" s="0" t="n">
        <v>0</v>
      </c>
      <c r="BN195" s="0" t="n">
        <v>0</v>
      </c>
      <c r="BO195" s="0" t="n">
        <v>0</v>
      </c>
      <c r="BP195" s="0" t="n">
        <v>0</v>
      </c>
      <c r="BQ195" s="0" t="n">
        <v>0</v>
      </c>
      <c r="BR195" s="0" t="n">
        <v>0</v>
      </c>
      <c r="CC195" s="0" t="n">
        <v>7.32</v>
      </c>
      <c r="CD195" s="0" t="n">
        <v>5.54</v>
      </c>
      <c r="CG195" s="0" t="n">
        <v>3</v>
      </c>
      <c r="CH195" s="3" t="s">
        <v>1097</v>
      </c>
      <c r="CI195" s="3" t="s">
        <v>1040</v>
      </c>
    </row>
    <row r="196" customFormat="false" ht="14.25" hidden="false" customHeight="false" outlineLevel="0" collapsed="false">
      <c r="A196" s="0" t="s">
        <v>1098</v>
      </c>
      <c r="B196" s="0" t="s">
        <v>1099</v>
      </c>
      <c r="C196" s="0" t="s">
        <v>89</v>
      </c>
      <c r="D196" s="0" t="s">
        <v>90</v>
      </c>
      <c r="E196" s="0" t="n">
        <v>0</v>
      </c>
      <c r="F196" s="0" t="s">
        <v>91</v>
      </c>
      <c r="I196" s="0" t="n">
        <v>2019</v>
      </c>
      <c r="K196" s="0" t="s">
        <v>92</v>
      </c>
      <c r="L196" s="4" t="n">
        <v>46295</v>
      </c>
      <c r="M196" s="0" t="n">
        <v>92</v>
      </c>
      <c r="N196" s="0" t="n">
        <v>7.67</v>
      </c>
      <c r="O196" s="3" t="s">
        <v>1100</v>
      </c>
      <c r="P196" s="3" t="s">
        <v>267</v>
      </c>
      <c r="Q196" s="3" t="s">
        <v>1101</v>
      </c>
      <c r="R196" s="0" t="n">
        <v>0</v>
      </c>
      <c r="S196" s="0" t="n">
        <v>1</v>
      </c>
      <c r="T196" s="0" t="n">
        <v>1</v>
      </c>
      <c r="U196" s="0" t="n">
        <v>0</v>
      </c>
      <c r="V196" s="0" t="n">
        <v>0</v>
      </c>
      <c r="W196" s="0" t="n">
        <v>1</v>
      </c>
      <c r="Y196" s="0" t="n">
        <v>3</v>
      </c>
      <c r="Z196" s="0" t="n">
        <v>1</v>
      </c>
      <c r="AC196" s="0" t="n">
        <v>0</v>
      </c>
      <c r="AF196" s="0" t="n">
        <v>1</v>
      </c>
      <c r="AG196" s="0" t="n">
        <v>1</v>
      </c>
      <c r="AH196" s="0" t="n">
        <v>0</v>
      </c>
      <c r="AI196" s="0" t="n">
        <v>0</v>
      </c>
      <c r="AJ196" s="0" t="n">
        <v>0</v>
      </c>
      <c r="AK196" s="0" t="n">
        <v>0</v>
      </c>
      <c r="AM196" s="0" t="n">
        <v>1</v>
      </c>
      <c r="AN196" s="3" t="s">
        <v>147</v>
      </c>
      <c r="AO196" s="0" t="n">
        <v>1</v>
      </c>
      <c r="AP196" s="0" t="n">
        <v>1</v>
      </c>
      <c r="AQ196" s="0" t="n">
        <v>1</v>
      </c>
      <c r="AR196" s="0" t="n">
        <v>5</v>
      </c>
      <c r="AS196" s="0" t="n">
        <v>5</v>
      </c>
      <c r="AX196" s="3" t="s">
        <v>101</v>
      </c>
      <c r="AY196" s="3" t="s">
        <v>565</v>
      </c>
      <c r="AZ196" s="3" t="s">
        <v>1102</v>
      </c>
      <c r="BA196" s="0" t="n">
        <v>0</v>
      </c>
      <c r="BB196" s="0" t="n">
        <v>0</v>
      </c>
      <c r="BC196" s="0" t="n">
        <v>0</v>
      </c>
      <c r="BF196" s="0" t="n">
        <v>92</v>
      </c>
      <c r="BG196" s="0" t="n">
        <v>0</v>
      </c>
      <c r="BH196" s="0" t="n">
        <v>0</v>
      </c>
      <c r="BI196" s="3" t="s">
        <v>116</v>
      </c>
      <c r="BK196" s="0" t="n">
        <v>0</v>
      </c>
      <c r="BL196" s="0" t="n">
        <v>0</v>
      </c>
      <c r="BM196" s="0" t="n">
        <v>0</v>
      </c>
      <c r="BN196" s="0" t="n">
        <v>0</v>
      </c>
      <c r="BO196" s="0" t="n">
        <v>0</v>
      </c>
      <c r="BP196" s="0" t="n">
        <v>0</v>
      </c>
      <c r="BQ196" s="0" t="n">
        <v>0</v>
      </c>
      <c r="BR196" s="0" t="n">
        <v>0</v>
      </c>
      <c r="CC196" s="0" t="n">
        <v>7.88</v>
      </c>
      <c r="CD196" s="0" t="n">
        <v>5.5</v>
      </c>
      <c r="CG196" s="0" t="n">
        <v>3</v>
      </c>
      <c r="CH196" s="3" t="s">
        <v>1103</v>
      </c>
      <c r="CI196" s="3" t="s">
        <v>1040</v>
      </c>
    </row>
    <row r="197" customFormat="false" ht="14.25" hidden="false" customHeight="false" outlineLevel="0" collapsed="false">
      <c r="A197" s="0" t="s">
        <v>1104</v>
      </c>
      <c r="B197" s="0" t="s">
        <v>1105</v>
      </c>
      <c r="C197" s="0" t="s">
        <v>89</v>
      </c>
      <c r="D197" s="0" t="s">
        <v>90</v>
      </c>
      <c r="E197" s="0" t="n">
        <v>0</v>
      </c>
      <c r="F197" s="0" t="s">
        <v>91</v>
      </c>
      <c r="I197" s="0" t="n">
        <v>2013</v>
      </c>
      <c r="K197" s="0" t="s">
        <v>92</v>
      </c>
      <c r="L197" s="4" t="n">
        <v>46295</v>
      </c>
      <c r="M197" s="0" t="n">
        <v>164</v>
      </c>
      <c r="N197" s="0" t="n">
        <v>13.67</v>
      </c>
      <c r="O197" s="3" t="s">
        <v>1106</v>
      </c>
      <c r="P197" s="3" t="s">
        <v>446</v>
      </c>
      <c r="Q197" s="3" t="s">
        <v>1107</v>
      </c>
      <c r="R197" s="0" t="n">
        <v>1</v>
      </c>
      <c r="S197" s="0" t="n">
        <v>0</v>
      </c>
      <c r="T197" s="0" t="n">
        <v>0</v>
      </c>
      <c r="U197" s="0" t="n">
        <v>0</v>
      </c>
      <c r="V197" s="0" t="n">
        <v>0</v>
      </c>
      <c r="W197" s="0" t="n">
        <v>0</v>
      </c>
      <c r="Y197" s="0" t="n">
        <v>3</v>
      </c>
      <c r="Z197" s="0" t="n">
        <v>1</v>
      </c>
      <c r="AC197" s="0" t="n">
        <v>0</v>
      </c>
      <c r="AF197" s="0" t="n">
        <v>1</v>
      </c>
      <c r="AG197" s="0" t="n">
        <v>1</v>
      </c>
      <c r="AH197" s="0" t="n">
        <v>0</v>
      </c>
      <c r="AI197" s="0" t="n">
        <v>0</v>
      </c>
      <c r="AJ197" s="0" t="n">
        <v>0</v>
      </c>
      <c r="AK197" s="0" t="n">
        <v>0</v>
      </c>
      <c r="AM197" s="0" t="n">
        <v>2</v>
      </c>
      <c r="AN197" s="3" t="s">
        <v>98</v>
      </c>
      <c r="AO197" s="0" t="n">
        <v>1</v>
      </c>
      <c r="AP197" s="0" t="n">
        <v>1</v>
      </c>
      <c r="AQ197" s="0" t="n">
        <v>0</v>
      </c>
      <c r="AR197" s="0" t="n">
        <v>6</v>
      </c>
      <c r="AS197" s="0" t="n">
        <v>6</v>
      </c>
      <c r="AT197" s="0" t="n">
        <v>350</v>
      </c>
      <c r="AU197" s="3" t="s">
        <v>121</v>
      </c>
      <c r="AV197" s="3" t="s">
        <v>1045</v>
      </c>
      <c r="AX197" s="3" t="s">
        <v>101</v>
      </c>
      <c r="AY197" s="3" t="s">
        <v>565</v>
      </c>
      <c r="AZ197" s="3" t="s">
        <v>1108</v>
      </c>
      <c r="BA197" s="0" t="n">
        <v>0</v>
      </c>
      <c r="BB197" s="0" t="n">
        <v>0</v>
      </c>
      <c r="BC197" s="0" t="n">
        <v>0</v>
      </c>
      <c r="BF197" s="0" t="n">
        <v>164</v>
      </c>
      <c r="BG197" s="0" t="n">
        <v>0</v>
      </c>
      <c r="BH197" s="0" t="n">
        <v>0</v>
      </c>
      <c r="BI197" s="3" t="s">
        <v>116</v>
      </c>
      <c r="BK197" s="0" t="n">
        <v>0</v>
      </c>
      <c r="BL197" s="0" t="n">
        <v>0</v>
      </c>
      <c r="BM197" s="0" t="n">
        <v>0</v>
      </c>
      <c r="BN197" s="0" t="n">
        <v>0</v>
      </c>
      <c r="BO197" s="0" t="n">
        <v>0</v>
      </c>
      <c r="BP197" s="0" t="n">
        <v>0</v>
      </c>
      <c r="BQ197" s="0" t="n">
        <v>0</v>
      </c>
      <c r="BR197" s="0" t="n">
        <v>0</v>
      </c>
      <c r="CC197" s="0" t="n">
        <v>6.01</v>
      </c>
      <c r="CD197" s="0" t="n">
        <v>7.53</v>
      </c>
      <c r="CG197" s="0" t="n">
        <v>2</v>
      </c>
      <c r="CH197" s="3" t="s">
        <v>1109</v>
      </c>
      <c r="CI197" s="3" t="s">
        <v>1040</v>
      </c>
    </row>
    <row r="198" customFormat="false" ht="14.25" hidden="false" customHeight="false" outlineLevel="0" collapsed="false">
      <c r="A198" s="0" t="s">
        <v>1110</v>
      </c>
      <c r="B198" s="0" t="s">
        <v>1111</v>
      </c>
      <c r="C198" s="0" t="s">
        <v>89</v>
      </c>
      <c r="D198" s="0" t="s">
        <v>90</v>
      </c>
      <c r="E198" s="0" t="n">
        <v>0</v>
      </c>
      <c r="F198" s="0" t="s">
        <v>91</v>
      </c>
      <c r="I198" s="0" t="n">
        <v>2020</v>
      </c>
      <c r="J198" s="0" t="n">
        <v>9</v>
      </c>
      <c r="K198" s="0" t="s">
        <v>133</v>
      </c>
      <c r="L198" s="4" t="n">
        <v>46295</v>
      </c>
      <c r="M198" s="0" t="n">
        <v>72</v>
      </c>
      <c r="N198" s="0" t="n">
        <v>6</v>
      </c>
      <c r="O198" s="3" t="s">
        <v>1112</v>
      </c>
      <c r="P198" s="3" t="s">
        <v>446</v>
      </c>
      <c r="Q198" s="3" t="s">
        <v>1113</v>
      </c>
      <c r="R198" s="0" t="n">
        <v>1</v>
      </c>
      <c r="S198" s="0" t="n">
        <v>1</v>
      </c>
      <c r="T198" s="0" t="n">
        <v>0</v>
      </c>
      <c r="U198" s="0" t="n">
        <v>0</v>
      </c>
      <c r="V198" s="0" t="n">
        <v>0</v>
      </c>
      <c r="W198" s="0" t="n">
        <v>0</v>
      </c>
      <c r="Y198" s="0" t="n">
        <v>3</v>
      </c>
      <c r="Z198" s="0" t="n">
        <v>1</v>
      </c>
      <c r="AA198" s="0" t="n">
        <v>1</v>
      </c>
      <c r="AB198" s="3" t="s">
        <v>1114</v>
      </c>
      <c r="AC198" s="0" t="n">
        <v>0</v>
      </c>
      <c r="AF198" s="0" t="n">
        <v>1</v>
      </c>
      <c r="AG198" s="0" t="n">
        <v>1</v>
      </c>
      <c r="AH198" s="0" t="n">
        <v>0</v>
      </c>
      <c r="AI198" s="0" t="n">
        <v>0</v>
      </c>
      <c r="AJ198" s="0" t="n">
        <v>0</v>
      </c>
      <c r="AK198" s="0" t="n">
        <v>0</v>
      </c>
      <c r="AM198" s="0" t="n">
        <v>1</v>
      </c>
      <c r="AN198" s="3" t="s">
        <v>147</v>
      </c>
      <c r="AO198" s="0" t="n">
        <v>1</v>
      </c>
      <c r="AP198" s="0" t="n">
        <v>1</v>
      </c>
      <c r="AQ198" s="0" t="n">
        <v>0</v>
      </c>
      <c r="AR198" s="0" t="n">
        <v>4</v>
      </c>
      <c r="AS198" s="0" t="n">
        <v>4</v>
      </c>
      <c r="AT198" s="0" t="n">
        <v>16</v>
      </c>
      <c r="AU198" s="3" t="s">
        <v>161</v>
      </c>
      <c r="AV198" s="3" t="s">
        <v>1045</v>
      </c>
      <c r="AX198" s="3" t="s">
        <v>101</v>
      </c>
      <c r="AY198" s="3" t="s">
        <v>565</v>
      </c>
      <c r="AZ198" s="3" t="s">
        <v>1115</v>
      </c>
      <c r="BA198" s="0" t="n">
        <v>0</v>
      </c>
      <c r="BB198" s="0" t="n">
        <v>0</v>
      </c>
      <c r="BC198" s="0" t="n">
        <v>0</v>
      </c>
      <c r="BF198" s="0" t="n">
        <v>72</v>
      </c>
      <c r="BG198" s="0" t="n">
        <v>0</v>
      </c>
      <c r="BH198" s="0" t="n">
        <v>0</v>
      </c>
      <c r="BI198" s="3" t="s">
        <v>116</v>
      </c>
      <c r="BK198" s="0" t="n">
        <v>0</v>
      </c>
      <c r="BL198" s="0" t="n">
        <v>0</v>
      </c>
      <c r="BM198" s="0" t="n">
        <v>0</v>
      </c>
      <c r="BN198" s="0" t="n">
        <v>0</v>
      </c>
      <c r="BO198" s="0" t="n">
        <v>0</v>
      </c>
      <c r="BP198" s="0" t="n">
        <v>0</v>
      </c>
      <c r="BQ198" s="0" t="n">
        <v>0</v>
      </c>
      <c r="BR198" s="0" t="n">
        <v>0</v>
      </c>
      <c r="CC198" s="0" t="n">
        <v>3.45</v>
      </c>
      <c r="CD198" s="0" t="n">
        <v>5.69</v>
      </c>
      <c r="CG198" s="0" t="n">
        <v>1</v>
      </c>
      <c r="CH198" s="3" t="s">
        <v>1116</v>
      </c>
      <c r="CI198" s="3" t="s">
        <v>1040</v>
      </c>
    </row>
    <row r="199" customFormat="false" ht="14.25" hidden="false" customHeight="false" outlineLevel="0" collapsed="false">
      <c r="A199" s="0" t="s">
        <v>1117</v>
      </c>
      <c r="B199" s="0" t="s">
        <v>1118</v>
      </c>
      <c r="C199" s="0" t="s">
        <v>89</v>
      </c>
      <c r="D199" s="0" t="s">
        <v>90</v>
      </c>
      <c r="E199" s="0" t="n">
        <v>0</v>
      </c>
      <c r="F199" s="0" t="s">
        <v>91</v>
      </c>
      <c r="I199" s="0" t="n">
        <v>2010</v>
      </c>
      <c r="K199" s="0" t="s">
        <v>92</v>
      </c>
      <c r="L199" s="4" t="n">
        <v>46295</v>
      </c>
      <c r="M199" s="0" t="n">
        <v>200</v>
      </c>
      <c r="N199" s="0" t="n">
        <v>16.67</v>
      </c>
      <c r="O199" s="3" t="s">
        <v>1119</v>
      </c>
      <c r="P199" s="3" t="s">
        <v>446</v>
      </c>
      <c r="Q199" s="3" t="s">
        <v>1120</v>
      </c>
      <c r="R199" s="0" t="n">
        <v>1</v>
      </c>
      <c r="S199" s="0" t="n">
        <v>1</v>
      </c>
      <c r="T199" s="0" t="n">
        <v>0</v>
      </c>
      <c r="U199" s="0" t="n">
        <v>0</v>
      </c>
      <c r="V199" s="0" t="n">
        <v>0</v>
      </c>
      <c r="W199" s="0" t="n">
        <v>0</v>
      </c>
      <c r="Y199" s="0" t="n">
        <v>3</v>
      </c>
      <c r="Z199" s="0" t="n">
        <v>1</v>
      </c>
      <c r="AC199" s="0" t="n">
        <v>0</v>
      </c>
      <c r="AF199" s="0" t="n">
        <v>1</v>
      </c>
      <c r="AG199" s="0" t="n">
        <v>1</v>
      </c>
      <c r="AH199" s="0" t="n">
        <v>0</v>
      </c>
      <c r="AI199" s="0" t="n">
        <v>0</v>
      </c>
      <c r="AJ199" s="0" t="n">
        <v>0</v>
      </c>
      <c r="AK199" s="0" t="n">
        <v>0</v>
      </c>
      <c r="AM199" s="0" t="n">
        <v>0</v>
      </c>
      <c r="AN199" s="3" t="s">
        <v>136</v>
      </c>
      <c r="AO199" s="0" t="n">
        <v>1</v>
      </c>
      <c r="AP199" s="0" t="n">
        <v>1</v>
      </c>
      <c r="AQ199" s="0" t="n">
        <v>1</v>
      </c>
      <c r="AR199" s="0" t="n">
        <v>4</v>
      </c>
      <c r="AS199" s="0" t="n">
        <v>4</v>
      </c>
      <c r="AX199" s="3" t="s">
        <v>101</v>
      </c>
      <c r="AY199" s="3" t="s">
        <v>565</v>
      </c>
      <c r="AZ199" s="3" t="s">
        <v>1121</v>
      </c>
      <c r="BA199" s="0" t="n">
        <v>0</v>
      </c>
      <c r="BB199" s="0" t="n">
        <v>0</v>
      </c>
      <c r="BC199" s="0" t="n">
        <v>0</v>
      </c>
      <c r="BF199" s="0" t="n">
        <v>200</v>
      </c>
      <c r="BG199" s="0" t="n">
        <v>0</v>
      </c>
      <c r="BH199" s="0" t="n">
        <v>0</v>
      </c>
      <c r="BI199" s="3" t="s">
        <v>116</v>
      </c>
      <c r="BK199" s="0" t="n">
        <v>0</v>
      </c>
      <c r="BL199" s="0" t="n">
        <v>0</v>
      </c>
      <c r="BM199" s="0" t="n">
        <v>0</v>
      </c>
      <c r="BN199" s="0" t="n">
        <v>0</v>
      </c>
      <c r="BO199" s="0" t="n">
        <v>0</v>
      </c>
      <c r="BP199" s="0" t="n">
        <v>0</v>
      </c>
      <c r="BQ199" s="0" t="n">
        <v>0</v>
      </c>
      <c r="BR199" s="0" t="n">
        <v>0</v>
      </c>
      <c r="CC199" s="0" t="n">
        <v>5.57</v>
      </c>
      <c r="CD199" s="0" t="n">
        <v>7.3</v>
      </c>
      <c r="CG199" s="0" t="n">
        <v>3</v>
      </c>
      <c r="CH199" s="3" t="s">
        <v>1122</v>
      </c>
      <c r="CI199" s="3" t="s">
        <v>1040</v>
      </c>
    </row>
    <row r="200" customFormat="false" ht="14.25" hidden="false" customHeight="false" outlineLevel="0" collapsed="false">
      <c r="A200" s="0" t="s">
        <v>1123</v>
      </c>
      <c r="B200" s="0" t="s">
        <v>1124</v>
      </c>
      <c r="C200" s="0" t="s">
        <v>560</v>
      </c>
      <c r="D200" s="0" t="s">
        <v>561</v>
      </c>
      <c r="E200" s="0" t="n">
        <v>0</v>
      </c>
      <c r="F200" s="0" t="s">
        <v>91</v>
      </c>
      <c r="I200" s="0" t="n">
        <v>2020</v>
      </c>
      <c r="J200" s="0" t="n">
        <v>3</v>
      </c>
      <c r="K200" s="0" t="s">
        <v>133</v>
      </c>
      <c r="L200" s="4" t="n">
        <v>46295</v>
      </c>
      <c r="M200" s="0" t="n">
        <v>78</v>
      </c>
      <c r="N200" s="0" t="n">
        <v>6.5</v>
      </c>
      <c r="O200" s="3" t="s">
        <v>1125</v>
      </c>
      <c r="P200" s="3" t="s">
        <v>259</v>
      </c>
      <c r="Q200" s="3" t="s">
        <v>1126</v>
      </c>
      <c r="R200" s="0" t="n">
        <v>0</v>
      </c>
      <c r="S200" s="0" t="n">
        <v>1</v>
      </c>
      <c r="T200" s="0" t="n">
        <v>0</v>
      </c>
      <c r="U200" s="0" t="n">
        <v>0</v>
      </c>
      <c r="V200" s="0" t="n">
        <v>0</v>
      </c>
      <c r="W200" s="0" t="n">
        <v>0</v>
      </c>
      <c r="Y200" s="0" t="n">
        <v>3</v>
      </c>
      <c r="Z200" s="0" t="n">
        <v>1</v>
      </c>
      <c r="AC200" s="0" t="n">
        <v>0</v>
      </c>
      <c r="AF200" s="0" t="n">
        <v>2</v>
      </c>
      <c r="AG200" s="0" t="n">
        <v>1</v>
      </c>
      <c r="AH200" s="0" t="n">
        <v>1</v>
      </c>
      <c r="AI200" s="0" t="n">
        <v>0.5</v>
      </c>
      <c r="AJ200" s="0" t="n">
        <v>1</v>
      </c>
      <c r="AK200" s="0" t="n">
        <v>0.5</v>
      </c>
      <c r="AM200" s="0" t="n">
        <v>2</v>
      </c>
      <c r="AN200" s="3" t="s">
        <v>98</v>
      </c>
      <c r="AO200" s="0" t="n">
        <v>1</v>
      </c>
      <c r="AP200" s="0" t="n">
        <v>0.5</v>
      </c>
      <c r="AQ200" s="0" t="n">
        <v>0</v>
      </c>
      <c r="AR200" s="0" t="n">
        <v>5</v>
      </c>
      <c r="AS200" s="0" t="n">
        <v>3.5</v>
      </c>
      <c r="AT200" s="0" t="n">
        <v>10</v>
      </c>
      <c r="AU200" s="3" t="s">
        <v>155</v>
      </c>
      <c r="AV200" s="3" t="s">
        <v>1045</v>
      </c>
      <c r="AX200" s="3" t="s">
        <v>101</v>
      </c>
      <c r="AY200" s="3" t="s">
        <v>565</v>
      </c>
      <c r="AZ200" s="3" t="s">
        <v>1127</v>
      </c>
      <c r="BA200" s="0" t="n">
        <v>0</v>
      </c>
      <c r="BB200" s="0" t="n">
        <v>0</v>
      </c>
      <c r="BC200" s="0" t="n">
        <v>0</v>
      </c>
      <c r="BF200" s="0" t="n">
        <v>78</v>
      </c>
      <c r="BG200" s="0" t="n">
        <v>0</v>
      </c>
      <c r="BH200" s="0" t="n">
        <v>0</v>
      </c>
      <c r="BI200" s="3" t="s">
        <v>116</v>
      </c>
      <c r="BK200" s="0" t="n">
        <v>0</v>
      </c>
      <c r="BL200" s="0" t="n">
        <v>0</v>
      </c>
      <c r="BM200" s="0" t="n">
        <v>0</v>
      </c>
      <c r="BN200" s="0" t="n">
        <v>0</v>
      </c>
      <c r="BO200" s="0" t="n">
        <v>0</v>
      </c>
      <c r="BP200" s="0" t="n">
        <v>0</v>
      </c>
      <c r="BQ200" s="0" t="n">
        <v>0</v>
      </c>
      <c r="BR200" s="0" t="n">
        <v>0</v>
      </c>
      <c r="CC200" s="0" t="n">
        <v>-5.77772470687303</v>
      </c>
      <c r="CD200" s="0" t="n">
        <v>6.62343677628529</v>
      </c>
      <c r="CG200" s="0" t="n">
        <v>2</v>
      </c>
      <c r="CH200" s="3" t="s">
        <v>1128</v>
      </c>
      <c r="CI200" s="3" t="s">
        <v>1040</v>
      </c>
    </row>
    <row r="201" customFormat="false" ht="14.25" hidden="false" customHeight="false" outlineLevel="0" collapsed="false">
      <c r="A201" s="0" t="s">
        <v>1129</v>
      </c>
      <c r="B201" s="0" t="s">
        <v>1130</v>
      </c>
      <c r="C201" s="0" t="s">
        <v>560</v>
      </c>
      <c r="D201" s="0" t="s">
        <v>561</v>
      </c>
      <c r="E201" s="0" t="n">
        <v>0</v>
      </c>
      <c r="F201" s="0" t="s">
        <v>91</v>
      </c>
      <c r="I201" s="0" t="n">
        <v>2018</v>
      </c>
      <c r="K201" s="0" t="s">
        <v>92</v>
      </c>
      <c r="L201" s="4" t="n">
        <v>46295</v>
      </c>
      <c r="M201" s="0" t="n">
        <v>104</v>
      </c>
      <c r="N201" s="0" t="n">
        <v>8.67</v>
      </c>
      <c r="O201" s="3" t="s">
        <v>1131</v>
      </c>
      <c r="P201" s="3" t="s">
        <v>409</v>
      </c>
      <c r="Q201" s="3" t="s">
        <v>1132</v>
      </c>
      <c r="R201" s="0" t="n">
        <v>0</v>
      </c>
      <c r="S201" s="0" t="n">
        <v>1</v>
      </c>
      <c r="T201" s="0" t="n">
        <v>0</v>
      </c>
      <c r="U201" s="0" t="n">
        <v>0</v>
      </c>
      <c r="V201" s="0" t="n">
        <v>0</v>
      </c>
      <c r="W201" s="0" t="n">
        <v>0</v>
      </c>
      <c r="Y201" s="0" t="n">
        <v>3</v>
      </c>
      <c r="Z201" s="0" t="n">
        <v>1</v>
      </c>
      <c r="AC201" s="0" t="n">
        <v>0</v>
      </c>
      <c r="AF201" s="0" t="n">
        <v>2</v>
      </c>
      <c r="AG201" s="0" t="n">
        <v>1</v>
      </c>
      <c r="AH201" s="0" t="n">
        <v>0</v>
      </c>
      <c r="AI201" s="0" t="n">
        <v>0</v>
      </c>
      <c r="AJ201" s="0" t="n">
        <v>0</v>
      </c>
      <c r="AK201" s="0" t="n">
        <v>0</v>
      </c>
      <c r="AM201" s="0" t="n">
        <v>1</v>
      </c>
      <c r="AN201" s="3" t="s">
        <v>147</v>
      </c>
      <c r="AO201" s="0" t="n">
        <v>1</v>
      </c>
      <c r="AP201" s="0" t="n">
        <v>0.5</v>
      </c>
      <c r="AQ201" s="0" t="n">
        <v>1</v>
      </c>
      <c r="AR201" s="0" t="n">
        <v>4</v>
      </c>
      <c r="AS201" s="0" t="n">
        <v>4</v>
      </c>
      <c r="AT201" s="0" t="n">
        <v>129</v>
      </c>
      <c r="AU201" s="3" t="s">
        <v>130</v>
      </c>
      <c r="AV201" s="3" t="s">
        <v>1045</v>
      </c>
      <c r="AX201" s="3" t="s">
        <v>101</v>
      </c>
      <c r="AY201" s="3" t="s">
        <v>565</v>
      </c>
      <c r="AZ201" s="3" t="s">
        <v>1133</v>
      </c>
      <c r="BA201" s="0" t="n">
        <v>0</v>
      </c>
      <c r="BB201" s="0" t="n">
        <v>0</v>
      </c>
      <c r="BC201" s="0" t="n">
        <v>0</v>
      </c>
      <c r="BF201" s="0" t="n">
        <v>104</v>
      </c>
      <c r="BG201" s="0" t="n">
        <v>0</v>
      </c>
      <c r="BH201" s="0" t="n">
        <v>0</v>
      </c>
      <c r="BI201" s="3" t="s">
        <v>116</v>
      </c>
      <c r="BK201" s="0" t="n">
        <v>0</v>
      </c>
      <c r="BL201" s="0" t="n">
        <v>0</v>
      </c>
      <c r="BM201" s="0" t="n">
        <v>0</v>
      </c>
      <c r="BN201" s="0" t="n">
        <v>0</v>
      </c>
      <c r="BO201" s="0" t="n">
        <v>0</v>
      </c>
      <c r="BP201" s="0" t="n">
        <v>0</v>
      </c>
      <c r="BQ201" s="0" t="n">
        <v>0</v>
      </c>
      <c r="BR201" s="0" t="n">
        <v>0</v>
      </c>
      <c r="CC201" s="0" t="n">
        <v>6.45385134495295</v>
      </c>
      <c r="CD201" s="0" t="n">
        <v>3.93882646691642</v>
      </c>
      <c r="CG201" s="0" t="n">
        <v>2</v>
      </c>
      <c r="CH201" s="3" t="s">
        <v>1134</v>
      </c>
      <c r="CI201" s="3" t="s">
        <v>1040</v>
      </c>
    </row>
    <row r="202" customFormat="false" ht="14.25" hidden="false" customHeight="false" outlineLevel="0" collapsed="false">
      <c r="A202" s="0" t="s">
        <v>1135</v>
      </c>
      <c r="B202" s="0" t="s">
        <v>1136</v>
      </c>
      <c r="C202" s="0" t="s">
        <v>560</v>
      </c>
      <c r="D202" s="0" t="s">
        <v>638</v>
      </c>
      <c r="E202" s="0" t="n">
        <v>0</v>
      </c>
      <c r="F202" s="0" t="s">
        <v>91</v>
      </c>
      <c r="I202" s="0" t="n">
        <v>2012</v>
      </c>
      <c r="K202" s="0" t="s">
        <v>92</v>
      </c>
      <c r="L202" s="4" t="n">
        <v>46295</v>
      </c>
      <c r="M202" s="0" t="n">
        <v>176</v>
      </c>
      <c r="N202" s="0" t="n">
        <v>14.67</v>
      </c>
      <c r="O202" s="3" t="s">
        <v>1137</v>
      </c>
      <c r="P202" s="3" t="s">
        <v>259</v>
      </c>
      <c r="Q202" s="3" t="s">
        <v>1138</v>
      </c>
      <c r="R202" s="0" t="n">
        <v>1</v>
      </c>
      <c r="S202" s="0" t="n">
        <v>0</v>
      </c>
      <c r="T202" s="0" t="n">
        <v>0</v>
      </c>
      <c r="U202" s="0" t="n">
        <v>0</v>
      </c>
      <c r="V202" s="0" t="n">
        <v>0</v>
      </c>
      <c r="W202" s="0" t="n">
        <v>0</v>
      </c>
      <c r="Y202" s="0" t="n">
        <v>3</v>
      </c>
      <c r="Z202" s="0" t="n">
        <v>1</v>
      </c>
      <c r="AC202" s="0" t="n">
        <v>0</v>
      </c>
      <c r="AF202" s="0" t="n">
        <v>1</v>
      </c>
      <c r="AG202" s="0" t="n">
        <v>1</v>
      </c>
      <c r="AH202" s="0" t="n">
        <v>0</v>
      </c>
      <c r="AI202" s="0" t="n">
        <v>0</v>
      </c>
      <c r="AJ202" s="0" t="n">
        <v>0</v>
      </c>
      <c r="AK202" s="0" t="n">
        <v>0</v>
      </c>
      <c r="AM202" s="0" t="n">
        <v>2</v>
      </c>
      <c r="AN202" s="3" t="s">
        <v>98</v>
      </c>
      <c r="AO202" s="0" t="n">
        <v>0</v>
      </c>
      <c r="AP202" s="0" t="n">
        <v>0</v>
      </c>
      <c r="AQ202" s="0" t="n">
        <v>1</v>
      </c>
      <c r="AR202" s="0" t="n">
        <v>21</v>
      </c>
      <c r="AS202" s="0" t="n">
        <v>21</v>
      </c>
      <c r="AX202" s="3" t="s">
        <v>101</v>
      </c>
      <c r="AY202" s="3" t="s">
        <v>565</v>
      </c>
      <c r="AZ202" s="3" t="s">
        <v>1139</v>
      </c>
      <c r="BA202" s="0" t="n">
        <v>0</v>
      </c>
      <c r="BB202" s="0" t="n">
        <v>0</v>
      </c>
      <c r="BC202" s="0" t="n">
        <v>0</v>
      </c>
      <c r="BF202" s="0" t="n">
        <v>176</v>
      </c>
      <c r="BG202" s="0" t="n">
        <v>0</v>
      </c>
      <c r="BH202" s="0" t="n">
        <v>0</v>
      </c>
      <c r="BI202" s="3" t="s">
        <v>116</v>
      </c>
      <c r="BK202" s="0" t="n">
        <v>0</v>
      </c>
      <c r="BL202" s="0" t="n">
        <v>0</v>
      </c>
      <c r="BM202" s="0" t="n">
        <v>0</v>
      </c>
      <c r="BN202" s="0" t="n">
        <v>0</v>
      </c>
      <c r="BO202" s="0" t="n">
        <v>0</v>
      </c>
      <c r="BP202" s="0" t="n">
        <v>0</v>
      </c>
      <c r="BQ202" s="0" t="n">
        <v>0</v>
      </c>
      <c r="BR202" s="0" t="n">
        <v>0</v>
      </c>
      <c r="CC202" s="0" t="n">
        <v>5.45638755164772</v>
      </c>
      <c r="CD202" s="0" t="n">
        <v>9.47899691419792</v>
      </c>
      <c r="CG202" s="0" t="n">
        <v>3</v>
      </c>
      <c r="CH202" s="3" t="s">
        <v>1140</v>
      </c>
      <c r="CI202" s="3" t="s">
        <v>1040</v>
      </c>
    </row>
    <row r="203" customFormat="false" ht="14.25" hidden="false" customHeight="false" outlineLevel="0" collapsed="false">
      <c r="A203" s="0" t="s">
        <v>1141</v>
      </c>
      <c r="B203" s="0" t="s">
        <v>1142</v>
      </c>
      <c r="C203" s="0" t="s">
        <v>560</v>
      </c>
      <c r="D203" s="0" t="s">
        <v>626</v>
      </c>
      <c r="E203" s="0" t="n">
        <v>0</v>
      </c>
      <c r="F203" s="0" t="s">
        <v>91</v>
      </c>
      <c r="I203" s="0" t="n">
        <v>2018</v>
      </c>
      <c r="K203" s="0" t="s">
        <v>92</v>
      </c>
      <c r="L203" s="4" t="n">
        <v>46295</v>
      </c>
      <c r="M203" s="0" t="n">
        <v>104</v>
      </c>
      <c r="N203" s="0" t="n">
        <v>8.67</v>
      </c>
      <c r="O203" s="3" t="s">
        <v>1143</v>
      </c>
      <c r="P203" s="3" t="s">
        <v>259</v>
      </c>
      <c r="Q203" s="3" t="s">
        <v>1144</v>
      </c>
      <c r="R203" s="0" t="n">
        <v>0</v>
      </c>
      <c r="S203" s="0" t="n">
        <v>1</v>
      </c>
      <c r="T203" s="0" t="n">
        <v>0</v>
      </c>
      <c r="U203" s="0" t="n">
        <v>0</v>
      </c>
      <c r="V203" s="0" t="n">
        <v>0</v>
      </c>
      <c r="W203" s="0" t="n">
        <v>0</v>
      </c>
      <c r="Y203" s="0" t="n">
        <v>3</v>
      </c>
      <c r="Z203" s="0" t="n">
        <v>1</v>
      </c>
      <c r="AC203" s="0" t="n">
        <v>0</v>
      </c>
      <c r="AF203" s="0" t="n">
        <v>1</v>
      </c>
      <c r="AG203" s="0" t="n">
        <v>1</v>
      </c>
      <c r="AH203" s="0" t="n">
        <v>0</v>
      </c>
      <c r="AI203" s="0" t="n">
        <v>0</v>
      </c>
      <c r="AJ203" s="0" t="n">
        <v>0</v>
      </c>
      <c r="AK203" s="0" t="n">
        <v>0</v>
      </c>
      <c r="AM203" s="0" t="n">
        <v>1</v>
      </c>
      <c r="AN203" s="3" t="s">
        <v>147</v>
      </c>
      <c r="AO203" s="0" t="n">
        <v>1</v>
      </c>
      <c r="AP203" s="0" t="n">
        <v>1</v>
      </c>
      <c r="AQ203" s="0" t="n">
        <v>1</v>
      </c>
      <c r="AR203" s="0" t="n">
        <v>1</v>
      </c>
      <c r="AS203" s="0" t="n">
        <v>1</v>
      </c>
      <c r="AT203" s="0" t="n">
        <v>198</v>
      </c>
      <c r="AU203" s="3" t="s">
        <v>130</v>
      </c>
      <c r="AV203" s="3" t="s">
        <v>1045</v>
      </c>
      <c r="AX203" s="3" t="s">
        <v>101</v>
      </c>
      <c r="AY203" s="3" t="s">
        <v>565</v>
      </c>
      <c r="AZ203" s="3" t="s">
        <v>1145</v>
      </c>
      <c r="BA203" s="0" t="n">
        <v>0</v>
      </c>
      <c r="BB203" s="0" t="n">
        <v>0</v>
      </c>
      <c r="BC203" s="0" t="n">
        <v>0</v>
      </c>
      <c r="BF203" s="0" t="n">
        <v>104</v>
      </c>
      <c r="BG203" s="0" t="n">
        <v>0</v>
      </c>
      <c r="BH203" s="0" t="n">
        <v>0</v>
      </c>
      <c r="BI203" s="3" t="s">
        <v>116</v>
      </c>
      <c r="BK203" s="0" t="n">
        <v>0</v>
      </c>
      <c r="BL203" s="0" t="n">
        <v>0</v>
      </c>
      <c r="BM203" s="0" t="n">
        <v>0</v>
      </c>
      <c r="BN203" s="0" t="n">
        <v>0</v>
      </c>
      <c r="BO203" s="0" t="n">
        <v>0</v>
      </c>
      <c r="BP203" s="0" t="n">
        <v>0</v>
      </c>
      <c r="BQ203" s="0" t="n">
        <v>0</v>
      </c>
      <c r="BR203" s="0" t="n">
        <v>0</v>
      </c>
      <c r="CC203" s="0" t="n">
        <v>6.45385134495295</v>
      </c>
      <c r="CD203" s="0" t="n">
        <v>3.93882646691642</v>
      </c>
      <c r="CG203" s="0" t="n">
        <v>2</v>
      </c>
      <c r="CH203" s="3" t="s">
        <v>1146</v>
      </c>
      <c r="CI203" s="3" t="s">
        <v>1040</v>
      </c>
    </row>
    <row r="204" customFormat="false" ht="14.25" hidden="false" customHeight="false" outlineLevel="0" collapsed="false">
      <c r="A204" s="0" t="s">
        <v>1147</v>
      </c>
      <c r="B204" s="0" t="s">
        <v>1148</v>
      </c>
      <c r="C204" s="0" t="s">
        <v>560</v>
      </c>
      <c r="D204" s="0" t="s">
        <v>638</v>
      </c>
      <c r="E204" s="0" t="n">
        <v>0</v>
      </c>
      <c r="F204" s="0" t="s">
        <v>91</v>
      </c>
      <c r="I204" s="0" t="n">
        <v>2016</v>
      </c>
      <c r="K204" s="0" t="s">
        <v>92</v>
      </c>
      <c r="L204" s="4" t="n">
        <v>46295</v>
      </c>
      <c r="M204" s="0" t="n">
        <v>128</v>
      </c>
      <c r="N204" s="0" t="n">
        <v>10.67</v>
      </c>
      <c r="O204" s="3" t="s">
        <v>1149</v>
      </c>
      <c r="P204" s="3" t="s">
        <v>259</v>
      </c>
      <c r="Q204" s="3" t="s">
        <v>1150</v>
      </c>
      <c r="R204" s="0" t="n">
        <v>0</v>
      </c>
      <c r="S204" s="0" t="n">
        <v>1</v>
      </c>
      <c r="T204" s="0" t="n">
        <v>0</v>
      </c>
      <c r="U204" s="0" t="n">
        <v>0</v>
      </c>
      <c r="V204" s="0" t="n">
        <v>0</v>
      </c>
      <c r="W204" s="0" t="n">
        <v>0</v>
      </c>
      <c r="Y204" s="0" t="n">
        <v>3</v>
      </c>
      <c r="Z204" s="0" t="n">
        <v>1</v>
      </c>
      <c r="AC204" s="0" t="n">
        <v>0</v>
      </c>
      <c r="AF204" s="0" t="n">
        <v>1</v>
      </c>
      <c r="AG204" s="0" t="n">
        <v>0</v>
      </c>
      <c r="AH204" s="0" t="n">
        <v>1</v>
      </c>
      <c r="AI204" s="0" t="n">
        <v>1</v>
      </c>
      <c r="AJ204" s="0" t="n">
        <v>1</v>
      </c>
      <c r="AK204" s="0" t="n">
        <v>0</v>
      </c>
      <c r="AM204" s="0" t="n">
        <v>1</v>
      </c>
      <c r="AN204" s="3" t="s">
        <v>147</v>
      </c>
      <c r="AO204" s="0" t="n">
        <v>0</v>
      </c>
      <c r="AP204" s="0" t="n">
        <v>0</v>
      </c>
      <c r="AQ204" s="0" t="n">
        <v>0</v>
      </c>
      <c r="AR204" s="0" t="n">
        <v>1</v>
      </c>
      <c r="AS204" s="0" t="n">
        <v>1</v>
      </c>
      <c r="AT204" s="0" t="n">
        <v>15</v>
      </c>
      <c r="AU204" s="3" t="s">
        <v>161</v>
      </c>
      <c r="AV204" s="3" t="s">
        <v>1045</v>
      </c>
      <c r="AX204" s="3" t="s">
        <v>101</v>
      </c>
      <c r="AY204" s="3" t="s">
        <v>565</v>
      </c>
      <c r="AZ204" s="3" t="s">
        <v>1151</v>
      </c>
      <c r="BA204" s="0" t="n">
        <v>0</v>
      </c>
      <c r="BB204" s="0" t="n">
        <v>0</v>
      </c>
      <c r="BC204" s="0" t="n">
        <v>0</v>
      </c>
      <c r="BF204" s="0" t="n">
        <v>128</v>
      </c>
      <c r="BG204" s="0" t="n">
        <v>0</v>
      </c>
      <c r="BH204" s="0" t="n">
        <v>0</v>
      </c>
      <c r="BI204" s="3" t="s">
        <v>116</v>
      </c>
      <c r="BK204" s="0" t="n">
        <v>0</v>
      </c>
      <c r="BL204" s="0" t="n">
        <v>0</v>
      </c>
      <c r="BM204" s="0" t="n">
        <v>0</v>
      </c>
      <c r="BN204" s="0" t="n">
        <v>0</v>
      </c>
      <c r="BO204" s="0" t="n">
        <v>0</v>
      </c>
      <c r="BP204" s="0" t="n">
        <v>0</v>
      </c>
      <c r="BQ204" s="0" t="n">
        <v>0</v>
      </c>
      <c r="BR204" s="0" t="n">
        <v>0</v>
      </c>
      <c r="CC204" s="0" t="n">
        <v>8.25630550176662</v>
      </c>
      <c r="CD204" s="0" t="n">
        <v>4.94821634062134</v>
      </c>
      <c r="CG204" s="0" t="n">
        <v>2</v>
      </c>
      <c r="CH204" s="3" t="s">
        <v>1152</v>
      </c>
      <c r="CI204" s="3" t="s">
        <v>1040</v>
      </c>
    </row>
    <row r="205" customFormat="false" ht="14.25" hidden="false" customHeight="false" outlineLevel="0" collapsed="false">
      <c r="A205" s="0" t="s">
        <v>1153</v>
      </c>
      <c r="B205" s="0" t="s">
        <v>1154</v>
      </c>
      <c r="C205" s="0" t="s">
        <v>560</v>
      </c>
      <c r="D205" s="0" t="s">
        <v>638</v>
      </c>
      <c r="E205" s="0" t="n">
        <v>0</v>
      </c>
      <c r="F205" s="0" t="s">
        <v>91</v>
      </c>
      <c r="I205" s="0" t="n">
        <v>2014</v>
      </c>
      <c r="K205" s="0" t="s">
        <v>92</v>
      </c>
      <c r="L205" s="4" t="n">
        <v>46295</v>
      </c>
      <c r="M205" s="0" t="n">
        <v>152</v>
      </c>
      <c r="N205" s="0" t="n">
        <v>12.67</v>
      </c>
      <c r="O205" s="3" t="s">
        <v>1155</v>
      </c>
      <c r="P205" s="3" t="s">
        <v>259</v>
      </c>
      <c r="Q205" s="3" t="s">
        <v>1156</v>
      </c>
      <c r="R205" s="0" t="n">
        <v>1</v>
      </c>
      <c r="S205" s="0" t="n">
        <v>0</v>
      </c>
      <c r="T205" s="0" t="n">
        <v>0</v>
      </c>
      <c r="U205" s="0" t="n">
        <v>0</v>
      </c>
      <c r="V205" s="0" t="n">
        <v>0</v>
      </c>
      <c r="W205" s="0" t="n">
        <v>0</v>
      </c>
      <c r="Y205" s="0" t="n">
        <v>3</v>
      </c>
      <c r="Z205" s="0" t="n">
        <v>1</v>
      </c>
      <c r="AC205" s="0" t="n">
        <v>0</v>
      </c>
      <c r="AF205" s="0" t="n">
        <v>1</v>
      </c>
      <c r="AG205" s="0" t="n">
        <v>1</v>
      </c>
      <c r="AH205" s="0" t="n">
        <v>0</v>
      </c>
      <c r="AI205" s="0" t="n">
        <v>0</v>
      </c>
      <c r="AJ205" s="0" t="n">
        <v>0</v>
      </c>
      <c r="AK205" s="0" t="n">
        <v>0</v>
      </c>
      <c r="AM205" s="0" t="n">
        <v>2</v>
      </c>
      <c r="AN205" s="3" t="s">
        <v>98</v>
      </c>
      <c r="AO205" s="0" t="n">
        <v>0</v>
      </c>
      <c r="AP205" s="0" t="n">
        <v>0</v>
      </c>
      <c r="AQ205" s="0" t="n">
        <v>0</v>
      </c>
      <c r="AR205" s="0" t="n">
        <v>0</v>
      </c>
      <c r="AS205" s="0" t="n">
        <v>0</v>
      </c>
      <c r="AX205" s="3" t="s">
        <v>101</v>
      </c>
      <c r="AY205" s="3" t="s">
        <v>565</v>
      </c>
      <c r="AZ205" s="3" t="s">
        <v>1157</v>
      </c>
      <c r="BA205" s="0" t="n">
        <v>0</v>
      </c>
      <c r="BB205" s="0" t="n">
        <v>0</v>
      </c>
      <c r="BC205" s="0" t="n">
        <v>0</v>
      </c>
      <c r="BF205" s="0" t="n">
        <v>152</v>
      </c>
      <c r="BG205" s="0" t="n">
        <v>0</v>
      </c>
      <c r="BH205" s="0" t="n">
        <v>0</v>
      </c>
      <c r="BI205" s="3" t="s">
        <v>116</v>
      </c>
      <c r="BK205" s="0" t="n">
        <v>0</v>
      </c>
      <c r="BL205" s="0" t="n">
        <v>0</v>
      </c>
      <c r="BM205" s="0" t="n">
        <v>0</v>
      </c>
      <c r="BN205" s="0" t="n">
        <v>0</v>
      </c>
      <c r="BO205" s="0" t="n">
        <v>0</v>
      </c>
      <c r="BP205" s="0" t="n">
        <v>0</v>
      </c>
      <c r="BQ205" s="0" t="n">
        <v>0</v>
      </c>
      <c r="BR205" s="0" t="n">
        <v>0</v>
      </c>
      <c r="CC205" s="0" t="n">
        <v>7.41022760516977</v>
      </c>
      <c r="CD205" s="0" t="n">
        <v>6.66565671867899</v>
      </c>
      <c r="CG205" s="0" t="n">
        <v>3</v>
      </c>
      <c r="CH205" s="3" t="s">
        <v>1158</v>
      </c>
      <c r="CI205" s="3" t="s">
        <v>1040</v>
      </c>
    </row>
    <row r="206" customFormat="false" ht="14.25" hidden="false" customHeight="false" outlineLevel="0" collapsed="false">
      <c r="A206" s="0" t="s">
        <v>1159</v>
      </c>
      <c r="B206" s="0" t="s">
        <v>1160</v>
      </c>
      <c r="C206" s="0" t="s">
        <v>560</v>
      </c>
      <c r="D206" s="0" t="s">
        <v>561</v>
      </c>
      <c r="E206" s="0" t="n">
        <v>0</v>
      </c>
      <c r="F206" s="0" t="s">
        <v>91</v>
      </c>
      <c r="I206" s="0" t="n">
        <v>2016</v>
      </c>
      <c r="K206" s="0" t="s">
        <v>92</v>
      </c>
      <c r="L206" s="4" t="n">
        <v>46295</v>
      </c>
      <c r="M206" s="0" t="n">
        <v>128</v>
      </c>
      <c r="N206" s="0" t="n">
        <v>10.67</v>
      </c>
      <c r="O206" s="3" t="s">
        <v>1161</v>
      </c>
      <c r="P206" s="3" t="s">
        <v>267</v>
      </c>
      <c r="Q206" s="3" t="s">
        <v>1162</v>
      </c>
      <c r="R206" s="0" t="n">
        <v>1</v>
      </c>
      <c r="S206" s="0" t="n">
        <v>1</v>
      </c>
      <c r="T206" s="0" t="n">
        <v>0</v>
      </c>
      <c r="U206" s="0" t="n">
        <v>0</v>
      </c>
      <c r="V206" s="0" t="n">
        <v>0</v>
      </c>
      <c r="W206" s="0" t="n">
        <v>0</v>
      </c>
      <c r="Y206" s="0" t="n">
        <v>3</v>
      </c>
      <c r="Z206" s="0" t="n">
        <v>1</v>
      </c>
      <c r="AC206" s="0" t="n">
        <v>0</v>
      </c>
      <c r="AF206" s="0" t="n">
        <v>2</v>
      </c>
      <c r="AG206" s="0" t="n">
        <v>2</v>
      </c>
      <c r="AH206" s="0" t="n">
        <v>0</v>
      </c>
      <c r="AI206" s="0" t="n">
        <v>0</v>
      </c>
      <c r="AJ206" s="0" t="n">
        <v>0</v>
      </c>
      <c r="AK206" s="0" t="n">
        <v>0</v>
      </c>
      <c r="AM206" s="0" t="n">
        <v>1</v>
      </c>
      <c r="AN206" s="3" t="s">
        <v>147</v>
      </c>
      <c r="AO206" s="0" t="n">
        <v>0</v>
      </c>
      <c r="AP206" s="0" t="n">
        <v>0</v>
      </c>
      <c r="AQ206" s="0" t="n">
        <v>0</v>
      </c>
      <c r="AR206" s="0" t="n">
        <v>2</v>
      </c>
      <c r="AS206" s="0" t="n">
        <v>2</v>
      </c>
      <c r="AT206" s="0" t="n">
        <v>79</v>
      </c>
      <c r="AU206" s="3" t="s">
        <v>130</v>
      </c>
      <c r="AV206" s="3" t="s">
        <v>1045</v>
      </c>
      <c r="AX206" s="3" t="s">
        <v>101</v>
      </c>
      <c r="AY206" s="3" t="s">
        <v>565</v>
      </c>
      <c r="AZ206" s="3" t="s">
        <v>1163</v>
      </c>
      <c r="BA206" s="0" t="n">
        <v>0</v>
      </c>
      <c r="BB206" s="0" t="n">
        <v>0</v>
      </c>
      <c r="BC206" s="0" t="n">
        <v>0</v>
      </c>
      <c r="BF206" s="0" t="n">
        <v>128</v>
      </c>
      <c r="BG206" s="0" t="n">
        <v>0</v>
      </c>
      <c r="BH206" s="0" t="n">
        <v>0</v>
      </c>
      <c r="BI206" s="3" t="s">
        <v>116</v>
      </c>
      <c r="BK206" s="0" t="n">
        <v>0</v>
      </c>
      <c r="BL206" s="0" t="n">
        <v>0</v>
      </c>
      <c r="BM206" s="0" t="n">
        <v>0</v>
      </c>
      <c r="BN206" s="0" t="n">
        <v>0</v>
      </c>
      <c r="BO206" s="0" t="n">
        <v>0</v>
      </c>
      <c r="BP206" s="0" t="n">
        <v>0</v>
      </c>
      <c r="BQ206" s="0" t="n">
        <v>0</v>
      </c>
      <c r="BR206" s="0" t="n">
        <v>0</v>
      </c>
      <c r="CC206" s="0" t="n">
        <v>8.25630550176662</v>
      </c>
      <c r="CD206" s="0" t="n">
        <v>4.94821634062134</v>
      </c>
      <c r="CG206" s="0" t="n">
        <v>2</v>
      </c>
      <c r="CH206" s="3" t="s">
        <v>1164</v>
      </c>
      <c r="CI206" s="3" t="s">
        <v>1040</v>
      </c>
    </row>
    <row r="207" customFormat="false" ht="14.25" hidden="false" customHeight="false" outlineLevel="0" collapsed="false">
      <c r="A207" s="0" t="s">
        <v>1165</v>
      </c>
      <c r="B207" s="0" t="s">
        <v>1166</v>
      </c>
      <c r="C207" s="0" t="s">
        <v>560</v>
      </c>
      <c r="D207" s="0" t="s">
        <v>561</v>
      </c>
      <c r="E207" s="0" t="n">
        <v>0</v>
      </c>
      <c r="F207" s="0" t="s">
        <v>91</v>
      </c>
      <c r="I207" s="0" t="n">
        <v>2017</v>
      </c>
      <c r="K207" s="0" t="s">
        <v>92</v>
      </c>
      <c r="L207" s="4" t="n">
        <v>46295</v>
      </c>
      <c r="M207" s="0" t="n">
        <v>116</v>
      </c>
      <c r="N207" s="0" t="n">
        <v>9.67</v>
      </c>
      <c r="O207" s="3" t="s">
        <v>1167</v>
      </c>
      <c r="P207" s="3" t="s">
        <v>267</v>
      </c>
      <c r="Q207" s="3" t="s">
        <v>1168</v>
      </c>
      <c r="R207" s="0" t="n">
        <v>1</v>
      </c>
      <c r="S207" s="0" t="n">
        <v>1</v>
      </c>
      <c r="T207" s="0" t="n">
        <v>0</v>
      </c>
      <c r="U207" s="0" t="n">
        <v>0</v>
      </c>
      <c r="V207" s="0" t="n">
        <v>0</v>
      </c>
      <c r="W207" s="0" t="n">
        <v>0</v>
      </c>
      <c r="Y207" s="0" t="n">
        <v>3</v>
      </c>
      <c r="Z207" s="0" t="n">
        <v>1</v>
      </c>
      <c r="AC207" s="0" t="n">
        <v>0</v>
      </c>
      <c r="AF207" s="0" t="n">
        <v>2</v>
      </c>
      <c r="AG207" s="0" t="n">
        <v>1</v>
      </c>
      <c r="AH207" s="0" t="n">
        <v>0</v>
      </c>
      <c r="AI207" s="0" t="n">
        <v>0</v>
      </c>
      <c r="AJ207" s="0" t="n">
        <v>0</v>
      </c>
      <c r="AK207" s="0" t="n">
        <v>0</v>
      </c>
      <c r="AM207" s="0" t="n">
        <v>2</v>
      </c>
      <c r="AN207" s="3" t="s">
        <v>98</v>
      </c>
      <c r="AO207" s="0" t="n">
        <v>0</v>
      </c>
      <c r="AP207" s="0" t="n">
        <v>0</v>
      </c>
      <c r="AQ207" s="0" t="n">
        <v>1</v>
      </c>
      <c r="AR207" s="0" t="n">
        <v>5</v>
      </c>
      <c r="AS207" s="0" t="n">
        <v>5</v>
      </c>
      <c r="AT207" s="0" t="n">
        <v>22</v>
      </c>
      <c r="AU207" s="3" t="s">
        <v>161</v>
      </c>
      <c r="AV207" s="3" t="s">
        <v>1045</v>
      </c>
      <c r="AX207" s="3" t="s">
        <v>101</v>
      </c>
      <c r="AY207" s="3" t="s">
        <v>565</v>
      </c>
      <c r="AZ207" s="3" t="s">
        <v>1169</v>
      </c>
      <c r="BA207" s="0" t="n">
        <v>0</v>
      </c>
      <c r="BB207" s="0" t="n">
        <v>0</v>
      </c>
      <c r="BC207" s="0" t="n">
        <v>0</v>
      </c>
      <c r="BF207" s="0" t="n">
        <v>116</v>
      </c>
      <c r="BG207" s="0" t="n">
        <v>0</v>
      </c>
      <c r="BH207" s="0" t="n">
        <v>0</v>
      </c>
      <c r="BI207" s="3" t="s">
        <v>116</v>
      </c>
      <c r="BK207" s="0" t="n">
        <v>0</v>
      </c>
      <c r="BL207" s="0" t="n">
        <v>0</v>
      </c>
      <c r="BM207" s="0" t="n">
        <v>0</v>
      </c>
      <c r="BN207" s="0" t="n">
        <v>0</v>
      </c>
      <c r="BO207" s="0" t="n">
        <v>0</v>
      </c>
      <c r="BP207" s="0" t="n">
        <v>0</v>
      </c>
      <c r="BQ207" s="0" t="n">
        <v>0</v>
      </c>
      <c r="BR207" s="0" t="n">
        <v>0</v>
      </c>
      <c r="CC207" s="0" t="n">
        <v>6.79538341902422</v>
      </c>
      <c r="CD207" s="0" t="n">
        <v>3.32817337461304</v>
      </c>
      <c r="CG207" s="0" t="n">
        <v>2</v>
      </c>
      <c r="CH207" s="3" t="s">
        <v>1170</v>
      </c>
      <c r="CI207" s="3" t="s">
        <v>1040</v>
      </c>
    </row>
    <row r="208" customFormat="false" ht="14.25" hidden="false" customHeight="false" outlineLevel="0" collapsed="false">
      <c r="A208" s="0" t="s">
        <v>1171</v>
      </c>
      <c r="B208" s="0" t="s">
        <v>1172</v>
      </c>
      <c r="C208" s="0" t="s">
        <v>560</v>
      </c>
      <c r="D208" s="0" t="s">
        <v>561</v>
      </c>
      <c r="E208" s="0" t="n">
        <v>0</v>
      </c>
      <c r="F208" s="0" t="s">
        <v>91</v>
      </c>
      <c r="I208" s="0" t="n">
        <v>2011</v>
      </c>
      <c r="J208" s="0" t="n">
        <v>8</v>
      </c>
      <c r="K208" s="0" t="s">
        <v>133</v>
      </c>
      <c r="L208" s="4" t="n">
        <v>46295</v>
      </c>
      <c r="M208" s="0" t="n">
        <v>181</v>
      </c>
      <c r="N208" s="0" t="n">
        <v>15.08</v>
      </c>
      <c r="O208" s="3" t="s">
        <v>1173</v>
      </c>
      <c r="P208" s="3" t="s">
        <v>446</v>
      </c>
      <c r="Q208" s="3" t="s">
        <v>1174</v>
      </c>
      <c r="R208" s="0" t="n">
        <v>1</v>
      </c>
      <c r="S208" s="0" t="n">
        <v>0</v>
      </c>
      <c r="T208" s="0" t="n">
        <v>0</v>
      </c>
      <c r="U208" s="0" t="n">
        <v>0</v>
      </c>
      <c r="V208" s="0" t="n">
        <v>1</v>
      </c>
      <c r="W208" s="0" t="n">
        <v>0</v>
      </c>
      <c r="Y208" s="0" t="n">
        <v>3</v>
      </c>
      <c r="Z208" s="0" t="n">
        <v>1</v>
      </c>
      <c r="AC208" s="0" t="n">
        <v>0</v>
      </c>
      <c r="AF208" s="0" t="n">
        <v>1</v>
      </c>
      <c r="AG208" s="0" t="n">
        <v>1</v>
      </c>
      <c r="AH208" s="0" t="n">
        <v>0</v>
      </c>
      <c r="AI208" s="0" t="n">
        <v>0</v>
      </c>
      <c r="AJ208" s="0" t="n">
        <v>0</v>
      </c>
      <c r="AK208" s="0" t="n">
        <v>0</v>
      </c>
      <c r="AM208" s="0" t="n">
        <v>2</v>
      </c>
      <c r="AN208" s="3" t="s">
        <v>98</v>
      </c>
      <c r="AO208" s="0" t="n">
        <v>1</v>
      </c>
      <c r="AP208" s="0" t="n">
        <v>1</v>
      </c>
      <c r="AQ208" s="0" t="n">
        <v>0</v>
      </c>
      <c r="AR208" s="0" t="n">
        <v>9</v>
      </c>
      <c r="AS208" s="0" t="n">
        <v>9</v>
      </c>
      <c r="AT208" s="0" t="n">
        <v>90</v>
      </c>
      <c r="AU208" s="3" t="s">
        <v>130</v>
      </c>
      <c r="AV208" s="3" t="s">
        <v>1045</v>
      </c>
      <c r="AX208" s="3" t="s">
        <v>101</v>
      </c>
      <c r="AY208" s="3" t="s">
        <v>565</v>
      </c>
      <c r="AZ208" s="3" t="s">
        <v>1175</v>
      </c>
      <c r="BA208" s="0" t="n">
        <v>0</v>
      </c>
      <c r="BB208" s="0" t="n">
        <v>0</v>
      </c>
      <c r="BC208" s="0" t="n">
        <v>0</v>
      </c>
      <c r="BF208" s="0" t="n">
        <v>181</v>
      </c>
      <c r="BG208" s="0" t="n">
        <v>0</v>
      </c>
      <c r="BH208" s="0" t="n">
        <v>0</v>
      </c>
      <c r="BI208" s="3" t="s">
        <v>116</v>
      </c>
      <c r="BK208" s="0" t="n">
        <v>0</v>
      </c>
      <c r="BL208" s="0" t="n">
        <v>0</v>
      </c>
      <c r="BM208" s="0" t="n">
        <v>0</v>
      </c>
      <c r="BN208" s="0" t="n">
        <v>0</v>
      </c>
      <c r="BO208" s="0" t="n">
        <v>0</v>
      </c>
      <c r="BP208" s="0" t="n">
        <v>0</v>
      </c>
      <c r="BQ208" s="0" t="n">
        <v>0</v>
      </c>
      <c r="BR208" s="0" t="n">
        <v>0</v>
      </c>
      <c r="CC208" s="0" t="n">
        <v>5.24131620024293</v>
      </c>
      <c r="CD208" s="0" t="n">
        <v>8.9117933648336</v>
      </c>
      <c r="CG208" s="0" t="n">
        <v>2</v>
      </c>
      <c r="CH208" s="3" t="s">
        <v>1176</v>
      </c>
      <c r="CI208" s="3" t="s">
        <v>1040</v>
      </c>
    </row>
    <row r="209" customFormat="false" ht="14.25" hidden="false" customHeight="false" outlineLevel="0" collapsed="false">
      <c r="A209" s="0" t="s">
        <v>1177</v>
      </c>
      <c r="B209" s="0" t="s">
        <v>1178</v>
      </c>
      <c r="C209" s="0" t="s">
        <v>560</v>
      </c>
      <c r="D209" s="0" t="s">
        <v>561</v>
      </c>
      <c r="E209" s="0" t="n">
        <v>0</v>
      </c>
      <c r="F209" s="0" t="s">
        <v>91</v>
      </c>
      <c r="I209" s="0" t="n">
        <v>2018</v>
      </c>
      <c r="J209" s="0" t="n">
        <v>7</v>
      </c>
      <c r="K209" s="0" t="s">
        <v>133</v>
      </c>
      <c r="L209" s="4" t="n">
        <v>46295</v>
      </c>
      <c r="M209" s="0" t="n">
        <v>98</v>
      </c>
      <c r="N209" s="0" t="n">
        <v>8.17</v>
      </c>
      <c r="O209" s="3" t="s">
        <v>1179</v>
      </c>
      <c r="P209" s="3" t="s">
        <v>446</v>
      </c>
      <c r="Q209" s="3" t="s">
        <v>1180</v>
      </c>
      <c r="R209" s="0" t="n">
        <v>1</v>
      </c>
      <c r="S209" s="0" t="n">
        <v>0</v>
      </c>
      <c r="T209" s="0" t="n">
        <v>0</v>
      </c>
      <c r="U209" s="0" t="n">
        <v>1</v>
      </c>
      <c r="V209" s="0" t="n">
        <v>0</v>
      </c>
      <c r="W209" s="0" t="n">
        <v>0</v>
      </c>
      <c r="Y209" s="0" t="n">
        <v>3</v>
      </c>
      <c r="Z209" s="0" t="n">
        <v>1</v>
      </c>
      <c r="AC209" s="0" t="n">
        <v>0</v>
      </c>
      <c r="AF209" s="0" t="n">
        <v>3</v>
      </c>
      <c r="AG209" s="0" t="n">
        <v>3</v>
      </c>
      <c r="AH209" s="0" t="n">
        <v>0</v>
      </c>
      <c r="AI209" s="0" t="n">
        <v>0</v>
      </c>
      <c r="AJ209" s="0" t="n">
        <v>0</v>
      </c>
      <c r="AK209" s="0" t="n">
        <v>0</v>
      </c>
      <c r="AM209" s="0" t="n">
        <v>2</v>
      </c>
      <c r="AN209" s="3" t="s">
        <v>98</v>
      </c>
      <c r="AO209" s="0" t="n">
        <v>1</v>
      </c>
      <c r="AP209" s="0" t="n">
        <v>1</v>
      </c>
      <c r="AQ209" s="0" t="n">
        <v>1</v>
      </c>
      <c r="AR209" s="0" t="n">
        <v>14</v>
      </c>
      <c r="AS209" s="0" t="n">
        <v>11</v>
      </c>
      <c r="AT209" s="0" t="n">
        <v>24</v>
      </c>
      <c r="AU209" s="3" t="s">
        <v>161</v>
      </c>
      <c r="AV209" s="3" t="s">
        <v>1045</v>
      </c>
      <c r="AX209" s="3" t="s">
        <v>101</v>
      </c>
      <c r="AY209" s="3" t="s">
        <v>565</v>
      </c>
      <c r="AZ209" s="3" t="s">
        <v>1181</v>
      </c>
      <c r="BA209" s="0" t="n">
        <v>0</v>
      </c>
      <c r="BB209" s="0" t="n">
        <v>0</v>
      </c>
      <c r="BC209" s="0" t="n">
        <v>0</v>
      </c>
      <c r="BF209" s="0" t="n">
        <v>98</v>
      </c>
      <c r="BG209" s="0" t="n">
        <v>0</v>
      </c>
      <c r="BH209" s="0" t="n">
        <v>0</v>
      </c>
      <c r="BI209" s="3" t="s">
        <v>116</v>
      </c>
      <c r="BK209" s="0" t="n">
        <v>0</v>
      </c>
      <c r="BL209" s="0" t="n">
        <v>0</v>
      </c>
      <c r="BM209" s="0" t="n">
        <v>0</v>
      </c>
      <c r="BN209" s="0" t="n">
        <v>0</v>
      </c>
      <c r="BO209" s="0" t="n">
        <v>0</v>
      </c>
      <c r="BP209" s="0" t="n">
        <v>0</v>
      </c>
      <c r="BQ209" s="0" t="n">
        <v>0</v>
      </c>
      <c r="BR209" s="0" t="n">
        <v>0</v>
      </c>
      <c r="CC209" s="0" t="n">
        <v>6.45385134495295</v>
      </c>
      <c r="CD209" s="0" t="n">
        <v>3.93882646691642</v>
      </c>
      <c r="CG209" s="0" t="n">
        <v>2</v>
      </c>
      <c r="CH209" s="3" t="s">
        <v>1182</v>
      </c>
      <c r="CI209" s="3" t="s">
        <v>1040</v>
      </c>
    </row>
    <row r="210" customFormat="false" ht="14.25" hidden="false" customHeight="false" outlineLevel="0" collapsed="false">
      <c r="A210" s="0" t="s">
        <v>1183</v>
      </c>
      <c r="B210" s="0" t="s">
        <v>1184</v>
      </c>
      <c r="C210" s="0" t="s">
        <v>560</v>
      </c>
      <c r="D210" s="0" t="s">
        <v>561</v>
      </c>
      <c r="E210" s="0" t="n">
        <v>0</v>
      </c>
      <c r="F210" s="0" t="s">
        <v>91</v>
      </c>
      <c r="I210" s="0" t="n">
        <v>2010</v>
      </c>
      <c r="J210" s="0" t="n">
        <v>7</v>
      </c>
      <c r="K210" s="0" t="s">
        <v>133</v>
      </c>
      <c r="L210" s="4" t="n">
        <v>46295</v>
      </c>
      <c r="M210" s="0" t="n">
        <v>194</v>
      </c>
      <c r="N210" s="0" t="n">
        <v>16.17</v>
      </c>
      <c r="O210" s="3" t="s">
        <v>1185</v>
      </c>
      <c r="P210" s="3" t="s">
        <v>446</v>
      </c>
      <c r="Q210" s="3" t="s">
        <v>1186</v>
      </c>
      <c r="R210" s="0" t="n">
        <v>1</v>
      </c>
      <c r="S210" s="0" t="n">
        <v>0</v>
      </c>
      <c r="T210" s="0" t="n">
        <v>0</v>
      </c>
      <c r="U210" s="0" t="n">
        <v>0</v>
      </c>
      <c r="V210" s="0" t="n">
        <v>0</v>
      </c>
      <c r="W210" s="0" t="n">
        <v>0</v>
      </c>
      <c r="Y210" s="0" t="n">
        <v>3</v>
      </c>
      <c r="Z210" s="0" t="n">
        <v>1</v>
      </c>
      <c r="AC210" s="0" t="n">
        <v>0</v>
      </c>
      <c r="AF210" s="0" t="n">
        <v>1</v>
      </c>
      <c r="AG210" s="0" t="n">
        <v>1</v>
      </c>
      <c r="AH210" s="0" t="n">
        <v>0</v>
      </c>
      <c r="AI210" s="0" t="n">
        <v>0</v>
      </c>
      <c r="AJ210" s="0" t="n">
        <v>0</v>
      </c>
      <c r="AK210" s="0" t="n">
        <v>0</v>
      </c>
      <c r="AM210" s="0" t="n">
        <v>2</v>
      </c>
      <c r="AN210" s="3" t="s">
        <v>98</v>
      </c>
      <c r="AO210" s="0" t="n">
        <v>1</v>
      </c>
      <c r="AP210" s="0" t="n">
        <v>1</v>
      </c>
      <c r="AQ210" s="0" t="n">
        <v>0</v>
      </c>
      <c r="AR210" s="0" t="n">
        <v>9</v>
      </c>
      <c r="AS210" s="0" t="n">
        <v>9</v>
      </c>
      <c r="AT210" s="0" t="n">
        <v>386</v>
      </c>
      <c r="AU210" s="3" t="s">
        <v>121</v>
      </c>
      <c r="AV210" s="3" t="s">
        <v>1045</v>
      </c>
      <c r="AX210" s="3" t="s">
        <v>101</v>
      </c>
      <c r="AY210" s="3" t="s">
        <v>565</v>
      </c>
      <c r="AZ210" s="3" t="s">
        <v>1187</v>
      </c>
      <c r="BA210" s="0" t="n">
        <v>0</v>
      </c>
      <c r="BB210" s="0" t="n">
        <v>0</v>
      </c>
      <c r="BC210" s="0" t="n">
        <v>0</v>
      </c>
      <c r="BF210" s="0" t="n">
        <v>194</v>
      </c>
      <c r="BG210" s="0" t="n">
        <v>0</v>
      </c>
      <c r="BH210" s="0" t="n">
        <v>0</v>
      </c>
      <c r="BI210" s="3" t="s">
        <v>116</v>
      </c>
      <c r="BK210" s="0" t="n">
        <v>0</v>
      </c>
      <c r="BL210" s="0" t="n">
        <v>0</v>
      </c>
      <c r="BM210" s="0" t="n">
        <v>0</v>
      </c>
      <c r="BN210" s="0" t="n">
        <v>0</v>
      </c>
      <c r="BO210" s="0" t="n">
        <v>0</v>
      </c>
      <c r="BP210" s="0" t="n">
        <v>0</v>
      </c>
      <c r="BQ210" s="0" t="n">
        <v>0</v>
      </c>
      <c r="BR210" s="0" t="n">
        <v>0</v>
      </c>
      <c r="CC210" s="0" t="n">
        <v>8.49758470165625</v>
      </c>
      <c r="CD210" s="0" t="n">
        <v>11.9893899204244</v>
      </c>
      <c r="CG210" s="0" t="n">
        <v>2</v>
      </c>
      <c r="CH210" s="3" t="s">
        <v>1188</v>
      </c>
      <c r="CI210" s="3" t="s">
        <v>1040</v>
      </c>
    </row>
    <row r="211" customFormat="false" ht="14.25" hidden="false" customHeight="false" outlineLevel="0" collapsed="false">
      <c r="A211" s="0" t="s">
        <v>1189</v>
      </c>
      <c r="B211" s="0" t="s">
        <v>1190</v>
      </c>
      <c r="C211" s="0" t="s">
        <v>560</v>
      </c>
      <c r="D211" s="0" t="s">
        <v>601</v>
      </c>
      <c r="E211" s="0" t="n">
        <v>0</v>
      </c>
      <c r="F211" s="0" t="s">
        <v>91</v>
      </c>
      <c r="I211" s="0" t="n">
        <v>2012</v>
      </c>
      <c r="K211" s="0" t="s">
        <v>92</v>
      </c>
      <c r="L211" s="4" t="n">
        <v>46295</v>
      </c>
      <c r="M211" s="0" t="n">
        <v>176</v>
      </c>
      <c r="N211" s="0" t="n">
        <v>14.67</v>
      </c>
      <c r="O211" s="3" t="s">
        <v>1191</v>
      </c>
      <c r="P211" s="3" t="s">
        <v>259</v>
      </c>
      <c r="Q211" s="3" t="s">
        <v>1192</v>
      </c>
      <c r="R211" s="0" t="n">
        <v>1</v>
      </c>
      <c r="S211" s="0" t="n">
        <v>0</v>
      </c>
      <c r="T211" s="0" t="n">
        <v>0</v>
      </c>
      <c r="U211" s="0" t="n">
        <v>0</v>
      </c>
      <c r="V211" s="0" t="n">
        <v>0</v>
      </c>
      <c r="W211" s="0" t="n">
        <v>0</v>
      </c>
      <c r="Y211" s="0" t="n">
        <v>3</v>
      </c>
      <c r="Z211" s="0" t="n">
        <v>1</v>
      </c>
      <c r="AC211" s="0" t="n">
        <v>0</v>
      </c>
      <c r="AF211" s="0" t="n">
        <v>3</v>
      </c>
      <c r="AG211" s="0" t="n">
        <v>2</v>
      </c>
      <c r="AH211" s="0" t="n">
        <v>1</v>
      </c>
      <c r="AI211" s="0" t="n">
        <v>0.333</v>
      </c>
      <c r="AJ211" s="0" t="n">
        <v>1</v>
      </c>
      <c r="AK211" s="0" t="n">
        <v>0.444</v>
      </c>
      <c r="AM211" s="0" t="n">
        <v>2</v>
      </c>
      <c r="AN211" s="3" t="s">
        <v>98</v>
      </c>
      <c r="AO211" s="0" t="n">
        <v>1</v>
      </c>
      <c r="AP211" s="0" t="n">
        <v>0.33</v>
      </c>
      <c r="AQ211" s="0" t="n">
        <v>0</v>
      </c>
      <c r="AR211" s="0" t="n">
        <v>8</v>
      </c>
      <c r="AS211" s="0" t="n">
        <v>8</v>
      </c>
      <c r="AT211" s="0" t="n">
        <v>20</v>
      </c>
      <c r="AU211" s="3" t="s">
        <v>161</v>
      </c>
      <c r="AV211" s="3" t="s">
        <v>1045</v>
      </c>
      <c r="AX211" s="3" t="s">
        <v>101</v>
      </c>
      <c r="AY211" s="3" t="s">
        <v>565</v>
      </c>
      <c r="AZ211" s="3" t="s">
        <v>1193</v>
      </c>
      <c r="BA211" s="0" t="n">
        <v>0</v>
      </c>
      <c r="BB211" s="0" t="n">
        <v>0</v>
      </c>
      <c r="BC211" s="0" t="n">
        <v>0</v>
      </c>
      <c r="BF211" s="0" t="n">
        <v>176</v>
      </c>
      <c r="BG211" s="0" t="n">
        <v>0</v>
      </c>
      <c r="BH211" s="0" t="n">
        <v>0</v>
      </c>
      <c r="BI211" s="3" t="s">
        <v>116</v>
      </c>
      <c r="BK211" s="0" t="n">
        <v>0</v>
      </c>
      <c r="BL211" s="0" t="n">
        <v>0</v>
      </c>
      <c r="BM211" s="0" t="n">
        <v>0</v>
      </c>
      <c r="BN211" s="0" t="n">
        <v>0</v>
      </c>
      <c r="BO211" s="0" t="n">
        <v>0</v>
      </c>
      <c r="BP211" s="0" t="n">
        <v>0</v>
      </c>
      <c r="BQ211" s="0" t="n">
        <v>0</v>
      </c>
      <c r="BR211" s="0" t="n">
        <v>0</v>
      </c>
      <c r="CC211" s="0" t="n">
        <v>5.45638755164772</v>
      </c>
      <c r="CD211" s="0" t="n">
        <v>9.47899691419792</v>
      </c>
      <c r="CG211" s="0" t="n">
        <v>2</v>
      </c>
      <c r="CH211" s="3" t="s">
        <v>1194</v>
      </c>
      <c r="CI211" s="3" t="s">
        <v>1040</v>
      </c>
    </row>
    <row r="212" customFormat="false" ht="14.25" hidden="false" customHeight="false" outlineLevel="0" collapsed="false">
      <c r="A212" s="0" t="s">
        <v>1195</v>
      </c>
      <c r="B212" s="0" t="s">
        <v>1196</v>
      </c>
      <c r="C212" s="0" t="s">
        <v>560</v>
      </c>
      <c r="D212" s="0" t="s">
        <v>1197</v>
      </c>
      <c r="E212" s="0" t="n">
        <v>0</v>
      </c>
      <c r="F212" s="0" t="s">
        <v>91</v>
      </c>
      <c r="I212" s="0" t="n">
        <v>2013</v>
      </c>
      <c r="J212" s="0" t="n">
        <v>8</v>
      </c>
      <c r="K212" s="0" t="s">
        <v>133</v>
      </c>
      <c r="L212" s="4" t="n">
        <v>46295</v>
      </c>
      <c r="M212" s="0" t="n">
        <v>157</v>
      </c>
      <c r="N212" s="0" t="n">
        <v>13.08</v>
      </c>
      <c r="O212" s="3" t="s">
        <v>1198</v>
      </c>
      <c r="P212" s="3" t="s">
        <v>446</v>
      </c>
      <c r="Q212" s="3" t="s">
        <v>1199</v>
      </c>
      <c r="R212" s="0" t="n">
        <v>1</v>
      </c>
      <c r="S212" s="0" t="n">
        <v>0</v>
      </c>
      <c r="T212" s="0" t="n">
        <v>0</v>
      </c>
      <c r="U212" s="0" t="n">
        <v>0</v>
      </c>
      <c r="V212" s="0" t="n">
        <v>0</v>
      </c>
      <c r="W212" s="0" t="n">
        <v>0</v>
      </c>
      <c r="Y212" s="0" t="n">
        <v>3</v>
      </c>
      <c r="Z212" s="0" t="n">
        <v>1</v>
      </c>
      <c r="AC212" s="0" t="n">
        <v>0</v>
      </c>
      <c r="AF212" s="0" t="n">
        <v>2</v>
      </c>
      <c r="AG212" s="0" t="n">
        <v>2</v>
      </c>
      <c r="AH212" s="0" t="n">
        <v>0</v>
      </c>
      <c r="AI212" s="0" t="n">
        <v>0</v>
      </c>
      <c r="AJ212" s="0" t="n">
        <v>0</v>
      </c>
      <c r="AK212" s="0" t="n">
        <v>0</v>
      </c>
      <c r="AM212" s="0" t="n">
        <v>2</v>
      </c>
      <c r="AN212" s="3" t="s">
        <v>98</v>
      </c>
      <c r="AO212" s="0" t="n">
        <v>1</v>
      </c>
      <c r="AP212" s="0" t="n">
        <v>0.5</v>
      </c>
      <c r="AQ212" s="0" t="n">
        <v>0</v>
      </c>
      <c r="AR212" s="0" t="n">
        <v>9</v>
      </c>
      <c r="AS212" s="0" t="n">
        <v>9</v>
      </c>
      <c r="AT212" s="0" t="n">
        <v>377</v>
      </c>
      <c r="AU212" s="3" t="s">
        <v>121</v>
      </c>
      <c r="AV212" s="3" t="s">
        <v>1045</v>
      </c>
      <c r="AX212" s="3" t="s">
        <v>101</v>
      </c>
      <c r="AY212" s="3" t="s">
        <v>565</v>
      </c>
      <c r="AZ212" s="3" t="s">
        <v>1200</v>
      </c>
      <c r="BA212" s="0" t="n">
        <v>0</v>
      </c>
      <c r="BB212" s="0" t="n">
        <v>0</v>
      </c>
      <c r="BC212" s="0" t="n">
        <v>0</v>
      </c>
      <c r="BF212" s="0" t="n">
        <v>157</v>
      </c>
      <c r="BG212" s="0" t="n">
        <v>0</v>
      </c>
      <c r="BH212" s="0" t="n">
        <v>0</v>
      </c>
      <c r="BI212" s="3" t="s">
        <v>116</v>
      </c>
      <c r="BK212" s="0" t="n">
        <v>0</v>
      </c>
      <c r="BL212" s="0" t="n">
        <v>0</v>
      </c>
      <c r="BM212" s="0" t="n">
        <v>0</v>
      </c>
      <c r="BN212" s="0" t="n">
        <v>0</v>
      </c>
      <c r="BO212" s="0" t="n">
        <v>0</v>
      </c>
      <c r="BP212" s="0" t="n">
        <v>0</v>
      </c>
      <c r="BQ212" s="0" t="n">
        <v>0</v>
      </c>
      <c r="BR212" s="0" t="n">
        <v>0</v>
      </c>
      <c r="CC212" s="0" t="n">
        <v>6.38610640091713</v>
      </c>
      <c r="CD212" s="0" t="n">
        <v>10.0178784746104</v>
      </c>
      <c r="CG212" s="0" t="n">
        <v>2</v>
      </c>
      <c r="CH212" s="3" t="s">
        <v>1201</v>
      </c>
      <c r="CI212" s="3" t="s">
        <v>1040</v>
      </c>
    </row>
    <row r="213" customFormat="false" ht="14.25" hidden="false" customHeight="false" outlineLevel="0" collapsed="false">
      <c r="A213" s="0" t="s">
        <v>1202</v>
      </c>
      <c r="B213" s="0" t="s">
        <v>1203</v>
      </c>
      <c r="C213" s="0" t="s">
        <v>560</v>
      </c>
      <c r="D213" s="0" t="s">
        <v>601</v>
      </c>
      <c r="E213" s="0" t="n">
        <v>0</v>
      </c>
      <c r="F213" s="0" t="s">
        <v>91</v>
      </c>
      <c r="I213" s="0" t="n">
        <v>2018</v>
      </c>
      <c r="K213" s="0" t="s">
        <v>92</v>
      </c>
      <c r="L213" s="4" t="n">
        <v>46295</v>
      </c>
      <c r="M213" s="0" t="n">
        <v>104</v>
      </c>
      <c r="N213" s="0" t="n">
        <v>8.67</v>
      </c>
      <c r="O213" s="3" t="s">
        <v>1204</v>
      </c>
      <c r="P213" s="3" t="s">
        <v>259</v>
      </c>
      <c r="Q213" s="3" t="s">
        <v>1205</v>
      </c>
      <c r="R213" s="0" t="n">
        <v>1</v>
      </c>
      <c r="S213" s="0" t="n">
        <v>0</v>
      </c>
      <c r="T213" s="0" t="n">
        <v>0</v>
      </c>
      <c r="U213" s="0" t="n">
        <v>0</v>
      </c>
      <c r="V213" s="0" t="n">
        <v>0</v>
      </c>
      <c r="W213" s="0" t="n">
        <v>0</v>
      </c>
      <c r="Y213" s="0" t="n">
        <v>3</v>
      </c>
      <c r="Z213" s="0" t="n">
        <v>1</v>
      </c>
      <c r="AC213" s="0" t="n">
        <v>0</v>
      </c>
      <c r="AF213" s="0" t="n">
        <v>2</v>
      </c>
      <c r="AG213" s="0" t="n">
        <v>2</v>
      </c>
      <c r="AH213" s="0" t="n">
        <v>0</v>
      </c>
      <c r="AI213" s="0" t="n">
        <v>0</v>
      </c>
      <c r="AJ213" s="0" t="n">
        <v>0</v>
      </c>
      <c r="AK213" s="0" t="n">
        <v>0</v>
      </c>
      <c r="AM213" s="0" t="n">
        <v>2</v>
      </c>
      <c r="AN213" s="3" t="s">
        <v>98</v>
      </c>
      <c r="AO213" s="0" t="n">
        <v>0</v>
      </c>
      <c r="AP213" s="0" t="n">
        <v>0</v>
      </c>
      <c r="AQ213" s="0" t="n">
        <v>1</v>
      </c>
      <c r="AR213" s="0" t="n">
        <v>9</v>
      </c>
      <c r="AS213" s="0" t="n">
        <v>9</v>
      </c>
      <c r="AT213" s="0" t="n">
        <v>39</v>
      </c>
      <c r="AU213" s="3" t="s">
        <v>161</v>
      </c>
      <c r="AV213" s="3" t="s">
        <v>1045</v>
      </c>
      <c r="AX213" s="3" t="s">
        <v>101</v>
      </c>
      <c r="AY213" s="3" t="s">
        <v>565</v>
      </c>
      <c r="AZ213" s="3" t="s">
        <v>1206</v>
      </c>
      <c r="BA213" s="0" t="n">
        <v>0</v>
      </c>
      <c r="BB213" s="0" t="n">
        <v>0</v>
      </c>
      <c r="BC213" s="0" t="n">
        <v>0</v>
      </c>
      <c r="BF213" s="0" t="n">
        <v>104</v>
      </c>
      <c r="BG213" s="0" t="n">
        <v>0</v>
      </c>
      <c r="BH213" s="0" t="n">
        <v>0</v>
      </c>
      <c r="BI213" s="3" t="s">
        <v>116</v>
      </c>
      <c r="BK213" s="0" t="n">
        <v>0</v>
      </c>
      <c r="BL213" s="0" t="n">
        <v>0</v>
      </c>
      <c r="BM213" s="0" t="n">
        <v>0</v>
      </c>
      <c r="BN213" s="0" t="n">
        <v>0</v>
      </c>
      <c r="BO213" s="0" t="n">
        <v>0</v>
      </c>
      <c r="BP213" s="0" t="n">
        <v>0</v>
      </c>
      <c r="BQ213" s="0" t="n">
        <v>0</v>
      </c>
      <c r="BR213" s="0" t="n">
        <v>0</v>
      </c>
      <c r="CC213" s="0" t="n">
        <v>6.45385134495295</v>
      </c>
      <c r="CD213" s="0" t="n">
        <v>3.93882646691642</v>
      </c>
      <c r="CG213" s="0" t="n">
        <v>2</v>
      </c>
      <c r="CH213" s="3" t="s">
        <v>1207</v>
      </c>
      <c r="CI213" s="3" t="s">
        <v>1040</v>
      </c>
    </row>
    <row r="214" customFormat="false" ht="14.25" hidden="false" customHeight="false" outlineLevel="0" collapsed="false">
      <c r="A214" s="0" t="s">
        <v>1208</v>
      </c>
      <c r="B214" s="0" t="s">
        <v>1209</v>
      </c>
      <c r="C214" s="0" t="s">
        <v>560</v>
      </c>
      <c r="D214" s="0" t="s">
        <v>601</v>
      </c>
      <c r="E214" s="0" t="n">
        <v>0</v>
      </c>
      <c r="F214" s="0" t="s">
        <v>91</v>
      </c>
      <c r="I214" s="0" t="n">
        <v>2016</v>
      </c>
      <c r="J214" s="0" t="n">
        <v>1</v>
      </c>
      <c r="K214" s="0" t="s">
        <v>133</v>
      </c>
      <c r="L214" s="4" t="n">
        <v>46295</v>
      </c>
      <c r="M214" s="0" t="n">
        <v>128</v>
      </c>
      <c r="N214" s="0" t="n">
        <v>10.67</v>
      </c>
      <c r="O214" s="3" t="s">
        <v>1210</v>
      </c>
      <c r="P214" s="3" t="s">
        <v>516</v>
      </c>
      <c r="Q214" s="3" t="s">
        <v>1211</v>
      </c>
      <c r="R214" s="0" t="n">
        <v>0</v>
      </c>
      <c r="S214" s="0" t="n">
        <v>1</v>
      </c>
      <c r="T214" s="0" t="n">
        <v>0</v>
      </c>
      <c r="U214" s="0" t="n">
        <v>0</v>
      </c>
      <c r="V214" s="0" t="n">
        <v>0</v>
      </c>
      <c r="W214" s="0" t="n">
        <v>0</v>
      </c>
      <c r="Y214" s="0" t="n">
        <v>3</v>
      </c>
      <c r="Z214" s="0" t="n">
        <v>1</v>
      </c>
      <c r="AC214" s="0" t="n">
        <v>0</v>
      </c>
      <c r="AF214" s="0" t="n">
        <v>2</v>
      </c>
      <c r="AG214" s="0" t="n">
        <v>1</v>
      </c>
      <c r="AH214" s="0" t="n">
        <v>1</v>
      </c>
      <c r="AI214" s="0" t="n">
        <v>0.5</v>
      </c>
      <c r="AJ214" s="0" t="n">
        <v>1</v>
      </c>
      <c r="AK214" s="0" t="n">
        <v>0.5</v>
      </c>
      <c r="AM214" s="0" t="n">
        <v>2</v>
      </c>
      <c r="AN214" s="3" t="s">
        <v>98</v>
      </c>
      <c r="AO214" s="0" t="n">
        <v>0</v>
      </c>
      <c r="AP214" s="0" t="n">
        <v>0</v>
      </c>
      <c r="AQ214" s="0" t="n">
        <v>0</v>
      </c>
      <c r="AR214" s="0" t="n">
        <v>5</v>
      </c>
      <c r="AS214" s="0" t="n">
        <v>5</v>
      </c>
      <c r="AT214" s="0" t="n">
        <v>32</v>
      </c>
      <c r="AU214" s="3" t="s">
        <v>161</v>
      </c>
      <c r="AV214" s="3" t="s">
        <v>1045</v>
      </c>
      <c r="AX214" s="3" t="s">
        <v>101</v>
      </c>
      <c r="AY214" s="3" t="s">
        <v>565</v>
      </c>
      <c r="AZ214" s="3" t="s">
        <v>1212</v>
      </c>
      <c r="BA214" s="0" t="n">
        <v>0</v>
      </c>
      <c r="BB214" s="0" t="n">
        <v>0</v>
      </c>
      <c r="BC214" s="0" t="n">
        <v>0</v>
      </c>
      <c r="BF214" s="0" t="n">
        <v>128</v>
      </c>
      <c r="BG214" s="0" t="n">
        <v>0</v>
      </c>
      <c r="BH214" s="0" t="n">
        <v>0</v>
      </c>
      <c r="BI214" s="3" t="s">
        <v>116</v>
      </c>
      <c r="BK214" s="0" t="n">
        <v>0</v>
      </c>
      <c r="BL214" s="0" t="n">
        <v>0</v>
      </c>
      <c r="BM214" s="0" t="n">
        <v>0</v>
      </c>
      <c r="BN214" s="0" t="n">
        <v>0</v>
      </c>
      <c r="BO214" s="0" t="n">
        <v>0</v>
      </c>
      <c r="BP214" s="0" t="n">
        <v>0</v>
      </c>
      <c r="BQ214" s="0" t="n">
        <v>0</v>
      </c>
      <c r="BR214" s="0" t="n">
        <v>0</v>
      </c>
      <c r="CC214" s="0" t="n">
        <v>8.25630550176662</v>
      </c>
      <c r="CD214" s="0" t="n">
        <v>4.94821634062134</v>
      </c>
      <c r="CG214" s="0" t="n">
        <v>2</v>
      </c>
      <c r="CH214" s="3" t="s">
        <v>1213</v>
      </c>
      <c r="CI214" s="3" t="s">
        <v>1040</v>
      </c>
    </row>
    <row r="215" customFormat="false" ht="14.25" hidden="false" customHeight="false" outlineLevel="0" collapsed="false">
      <c r="A215" s="0" t="s">
        <v>1214</v>
      </c>
      <c r="B215" s="0" t="s">
        <v>1215</v>
      </c>
      <c r="C215" s="0" t="s">
        <v>843</v>
      </c>
      <c r="D215" s="0" t="s">
        <v>844</v>
      </c>
      <c r="E215" s="0" t="n">
        <v>0</v>
      </c>
      <c r="F215" s="0" t="s">
        <v>91</v>
      </c>
      <c r="I215" s="0" t="n">
        <v>2016</v>
      </c>
      <c r="K215" s="0" t="s">
        <v>92</v>
      </c>
      <c r="L215" s="4" t="n">
        <v>46295</v>
      </c>
      <c r="M215" s="0" t="n">
        <v>128</v>
      </c>
      <c r="N215" s="0" t="n">
        <v>10.67</v>
      </c>
      <c r="O215" s="3" t="s">
        <v>1216</v>
      </c>
      <c r="P215" s="3" t="s">
        <v>446</v>
      </c>
      <c r="Q215" s="3" t="s">
        <v>1217</v>
      </c>
      <c r="R215" s="0" t="n">
        <v>1</v>
      </c>
      <c r="S215" s="0" t="n">
        <v>1</v>
      </c>
      <c r="T215" s="0" t="n">
        <v>1</v>
      </c>
      <c r="U215" s="0" t="n">
        <v>0</v>
      </c>
      <c r="V215" s="0" t="n">
        <v>0</v>
      </c>
      <c r="W215" s="0" t="n">
        <v>0</v>
      </c>
      <c r="Y215" s="0" t="n">
        <v>3</v>
      </c>
      <c r="Z215" s="0" t="n">
        <v>1</v>
      </c>
      <c r="AA215" s="0" t="n">
        <v>1</v>
      </c>
      <c r="AB215" s="3" t="s">
        <v>1218</v>
      </c>
      <c r="AC215" s="0" t="n">
        <v>0</v>
      </c>
      <c r="AF215" s="0" t="n">
        <v>2</v>
      </c>
      <c r="AG215" s="0" t="n">
        <v>2</v>
      </c>
      <c r="AH215" s="0" t="n">
        <v>0</v>
      </c>
      <c r="AI215" s="0" t="n">
        <v>0</v>
      </c>
      <c r="AJ215" s="0" t="n">
        <v>0</v>
      </c>
      <c r="AK215" s="0" t="n">
        <v>0</v>
      </c>
      <c r="AM215" s="0" t="n">
        <v>2</v>
      </c>
      <c r="AN215" s="3" t="s">
        <v>98</v>
      </c>
      <c r="AO215" s="0" t="n">
        <v>0</v>
      </c>
      <c r="AP215" s="0" t="n">
        <v>0</v>
      </c>
      <c r="AQ215" s="0" t="n">
        <v>0</v>
      </c>
      <c r="AR215" s="0" t="n">
        <v>10</v>
      </c>
      <c r="AS215" s="0" t="n">
        <v>10</v>
      </c>
      <c r="AX215" s="3" t="s">
        <v>101</v>
      </c>
      <c r="AY215" s="3" t="s">
        <v>565</v>
      </c>
      <c r="AZ215" s="3" t="s">
        <v>1219</v>
      </c>
      <c r="BA215" s="0" t="n">
        <v>0</v>
      </c>
      <c r="BB215" s="0" t="n">
        <v>0</v>
      </c>
      <c r="BC215" s="0" t="n">
        <v>0</v>
      </c>
      <c r="BF215" s="0" t="n">
        <v>128</v>
      </c>
      <c r="BG215" s="0" t="n">
        <v>0</v>
      </c>
      <c r="BH215" s="0" t="n">
        <v>0</v>
      </c>
      <c r="BI215" s="3" t="s">
        <v>116</v>
      </c>
      <c r="BK215" s="0" t="n">
        <v>0</v>
      </c>
      <c r="BL215" s="0" t="n">
        <v>0</v>
      </c>
      <c r="BM215" s="0" t="n">
        <v>0</v>
      </c>
      <c r="BN215" s="0" t="n">
        <v>0</v>
      </c>
      <c r="BO215" s="0" t="n">
        <v>0</v>
      </c>
      <c r="BP215" s="0" t="n">
        <v>0</v>
      </c>
      <c r="BQ215" s="0" t="n">
        <v>0</v>
      </c>
      <c r="BR215" s="0" t="n">
        <v>0</v>
      </c>
      <c r="CC215" s="0" t="n">
        <v>6.57383828511043</v>
      </c>
      <c r="CD215" s="0" t="n">
        <v>3.7651191635658</v>
      </c>
      <c r="CG215" s="0" t="n">
        <v>2</v>
      </c>
      <c r="CH215" s="3" t="s">
        <v>1220</v>
      </c>
      <c r="CI215" s="3" t="s">
        <v>1040</v>
      </c>
    </row>
    <row r="216" customFormat="false" ht="14.25" hidden="false" customHeight="false" outlineLevel="0" collapsed="false">
      <c r="A216" s="0" t="s">
        <v>1221</v>
      </c>
      <c r="B216" s="0" t="s">
        <v>1222</v>
      </c>
      <c r="C216" s="0" t="s">
        <v>843</v>
      </c>
      <c r="D216" s="0" t="s">
        <v>844</v>
      </c>
      <c r="E216" s="0" t="n">
        <v>0</v>
      </c>
      <c r="F216" s="0" t="s">
        <v>91</v>
      </c>
      <c r="I216" s="0" t="n">
        <v>2021</v>
      </c>
      <c r="K216" s="0" t="s">
        <v>92</v>
      </c>
      <c r="L216" s="4" t="n">
        <v>46295</v>
      </c>
      <c r="M216" s="0" t="n">
        <v>68</v>
      </c>
      <c r="N216" s="0" t="n">
        <v>5.67</v>
      </c>
      <c r="O216" s="3" t="s">
        <v>1223</v>
      </c>
      <c r="P216" s="3" t="s">
        <v>446</v>
      </c>
      <c r="Q216" s="3" t="s">
        <v>1224</v>
      </c>
      <c r="R216" s="0" t="n">
        <v>1</v>
      </c>
      <c r="S216" s="0" t="n">
        <v>1</v>
      </c>
      <c r="T216" s="0" t="n">
        <v>0</v>
      </c>
      <c r="U216" s="0" t="n">
        <v>0</v>
      </c>
      <c r="V216" s="0" t="n">
        <v>1</v>
      </c>
      <c r="W216" s="0" t="n">
        <v>0</v>
      </c>
      <c r="Y216" s="0" t="n">
        <v>3</v>
      </c>
      <c r="Z216" s="0" t="n">
        <v>1</v>
      </c>
      <c r="AA216" s="0" t="n">
        <v>1</v>
      </c>
      <c r="AB216" s="3" t="s">
        <v>1225</v>
      </c>
      <c r="AC216" s="0" t="n">
        <v>0</v>
      </c>
      <c r="AF216" s="0" t="n">
        <v>1</v>
      </c>
      <c r="AG216" s="0" t="n">
        <v>1</v>
      </c>
      <c r="AH216" s="0" t="n">
        <v>0</v>
      </c>
      <c r="AI216" s="0" t="n">
        <v>0</v>
      </c>
      <c r="AJ216" s="0" t="n">
        <v>0</v>
      </c>
      <c r="AK216" s="0" t="n">
        <v>0</v>
      </c>
      <c r="AM216" s="0" t="n">
        <v>1</v>
      </c>
      <c r="AN216" s="3" t="s">
        <v>147</v>
      </c>
      <c r="AO216" s="0" t="n">
        <v>1</v>
      </c>
      <c r="AP216" s="0" t="n">
        <v>1</v>
      </c>
      <c r="AQ216" s="0" t="n">
        <v>0</v>
      </c>
      <c r="AR216" s="0" t="n">
        <v>15</v>
      </c>
      <c r="AS216" s="0" t="n">
        <v>15</v>
      </c>
      <c r="AT216" s="0" t="n">
        <v>149.5</v>
      </c>
      <c r="AU216" s="3" t="s">
        <v>130</v>
      </c>
      <c r="AV216" s="3" t="s">
        <v>1045</v>
      </c>
      <c r="AX216" s="3" t="s">
        <v>101</v>
      </c>
      <c r="AY216" s="3" t="s">
        <v>565</v>
      </c>
      <c r="AZ216" s="3" t="s">
        <v>1226</v>
      </c>
      <c r="BA216" s="0" t="n">
        <v>0</v>
      </c>
      <c r="BB216" s="0" t="n">
        <v>0</v>
      </c>
      <c r="BC216" s="0" t="n">
        <v>0</v>
      </c>
      <c r="BF216" s="0" t="n">
        <v>68</v>
      </c>
      <c r="BG216" s="0" t="n">
        <v>0</v>
      </c>
      <c r="BH216" s="0" t="n">
        <v>0</v>
      </c>
      <c r="BI216" s="3" t="s">
        <v>116</v>
      </c>
      <c r="BK216" s="0" t="n">
        <v>0</v>
      </c>
      <c r="BL216" s="0" t="n">
        <v>0</v>
      </c>
      <c r="BM216" s="0" t="n">
        <v>0</v>
      </c>
      <c r="BN216" s="0" t="n">
        <v>0</v>
      </c>
      <c r="BO216" s="0" t="n">
        <v>0</v>
      </c>
      <c r="BP216" s="0" t="n">
        <v>0</v>
      </c>
      <c r="BQ216" s="0" t="n">
        <v>0</v>
      </c>
      <c r="BR216" s="0" t="n">
        <v>0</v>
      </c>
      <c r="CC216" s="0" t="n">
        <v>6.51388575852702</v>
      </c>
      <c r="CD216" s="0" t="n">
        <v>9.49641577285205</v>
      </c>
      <c r="CG216" s="0" t="n">
        <v>1</v>
      </c>
      <c r="CH216" s="3" t="s">
        <v>1227</v>
      </c>
      <c r="CI216" s="3" t="s">
        <v>1040</v>
      </c>
    </row>
    <row r="217" customFormat="false" ht="14.25" hidden="false" customHeight="false" outlineLevel="0" collapsed="false">
      <c r="A217" s="0" t="s">
        <v>1228</v>
      </c>
      <c r="B217" s="0" t="s">
        <v>1229</v>
      </c>
      <c r="C217" s="0" t="s">
        <v>843</v>
      </c>
      <c r="D217" s="0" t="s">
        <v>878</v>
      </c>
      <c r="E217" s="0" t="n">
        <v>0</v>
      </c>
      <c r="F217" s="0" t="s">
        <v>91</v>
      </c>
      <c r="I217" s="0" t="n">
        <v>2017</v>
      </c>
      <c r="K217" s="0" t="s">
        <v>92</v>
      </c>
      <c r="L217" s="4" t="n">
        <v>46295</v>
      </c>
      <c r="M217" s="0" t="n">
        <v>116</v>
      </c>
      <c r="N217" s="0" t="n">
        <v>9.67</v>
      </c>
      <c r="O217" s="3" t="s">
        <v>1230</v>
      </c>
      <c r="P217" s="3" t="s">
        <v>446</v>
      </c>
      <c r="Q217" s="3" t="s">
        <v>1231</v>
      </c>
      <c r="R217" s="0" t="n">
        <v>1</v>
      </c>
      <c r="S217" s="0" t="n">
        <v>0</v>
      </c>
      <c r="T217" s="0" t="n">
        <v>0</v>
      </c>
      <c r="U217" s="0" t="n">
        <v>0</v>
      </c>
      <c r="V217" s="0" t="n">
        <v>0</v>
      </c>
      <c r="W217" s="0" t="n">
        <v>0</v>
      </c>
      <c r="Y217" s="0" t="n">
        <v>3</v>
      </c>
      <c r="Z217" s="0" t="n">
        <v>1</v>
      </c>
      <c r="AC217" s="0" t="n">
        <v>0</v>
      </c>
      <c r="AF217" s="0" t="n">
        <v>1</v>
      </c>
      <c r="AG217" s="0" t="n">
        <v>1</v>
      </c>
      <c r="AH217" s="0" t="n">
        <v>0</v>
      </c>
      <c r="AI217" s="0" t="n">
        <v>0</v>
      </c>
      <c r="AJ217" s="0" t="n">
        <v>0</v>
      </c>
      <c r="AK217" s="0" t="n">
        <v>0</v>
      </c>
      <c r="AM217" s="0" t="n">
        <v>3</v>
      </c>
      <c r="AN217" s="3" t="s">
        <v>120</v>
      </c>
      <c r="AO217" s="0" t="n">
        <v>1</v>
      </c>
      <c r="AP217" s="0" t="n">
        <v>1</v>
      </c>
      <c r="AQ217" s="0" t="n">
        <v>1</v>
      </c>
      <c r="AR217" s="0" t="n">
        <v>10</v>
      </c>
      <c r="AS217" s="0" t="n">
        <v>10</v>
      </c>
      <c r="AT217" s="0" t="n">
        <v>149.5</v>
      </c>
      <c r="AU217" s="3" t="s">
        <v>130</v>
      </c>
      <c r="AV217" s="3" t="s">
        <v>1045</v>
      </c>
      <c r="AX217" s="3" t="s">
        <v>101</v>
      </c>
      <c r="AY217" s="3" t="s">
        <v>565</v>
      </c>
      <c r="AZ217" s="3" t="s">
        <v>1232</v>
      </c>
      <c r="BA217" s="0" t="n">
        <v>0</v>
      </c>
      <c r="BB217" s="0" t="n">
        <v>0</v>
      </c>
      <c r="BC217" s="0" t="n">
        <v>0</v>
      </c>
      <c r="BF217" s="0" t="n">
        <v>116</v>
      </c>
      <c r="BG217" s="0" t="n">
        <v>0</v>
      </c>
      <c r="BH217" s="0" t="n">
        <v>0</v>
      </c>
      <c r="BI217" s="3" t="s">
        <v>116</v>
      </c>
      <c r="BK217" s="0" t="n">
        <v>0</v>
      </c>
      <c r="BL217" s="0" t="n">
        <v>0</v>
      </c>
      <c r="BM217" s="0" t="n">
        <v>0</v>
      </c>
      <c r="BN217" s="0" t="n">
        <v>0</v>
      </c>
      <c r="BO217" s="0" t="n">
        <v>0</v>
      </c>
      <c r="BP217" s="0" t="n">
        <v>0</v>
      </c>
      <c r="BQ217" s="0" t="n">
        <v>0</v>
      </c>
      <c r="BR217" s="0" t="n">
        <v>0</v>
      </c>
      <c r="CC217" s="0" t="n">
        <v>4.43262590683975</v>
      </c>
      <c r="CD217" s="0" t="n">
        <v>4.08537368032608</v>
      </c>
      <c r="CG217" s="0" t="n">
        <v>2</v>
      </c>
      <c r="CH217" s="3" t="s">
        <v>1233</v>
      </c>
      <c r="CI217" s="3" t="s">
        <v>1040</v>
      </c>
    </row>
    <row r="218" customFormat="false" ht="14.25" hidden="false" customHeight="false" outlineLevel="0" collapsed="false">
      <c r="A218" s="0" t="s">
        <v>1234</v>
      </c>
      <c r="B218" s="0" t="s">
        <v>1235</v>
      </c>
      <c r="C218" s="0" t="s">
        <v>843</v>
      </c>
      <c r="D218" s="0" t="s">
        <v>856</v>
      </c>
      <c r="E218" s="0" t="n">
        <v>0</v>
      </c>
      <c r="F218" s="0" t="s">
        <v>91</v>
      </c>
      <c r="I218" s="0" t="n">
        <v>2014</v>
      </c>
      <c r="K218" s="0" t="s">
        <v>92</v>
      </c>
      <c r="L218" s="4" t="n">
        <v>46295</v>
      </c>
      <c r="M218" s="0" t="n">
        <v>152</v>
      </c>
      <c r="N218" s="0" t="n">
        <v>12.67</v>
      </c>
      <c r="O218" s="3" t="s">
        <v>1236</v>
      </c>
      <c r="P218" s="3" t="s">
        <v>446</v>
      </c>
      <c r="Q218" s="3" t="s">
        <v>1237</v>
      </c>
      <c r="R218" s="0" t="n">
        <v>1</v>
      </c>
      <c r="S218" s="0" t="n">
        <v>0</v>
      </c>
      <c r="T218" s="0" t="n">
        <v>0</v>
      </c>
      <c r="U218" s="0" t="n">
        <v>0</v>
      </c>
      <c r="V218" s="0" t="n">
        <v>0</v>
      </c>
      <c r="W218" s="0" t="n">
        <v>0</v>
      </c>
      <c r="Y218" s="0" t="n">
        <v>3</v>
      </c>
      <c r="Z218" s="0" t="n">
        <v>1</v>
      </c>
      <c r="AC218" s="0" t="n">
        <v>0</v>
      </c>
      <c r="AF218" s="0" t="n">
        <v>1</v>
      </c>
      <c r="AG218" s="0" t="n">
        <v>1</v>
      </c>
      <c r="AH218" s="0" t="n">
        <v>0</v>
      </c>
      <c r="AI218" s="0" t="n">
        <v>0</v>
      </c>
      <c r="AJ218" s="0" t="n">
        <v>0</v>
      </c>
      <c r="AK218" s="0" t="n">
        <v>0</v>
      </c>
      <c r="AM218" s="0" t="n">
        <v>2</v>
      </c>
      <c r="AN218" s="3" t="s">
        <v>98</v>
      </c>
      <c r="AO218" s="0" t="n">
        <v>0</v>
      </c>
      <c r="AP218" s="0" t="n">
        <v>0</v>
      </c>
      <c r="AQ218" s="0" t="n">
        <v>0</v>
      </c>
      <c r="AR218" s="0" t="n">
        <v>5</v>
      </c>
      <c r="AS218" s="0" t="n">
        <v>5</v>
      </c>
      <c r="AT218" s="0" t="n">
        <v>149.5</v>
      </c>
      <c r="AU218" s="3" t="s">
        <v>130</v>
      </c>
      <c r="AV218" s="3" t="s">
        <v>1045</v>
      </c>
      <c r="AX218" s="3" t="s">
        <v>101</v>
      </c>
      <c r="AY218" s="3" t="s">
        <v>565</v>
      </c>
      <c r="AZ218" s="3" t="s">
        <v>1238</v>
      </c>
      <c r="BA218" s="0" t="n">
        <v>0</v>
      </c>
      <c r="BB218" s="0" t="n">
        <v>0</v>
      </c>
      <c r="BC218" s="0" t="n">
        <v>0</v>
      </c>
      <c r="BF218" s="0" t="n">
        <v>152</v>
      </c>
      <c r="BG218" s="0" t="n">
        <v>0</v>
      </c>
      <c r="BH218" s="0" t="n">
        <v>0</v>
      </c>
      <c r="BI218" s="3" t="s">
        <v>116</v>
      </c>
      <c r="BK218" s="0" t="n">
        <v>0</v>
      </c>
      <c r="BL218" s="0" t="n">
        <v>0</v>
      </c>
      <c r="BM218" s="0" t="n">
        <v>0</v>
      </c>
      <c r="BN218" s="0" t="n">
        <v>0</v>
      </c>
      <c r="BO218" s="0" t="n">
        <v>0</v>
      </c>
      <c r="BP218" s="0" t="n">
        <v>0</v>
      </c>
      <c r="BQ218" s="0" t="n">
        <v>0</v>
      </c>
      <c r="BR218" s="0" t="n">
        <v>0</v>
      </c>
      <c r="CC218" s="0" t="n">
        <v>4.11642817161422</v>
      </c>
      <c r="CD218" s="0" t="n">
        <v>7.18938402847027</v>
      </c>
      <c r="CG218" s="0" t="n">
        <v>2</v>
      </c>
      <c r="CH218" s="3" t="s">
        <v>1239</v>
      </c>
      <c r="CI218" s="3" t="s">
        <v>1040</v>
      </c>
    </row>
    <row r="219" customFormat="false" ht="14.25" hidden="false" customHeight="false" outlineLevel="0" collapsed="false">
      <c r="A219" s="0" t="s">
        <v>1240</v>
      </c>
      <c r="B219" s="0" t="s">
        <v>1241</v>
      </c>
      <c r="C219" s="0" t="s">
        <v>843</v>
      </c>
      <c r="D219" s="0" t="s">
        <v>1242</v>
      </c>
      <c r="E219" s="0" t="n">
        <v>0</v>
      </c>
      <c r="F219" s="0" t="s">
        <v>91</v>
      </c>
      <c r="I219" s="0" t="n">
        <v>2017</v>
      </c>
      <c r="J219" s="0" t="n">
        <v>2</v>
      </c>
      <c r="K219" s="0" t="s">
        <v>133</v>
      </c>
      <c r="L219" s="4" t="n">
        <v>46295</v>
      </c>
      <c r="M219" s="0" t="n">
        <v>115</v>
      </c>
      <c r="N219" s="0" t="n">
        <v>9.58</v>
      </c>
      <c r="O219" s="3" t="s">
        <v>1243</v>
      </c>
      <c r="P219" s="3" t="s">
        <v>446</v>
      </c>
      <c r="Q219" s="3" t="s">
        <v>1244</v>
      </c>
      <c r="R219" s="0" t="n">
        <v>1</v>
      </c>
      <c r="S219" s="0" t="n">
        <v>0</v>
      </c>
      <c r="T219" s="0" t="n">
        <v>0</v>
      </c>
      <c r="U219" s="0" t="n">
        <v>0</v>
      </c>
      <c r="V219" s="0" t="n">
        <v>0</v>
      </c>
      <c r="W219" s="0" t="n">
        <v>0</v>
      </c>
      <c r="Y219" s="0" t="n">
        <v>2</v>
      </c>
      <c r="Z219" s="0" t="n">
        <v>1</v>
      </c>
      <c r="AC219" s="0" t="n">
        <v>0</v>
      </c>
      <c r="AF219" s="0" t="n">
        <v>1</v>
      </c>
      <c r="AG219" s="0" t="n">
        <v>1</v>
      </c>
      <c r="AH219" s="0" t="n">
        <v>0</v>
      </c>
      <c r="AI219" s="0" t="n">
        <v>0</v>
      </c>
      <c r="AJ219" s="0" t="n">
        <v>0</v>
      </c>
      <c r="AK219" s="0" t="n">
        <v>0</v>
      </c>
      <c r="AM219" s="0" t="n">
        <v>2</v>
      </c>
      <c r="AN219" s="3" t="s">
        <v>98</v>
      </c>
      <c r="AO219" s="0" t="n">
        <v>1</v>
      </c>
      <c r="AP219" s="0" t="n">
        <v>1</v>
      </c>
      <c r="AQ219" s="0" t="n">
        <v>0</v>
      </c>
      <c r="AR219" s="0" t="n">
        <v>2</v>
      </c>
      <c r="AS219" s="0" t="n">
        <v>2</v>
      </c>
      <c r="AT219" s="0" t="n">
        <v>5.5</v>
      </c>
      <c r="AU219" s="3" t="s">
        <v>155</v>
      </c>
      <c r="AV219" s="3" t="s">
        <v>1045</v>
      </c>
      <c r="AX219" s="3" t="s">
        <v>101</v>
      </c>
      <c r="AY219" s="3" t="s">
        <v>565</v>
      </c>
      <c r="AZ219" s="3" t="s">
        <v>1245</v>
      </c>
      <c r="BA219" s="0" t="n">
        <v>0</v>
      </c>
      <c r="BB219" s="0" t="n">
        <v>0</v>
      </c>
      <c r="BC219" s="0" t="n">
        <v>0</v>
      </c>
      <c r="BF219" s="0" t="n">
        <v>115</v>
      </c>
      <c r="BG219" s="0" t="n">
        <v>0</v>
      </c>
      <c r="BH219" s="0" t="n">
        <v>0</v>
      </c>
      <c r="BI219" s="3" t="s">
        <v>116</v>
      </c>
      <c r="BK219" s="0" t="n">
        <v>0</v>
      </c>
      <c r="BL219" s="0" t="n">
        <v>0</v>
      </c>
      <c r="BM219" s="0" t="n">
        <v>0</v>
      </c>
      <c r="BN219" s="0" t="n">
        <v>0</v>
      </c>
      <c r="BO219" s="0" t="n">
        <v>0</v>
      </c>
      <c r="BP219" s="0" t="n">
        <v>0</v>
      </c>
      <c r="BQ219" s="0" t="n">
        <v>0</v>
      </c>
      <c r="BR219" s="0" t="n">
        <v>0</v>
      </c>
      <c r="CC219" s="0" t="n">
        <v>4.43262590683975</v>
      </c>
      <c r="CD219" s="0" t="n">
        <v>4.08537368032608</v>
      </c>
      <c r="CG219" s="0" t="n">
        <v>2</v>
      </c>
      <c r="CH219" s="3" t="s">
        <v>1246</v>
      </c>
      <c r="CI219" s="3" t="s">
        <v>1040</v>
      </c>
    </row>
    <row r="220" customFormat="false" ht="14.25" hidden="false" customHeight="false" outlineLevel="0" collapsed="false">
      <c r="A220" s="0" t="s">
        <v>1247</v>
      </c>
      <c r="B220" s="0" t="s">
        <v>1248</v>
      </c>
      <c r="C220" s="0" t="s">
        <v>843</v>
      </c>
      <c r="D220" s="0" t="s">
        <v>878</v>
      </c>
      <c r="E220" s="0" t="n">
        <v>0</v>
      </c>
      <c r="F220" s="0" t="s">
        <v>91</v>
      </c>
      <c r="I220" s="0" t="n">
        <v>2022</v>
      </c>
      <c r="K220" s="0" t="s">
        <v>92</v>
      </c>
      <c r="L220" s="4" t="n">
        <v>46295</v>
      </c>
      <c r="M220" s="0" t="n">
        <v>56</v>
      </c>
      <c r="N220" s="0" t="n">
        <v>4.67</v>
      </c>
      <c r="O220" s="3" t="s">
        <v>1249</v>
      </c>
      <c r="P220" s="3" t="s">
        <v>446</v>
      </c>
      <c r="Q220" s="3" t="s">
        <v>1250</v>
      </c>
      <c r="R220" s="0" t="n">
        <v>1</v>
      </c>
      <c r="S220" s="0" t="n">
        <v>0</v>
      </c>
      <c r="T220" s="0" t="n">
        <v>0</v>
      </c>
      <c r="U220" s="0" t="n">
        <v>0</v>
      </c>
      <c r="V220" s="0" t="n">
        <v>0</v>
      </c>
      <c r="W220" s="0" t="n">
        <v>0</v>
      </c>
      <c r="Y220" s="0" t="n">
        <v>3</v>
      </c>
      <c r="Z220" s="0" t="n">
        <v>1</v>
      </c>
      <c r="AC220" s="0" t="n">
        <v>0</v>
      </c>
      <c r="AF220" s="0" t="n">
        <v>2</v>
      </c>
      <c r="AG220" s="0" t="n">
        <v>1</v>
      </c>
      <c r="AH220" s="0" t="n">
        <v>0</v>
      </c>
      <c r="AI220" s="0" t="n">
        <v>0</v>
      </c>
      <c r="AJ220" s="0" t="n">
        <v>0</v>
      </c>
      <c r="AK220" s="0" t="n">
        <v>0</v>
      </c>
      <c r="AM220" s="0" t="n">
        <v>1</v>
      </c>
      <c r="AN220" s="3" t="s">
        <v>147</v>
      </c>
      <c r="AO220" s="0" t="n">
        <v>1</v>
      </c>
      <c r="AP220" s="0" t="n">
        <v>1</v>
      </c>
      <c r="AQ220" s="0" t="n">
        <v>0</v>
      </c>
      <c r="AR220" s="0" t="n">
        <v>5</v>
      </c>
      <c r="AS220" s="0" t="n">
        <v>5</v>
      </c>
      <c r="AT220" s="0" t="n">
        <v>29.5</v>
      </c>
      <c r="AU220" s="3" t="s">
        <v>161</v>
      </c>
      <c r="AV220" s="3" t="s">
        <v>1045</v>
      </c>
      <c r="AX220" s="3" t="s">
        <v>101</v>
      </c>
      <c r="AY220" s="3" t="s">
        <v>565</v>
      </c>
      <c r="AZ220" s="3" t="s">
        <v>1251</v>
      </c>
      <c r="BA220" s="0" t="n">
        <v>0</v>
      </c>
      <c r="BB220" s="0" t="n">
        <v>0</v>
      </c>
      <c r="BC220" s="0" t="n">
        <v>0</v>
      </c>
      <c r="BF220" s="0" t="n">
        <v>56</v>
      </c>
      <c r="BG220" s="0" t="n">
        <v>0</v>
      </c>
      <c r="BH220" s="0" t="n">
        <v>0</v>
      </c>
      <c r="BI220" s="3" t="s">
        <v>116</v>
      </c>
      <c r="BK220" s="0" t="n">
        <v>0</v>
      </c>
      <c r="BL220" s="0" t="n">
        <v>0</v>
      </c>
      <c r="BM220" s="0" t="n">
        <v>0</v>
      </c>
      <c r="BN220" s="0" t="n">
        <v>0</v>
      </c>
      <c r="BO220" s="0" t="n">
        <v>0</v>
      </c>
      <c r="BP220" s="0" t="n">
        <v>0</v>
      </c>
      <c r="BQ220" s="0" t="n">
        <v>0</v>
      </c>
      <c r="BR220" s="0" t="n">
        <v>0</v>
      </c>
      <c r="CC220" s="0" t="n">
        <v>4.7781068690358</v>
      </c>
      <c r="CD220" s="0" t="n">
        <v>19.8738599646655</v>
      </c>
      <c r="CG220" s="0" t="n">
        <v>2</v>
      </c>
      <c r="CH220" s="3" t="s">
        <v>1252</v>
      </c>
      <c r="CI220" s="3" t="s">
        <v>1040</v>
      </c>
    </row>
    <row r="221" customFormat="false" ht="14.25" hidden="false" customHeight="false" outlineLevel="0" collapsed="false">
      <c r="A221" s="0" t="s">
        <v>1253</v>
      </c>
      <c r="B221" s="0" t="s">
        <v>1254</v>
      </c>
      <c r="C221" s="0" t="s">
        <v>843</v>
      </c>
      <c r="D221" s="0" t="s">
        <v>1255</v>
      </c>
      <c r="E221" s="0" t="n">
        <v>0</v>
      </c>
      <c r="F221" s="0" t="s">
        <v>91</v>
      </c>
      <c r="I221" s="0" t="n">
        <v>2010</v>
      </c>
      <c r="K221" s="0" t="s">
        <v>92</v>
      </c>
      <c r="L221" s="4" t="n">
        <v>46295</v>
      </c>
      <c r="M221" s="0" t="n">
        <v>200</v>
      </c>
      <c r="N221" s="0" t="n">
        <v>16.67</v>
      </c>
      <c r="O221" s="3" t="s">
        <v>1256</v>
      </c>
      <c r="P221" s="3" t="s">
        <v>267</v>
      </c>
      <c r="Q221" s="3" t="s">
        <v>1257</v>
      </c>
      <c r="R221" s="0" t="n">
        <v>1</v>
      </c>
      <c r="S221" s="0" t="n">
        <v>0</v>
      </c>
      <c r="T221" s="0" t="n">
        <v>0</v>
      </c>
      <c r="U221" s="0" t="n">
        <v>0</v>
      </c>
      <c r="V221" s="0" t="n">
        <v>0</v>
      </c>
      <c r="W221" s="0" t="n">
        <v>0</v>
      </c>
      <c r="Y221" s="0" t="n">
        <v>3</v>
      </c>
      <c r="Z221" s="0" t="n">
        <v>1</v>
      </c>
      <c r="AC221" s="0" t="n">
        <v>0</v>
      </c>
      <c r="AF221" s="0" t="n">
        <v>1</v>
      </c>
      <c r="AG221" s="0" t="n">
        <v>1</v>
      </c>
      <c r="AH221" s="0" t="n">
        <v>0</v>
      </c>
      <c r="AI221" s="0" t="n">
        <v>0</v>
      </c>
      <c r="AJ221" s="0" t="n">
        <v>0</v>
      </c>
      <c r="AK221" s="0" t="n">
        <v>0</v>
      </c>
      <c r="AM221" s="0" t="n">
        <v>1</v>
      </c>
      <c r="AN221" s="3" t="s">
        <v>147</v>
      </c>
      <c r="AO221" s="0" t="n">
        <v>0</v>
      </c>
      <c r="AP221" s="0" t="n">
        <v>0</v>
      </c>
      <c r="AQ221" s="0" t="n">
        <v>0</v>
      </c>
      <c r="AR221" s="0" t="n">
        <v>4</v>
      </c>
      <c r="AS221" s="0" t="n">
        <v>4</v>
      </c>
      <c r="AT221" s="0" t="n">
        <v>29.5</v>
      </c>
      <c r="AU221" s="3" t="s">
        <v>161</v>
      </c>
      <c r="AV221" s="3" t="s">
        <v>1045</v>
      </c>
      <c r="AX221" s="3" t="s">
        <v>101</v>
      </c>
      <c r="AY221" s="3" t="s">
        <v>565</v>
      </c>
      <c r="AZ221" s="3" t="s">
        <v>1258</v>
      </c>
      <c r="BA221" s="0" t="n">
        <v>0</v>
      </c>
      <c r="BB221" s="0" t="n">
        <v>0</v>
      </c>
      <c r="BC221" s="0" t="n">
        <v>0</v>
      </c>
      <c r="BF221" s="0" t="n">
        <v>200</v>
      </c>
      <c r="BG221" s="0" t="n">
        <v>0</v>
      </c>
      <c r="BH221" s="0" t="n">
        <v>0</v>
      </c>
      <c r="BI221" s="3" t="s">
        <v>116</v>
      </c>
      <c r="BK221" s="0" t="n">
        <v>0</v>
      </c>
      <c r="BL221" s="0" t="n">
        <v>0</v>
      </c>
      <c r="BM221" s="0" t="n">
        <v>0</v>
      </c>
      <c r="BN221" s="0" t="n">
        <v>0</v>
      </c>
      <c r="BO221" s="0" t="n">
        <v>0</v>
      </c>
      <c r="BP221" s="0" t="n">
        <v>0</v>
      </c>
      <c r="BQ221" s="0" t="n">
        <v>0</v>
      </c>
      <c r="BR221" s="0" t="n">
        <v>0</v>
      </c>
      <c r="CC221" s="0" t="n">
        <v>1.50171752152883</v>
      </c>
      <c r="CD221" s="0" t="n">
        <v>12.9388705634889</v>
      </c>
      <c r="CG221" s="0" t="n">
        <v>2</v>
      </c>
      <c r="CH221" s="3" t="s">
        <v>1259</v>
      </c>
      <c r="CI221" s="3" t="s">
        <v>1040</v>
      </c>
    </row>
    <row r="222" customFormat="false" ht="14.25" hidden="false" customHeight="false" outlineLevel="0" collapsed="false">
      <c r="A222" s="0" t="s">
        <v>1260</v>
      </c>
      <c r="B222" s="0" t="s">
        <v>1261</v>
      </c>
      <c r="C222" s="0" t="s">
        <v>843</v>
      </c>
      <c r="D222" s="0" t="s">
        <v>856</v>
      </c>
      <c r="E222" s="0" t="n">
        <v>0</v>
      </c>
      <c r="F222" s="0" t="s">
        <v>91</v>
      </c>
      <c r="I222" s="0" t="n">
        <v>2015</v>
      </c>
      <c r="K222" s="0" t="s">
        <v>92</v>
      </c>
      <c r="L222" s="4" t="n">
        <v>46295</v>
      </c>
      <c r="M222" s="0" t="n">
        <v>140</v>
      </c>
      <c r="N222" s="0" t="n">
        <v>11.67</v>
      </c>
      <c r="O222" s="3" t="s">
        <v>1262</v>
      </c>
      <c r="P222" s="3" t="s">
        <v>446</v>
      </c>
      <c r="Q222" s="3" t="s">
        <v>1263</v>
      </c>
      <c r="R222" s="0" t="n">
        <v>1</v>
      </c>
      <c r="S222" s="0" t="n">
        <v>0</v>
      </c>
      <c r="T222" s="0" t="n">
        <v>0</v>
      </c>
      <c r="U222" s="0" t="n">
        <v>0</v>
      </c>
      <c r="V222" s="0" t="n">
        <v>0</v>
      </c>
      <c r="W222" s="0" t="n">
        <v>0</v>
      </c>
      <c r="Y222" s="0" t="n">
        <v>3</v>
      </c>
      <c r="Z222" s="0" t="n">
        <v>1</v>
      </c>
      <c r="AC222" s="0" t="n">
        <v>0</v>
      </c>
      <c r="AF222" s="0" t="n">
        <v>1</v>
      </c>
      <c r="AG222" s="0" t="n">
        <v>1</v>
      </c>
      <c r="AH222" s="0" t="n">
        <v>0</v>
      </c>
      <c r="AI222" s="0" t="n">
        <v>0</v>
      </c>
      <c r="AJ222" s="0" t="n">
        <v>0</v>
      </c>
      <c r="AK222" s="0" t="n">
        <v>0</v>
      </c>
      <c r="AM222" s="0" t="n">
        <v>2</v>
      </c>
      <c r="AN222" s="3" t="s">
        <v>98</v>
      </c>
      <c r="AO222" s="0" t="n">
        <v>1</v>
      </c>
      <c r="AP222" s="0" t="n">
        <v>1</v>
      </c>
      <c r="AQ222" s="0" t="n">
        <v>0</v>
      </c>
      <c r="AR222" s="0" t="n">
        <v>0</v>
      </c>
      <c r="AS222" s="0" t="n">
        <v>0</v>
      </c>
      <c r="AT222" s="0" t="n">
        <v>29.5</v>
      </c>
      <c r="AU222" s="3" t="s">
        <v>161</v>
      </c>
      <c r="AV222" s="3" t="s">
        <v>1045</v>
      </c>
      <c r="AX222" s="3" t="s">
        <v>101</v>
      </c>
      <c r="AY222" s="3" t="s">
        <v>565</v>
      </c>
      <c r="AZ222" s="3" t="s">
        <v>1264</v>
      </c>
      <c r="BA222" s="0" t="n">
        <v>0</v>
      </c>
      <c r="BB222" s="0" t="n">
        <v>0</v>
      </c>
      <c r="BC222" s="0" t="n">
        <v>0</v>
      </c>
      <c r="BF222" s="0" t="n">
        <v>140</v>
      </c>
      <c r="BG222" s="0" t="n">
        <v>0</v>
      </c>
      <c r="BH222" s="0" t="n">
        <v>0</v>
      </c>
      <c r="BI222" s="3" t="s">
        <v>116</v>
      </c>
      <c r="BK222" s="0" t="n">
        <v>0</v>
      </c>
      <c r="BL222" s="0" t="n">
        <v>0</v>
      </c>
      <c r="BM222" s="0" t="n">
        <v>0</v>
      </c>
      <c r="BN222" s="0" t="n">
        <v>0</v>
      </c>
      <c r="BO222" s="0" t="n">
        <v>0</v>
      </c>
      <c r="BP222" s="0" t="n">
        <v>0</v>
      </c>
      <c r="BQ222" s="0" t="n">
        <v>0</v>
      </c>
      <c r="BR222" s="0" t="n">
        <v>0</v>
      </c>
      <c r="CC222" s="0" t="n">
        <v>4.21794209572506</v>
      </c>
      <c r="CD222" s="0" t="n">
        <v>2.52932817254228</v>
      </c>
      <c r="CG222" s="0" t="n">
        <v>2</v>
      </c>
      <c r="CH222" s="3" t="s">
        <v>1265</v>
      </c>
      <c r="CI222" s="3" t="s">
        <v>1040</v>
      </c>
    </row>
    <row r="223" customFormat="false" ht="14.25" hidden="false" customHeight="false" outlineLevel="0" collapsed="false">
      <c r="A223" s="0" t="s">
        <v>1266</v>
      </c>
      <c r="B223" s="0" t="s">
        <v>1267</v>
      </c>
      <c r="C223" s="0" t="s">
        <v>843</v>
      </c>
      <c r="D223" s="0" t="s">
        <v>844</v>
      </c>
      <c r="E223" s="0" t="n">
        <v>0</v>
      </c>
      <c r="F223" s="0" t="s">
        <v>91</v>
      </c>
      <c r="I223" s="0" t="n">
        <v>2012</v>
      </c>
      <c r="K223" s="0" t="s">
        <v>92</v>
      </c>
      <c r="L223" s="4" t="n">
        <v>46295</v>
      </c>
      <c r="M223" s="0" t="n">
        <v>176</v>
      </c>
      <c r="N223" s="0" t="n">
        <v>14.67</v>
      </c>
      <c r="O223" s="3" t="s">
        <v>1268</v>
      </c>
      <c r="P223" s="3" t="s">
        <v>327</v>
      </c>
      <c r="Q223" s="3" t="s">
        <v>1269</v>
      </c>
      <c r="R223" s="0" t="n">
        <v>1</v>
      </c>
      <c r="S223" s="0" t="n">
        <v>0</v>
      </c>
      <c r="T223" s="0" t="n">
        <v>0</v>
      </c>
      <c r="U223" s="0" t="n">
        <v>0</v>
      </c>
      <c r="V223" s="0" t="n">
        <v>0</v>
      </c>
      <c r="W223" s="0" t="n">
        <v>0</v>
      </c>
      <c r="Y223" s="0" t="n">
        <v>3</v>
      </c>
      <c r="Z223" s="0" t="n">
        <v>1</v>
      </c>
      <c r="AC223" s="0" t="n">
        <v>0</v>
      </c>
      <c r="AF223" s="0" t="n">
        <v>1</v>
      </c>
      <c r="AG223" s="0" t="n">
        <v>0</v>
      </c>
      <c r="AH223" s="0" t="n">
        <v>1</v>
      </c>
      <c r="AI223" s="0" t="n">
        <v>1</v>
      </c>
      <c r="AJ223" s="0" t="n">
        <v>1</v>
      </c>
      <c r="AK223" s="0" t="n">
        <v>0</v>
      </c>
      <c r="AM223" s="0" t="n">
        <v>2</v>
      </c>
      <c r="AN223" s="3" t="s">
        <v>98</v>
      </c>
      <c r="AO223" s="0" t="n">
        <v>1</v>
      </c>
      <c r="AP223" s="0" t="n">
        <v>1</v>
      </c>
      <c r="AQ223" s="0" t="n">
        <v>0</v>
      </c>
      <c r="AR223" s="0" t="n">
        <v>13</v>
      </c>
      <c r="AS223" s="0" t="n">
        <v>13</v>
      </c>
      <c r="AT223" s="0" t="n">
        <v>29.5</v>
      </c>
      <c r="AU223" s="3" t="s">
        <v>161</v>
      </c>
      <c r="AV223" s="3" t="s">
        <v>1045</v>
      </c>
      <c r="AX223" s="3" t="s">
        <v>101</v>
      </c>
      <c r="AY223" s="3" t="s">
        <v>565</v>
      </c>
      <c r="AZ223" s="3" t="s">
        <v>1270</v>
      </c>
      <c r="BA223" s="0" t="n">
        <v>0</v>
      </c>
      <c r="BB223" s="0" t="n">
        <v>0</v>
      </c>
      <c r="BC223" s="0" t="n">
        <v>0</v>
      </c>
      <c r="BF223" s="0" t="n">
        <v>176</v>
      </c>
      <c r="BG223" s="0" t="n">
        <v>0</v>
      </c>
      <c r="BH223" s="0" t="n">
        <v>0</v>
      </c>
      <c r="BI223" s="3" t="s">
        <v>116</v>
      </c>
      <c r="BK223" s="0" t="n">
        <v>0</v>
      </c>
      <c r="BL223" s="0" t="n">
        <v>0</v>
      </c>
      <c r="BM223" s="0" t="n">
        <v>0</v>
      </c>
      <c r="BN223" s="0" t="n">
        <v>0</v>
      </c>
      <c r="BO223" s="0" t="n">
        <v>0</v>
      </c>
      <c r="BP223" s="0" t="n">
        <v>0</v>
      </c>
      <c r="BQ223" s="0" t="n">
        <v>0</v>
      </c>
      <c r="BR223" s="0" t="n">
        <v>0</v>
      </c>
      <c r="CC223" s="0" t="n">
        <v>3.02758391088629</v>
      </c>
      <c r="CD223" s="0" t="n">
        <v>9.68235186055683</v>
      </c>
      <c r="CG223" s="0" t="n">
        <v>2</v>
      </c>
      <c r="CH223" s="3" t="s">
        <v>1271</v>
      </c>
      <c r="CI223" s="3" t="s">
        <v>1040</v>
      </c>
    </row>
    <row r="224" customFormat="false" ht="14.25" hidden="false" customHeight="false" outlineLevel="0" collapsed="false">
      <c r="A224" s="0" t="s">
        <v>1272</v>
      </c>
      <c r="B224" s="0" t="s">
        <v>1273</v>
      </c>
      <c r="C224" s="0" t="s">
        <v>843</v>
      </c>
      <c r="D224" s="0" t="s">
        <v>856</v>
      </c>
      <c r="E224" s="0" t="n">
        <v>0</v>
      </c>
      <c r="F224" s="0" t="s">
        <v>91</v>
      </c>
      <c r="I224" s="0" t="n">
        <v>2019</v>
      </c>
      <c r="K224" s="0" t="s">
        <v>92</v>
      </c>
      <c r="L224" s="4" t="n">
        <v>46295</v>
      </c>
      <c r="M224" s="0" t="n">
        <v>92</v>
      </c>
      <c r="N224" s="0" t="n">
        <v>7.67</v>
      </c>
      <c r="O224" s="3" t="s">
        <v>1274</v>
      </c>
      <c r="P224" s="3" t="s">
        <v>446</v>
      </c>
      <c r="Q224" s="3" t="s">
        <v>1275</v>
      </c>
      <c r="R224" s="0" t="n">
        <v>1</v>
      </c>
      <c r="S224" s="0" t="n">
        <v>0</v>
      </c>
      <c r="T224" s="0" t="n">
        <v>0</v>
      </c>
      <c r="U224" s="0" t="n">
        <v>0</v>
      </c>
      <c r="V224" s="0" t="n">
        <v>0</v>
      </c>
      <c r="W224" s="0" t="n">
        <v>0</v>
      </c>
      <c r="Y224" s="0" t="n">
        <v>3</v>
      </c>
      <c r="Z224" s="0" t="n">
        <v>1</v>
      </c>
      <c r="AC224" s="0" t="n">
        <v>0</v>
      </c>
      <c r="AF224" s="0" t="n">
        <v>1</v>
      </c>
      <c r="AG224" s="0" t="n">
        <v>1</v>
      </c>
      <c r="AH224" s="0" t="n">
        <v>0</v>
      </c>
      <c r="AI224" s="0" t="n">
        <v>0</v>
      </c>
      <c r="AJ224" s="0" t="n">
        <v>0</v>
      </c>
      <c r="AK224" s="0" t="n">
        <v>0</v>
      </c>
      <c r="AM224" s="0" t="n">
        <v>1</v>
      </c>
      <c r="AN224" s="3" t="s">
        <v>147</v>
      </c>
      <c r="AO224" s="0" t="n">
        <v>1</v>
      </c>
      <c r="AP224" s="0" t="n">
        <v>1</v>
      </c>
      <c r="AQ224" s="0" t="n">
        <v>0</v>
      </c>
      <c r="AR224" s="0" t="n">
        <v>4</v>
      </c>
      <c r="AS224" s="0" t="n">
        <v>4</v>
      </c>
      <c r="AT224" s="0" t="n">
        <v>29.5</v>
      </c>
      <c r="AU224" s="3" t="s">
        <v>161</v>
      </c>
      <c r="AV224" s="3" t="s">
        <v>1045</v>
      </c>
      <c r="AX224" s="3" t="s">
        <v>101</v>
      </c>
      <c r="AY224" s="3" t="s">
        <v>565</v>
      </c>
      <c r="AZ224" s="3" t="s">
        <v>1276</v>
      </c>
      <c r="BA224" s="0" t="n">
        <v>0</v>
      </c>
      <c r="BB224" s="0" t="n">
        <v>0</v>
      </c>
      <c r="BC224" s="0" t="n">
        <v>0</v>
      </c>
      <c r="BF224" s="0" t="n">
        <v>92</v>
      </c>
      <c r="BG224" s="0" t="n">
        <v>0</v>
      </c>
      <c r="BH224" s="0" t="n">
        <v>0</v>
      </c>
      <c r="BI224" s="3" t="s">
        <v>116</v>
      </c>
      <c r="BK224" s="0" t="n">
        <v>0</v>
      </c>
      <c r="BL224" s="0" t="n">
        <v>0</v>
      </c>
      <c r="BM224" s="0" t="n">
        <v>0</v>
      </c>
      <c r="BN224" s="0" t="n">
        <v>0</v>
      </c>
      <c r="BO224" s="0" t="n">
        <v>0</v>
      </c>
      <c r="BP224" s="0" t="n">
        <v>0</v>
      </c>
      <c r="BQ224" s="0" t="n">
        <v>0</v>
      </c>
      <c r="BR224" s="0" t="n">
        <v>0</v>
      </c>
      <c r="CC224" s="0" t="n">
        <v>2.49763692943365</v>
      </c>
      <c r="CD224" s="0" t="n">
        <v>10.5780305672024</v>
      </c>
      <c r="CG224" s="0" t="n">
        <v>2</v>
      </c>
      <c r="CH224" s="3" t="s">
        <v>1277</v>
      </c>
      <c r="CI224" s="3" t="s">
        <v>1040</v>
      </c>
    </row>
    <row r="225" customFormat="false" ht="14.25" hidden="false" customHeight="false" outlineLevel="0" collapsed="false">
      <c r="A225" s="0" t="s">
        <v>1278</v>
      </c>
      <c r="B225" s="0" t="s">
        <v>1279</v>
      </c>
      <c r="C225" s="0" t="s">
        <v>843</v>
      </c>
      <c r="D225" s="0" t="s">
        <v>844</v>
      </c>
      <c r="E225" s="0" t="n">
        <v>0</v>
      </c>
      <c r="F225" s="0" t="s">
        <v>91</v>
      </c>
      <c r="I225" s="0" t="n">
        <v>2020</v>
      </c>
      <c r="K225" s="0" t="s">
        <v>92</v>
      </c>
      <c r="L225" s="4" t="n">
        <v>46295</v>
      </c>
      <c r="M225" s="0" t="n">
        <v>80</v>
      </c>
      <c r="N225" s="0" t="n">
        <v>6.67</v>
      </c>
      <c r="O225" s="3" t="s">
        <v>1280</v>
      </c>
      <c r="P225" s="3" t="s">
        <v>446</v>
      </c>
      <c r="Q225" s="3" t="s">
        <v>1281</v>
      </c>
      <c r="R225" s="0" t="n">
        <v>1</v>
      </c>
      <c r="S225" s="0" t="n">
        <v>0</v>
      </c>
      <c r="T225" s="0" t="n">
        <v>0</v>
      </c>
      <c r="U225" s="0" t="n">
        <v>0</v>
      </c>
      <c r="V225" s="0" t="n">
        <v>0</v>
      </c>
      <c r="W225" s="0" t="n">
        <v>0</v>
      </c>
      <c r="Y225" s="0" t="n">
        <v>3</v>
      </c>
      <c r="Z225" s="0" t="n">
        <v>1</v>
      </c>
      <c r="AC225" s="0" t="n">
        <v>0</v>
      </c>
      <c r="AF225" s="0" t="n">
        <v>2</v>
      </c>
      <c r="AG225" s="0" t="n">
        <v>1</v>
      </c>
      <c r="AH225" s="0" t="n">
        <v>0</v>
      </c>
      <c r="AI225" s="0" t="n">
        <v>0</v>
      </c>
      <c r="AJ225" s="0" t="n">
        <v>0</v>
      </c>
      <c r="AK225" s="0" t="n">
        <v>0</v>
      </c>
      <c r="AM225" s="0" t="n">
        <v>1</v>
      </c>
      <c r="AN225" s="3" t="s">
        <v>147</v>
      </c>
      <c r="AO225" s="0" t="n">
        <v>1</v>
      </c>
      <c r="AP225" s="0" t="n">
        <v>1</v>
      </c>
      <c r="AQ225" s="0" t="n">
        <v>0</v>
      </c>
      <c r="AR225" s="0" t="n">
        <v>2</v>
      </c>
      <c r="AS225" s="0" t="n">
        <v>2</v>
      </c>
      <c r="AT225" s="0" t="n">
        <v>29.5</v>
      </c>
      <c r="AU225" s="3" t="s">
        <v>161</v>
      </c>
      <c r="AV225" s="3" t="s">
        <v>1045</v>
      </c>
      <c r="AX225" s="3" t="s">
        <v>101</v>
      </c>
      <c r="AY225" s="3" t="s">
        <v>565</v>
      </c>
      <c r="AZ225" s="3" t="s">
        <v>1282</v>
      </c>
      <c r="BA225" s="0" t="n">
        <v>0</v>
      </c>
      <c r="BB225" s="0" t="n">
        <v>0</v>
      </c>
      <c r="BC225" s="0" t="n">
        <v>0</v>
      </c>
      <c r="BF225" s="0" t="n">
        <v>80</v>
      </c>
      <c r="BG225" s="0" t="n">
        <v>0</v>
      </c>
      <c r="BH225" s="0" t="n">
        <v>0</v>
      </c>
      <c r="BI225" s="3" t="s">
        <v>116</v>
      </c>
      <c r="BK225" s="0" t="n">
        <v>0</v>
      </c>
      <c r="BL225" s="0" t="n">
        <v>0</v>
      </c>
      <c r="BM225" s="0" t="n">
        <v>0</v>
      </c>
      <c r="BN225" s="0" t="n">
        <v>0</v>
      </c>
      <c r="BO225" s="0" t="n">
        <v>0</v>
      </c>
      <c r="BP225" s="0" t="n">
        <v>0</v>
      </c>
      <c r="BQ225" s="0" t="n">
        <v>0</v>
      </c>
      <c r="BR225" s="0" t="n">
        <v>0</v>
      </c>
      <c r="CC225" s="0" t="n">
        <v>-1.27408744338709</v>
      </c>
      <c r="CD225" s="0" t="n">
        <v>9.74011619320125</v>
      </c>
      <c r="CG225" s="0" t="n">
        <v>2</v>
      </c>
      <c r="CH225" s="3" t="s">
        <v>1283</v>
      </c>
      <c r="CI225" s="3" t="s">
        <v>1040</v>
      </c>
    </row>
    <row r="226" customFormat="false" ht="14.25" hidden="false" customHeight="false" outlineLevel="0" collapsed="false">
      <c r="A226" s="0" t="s">
        <v>1284</v>
      </c>
      <c r="B226" s="0" t="s">
        <v>1285</v>
      </c>
      <c r="C226" s="0" t="s">
        <v>843</v>
      </c>
      <c r="D226" s="0" t="s">
        <v>878</v>
      </c>
      <c r="E226" s="0" t="n">
        <v>0</v>
      </c>
      <c r="F226" s="0" t="s">
        <v>91</v>
      </c>
      <c r="I226" s="0" t="n">
        <v>2013</v>
      </c>
      <c r="J226" s="0" t="n">
        <v>7</v>
      </c>
      <c r="K226" s="0" t="s">
        <v>133</v>
      </c>
      <c r="L226" s="4" t="n">
        <v>46295</v>
      </c>
      <c r="M226" s="0" t="n">
        <v>158</v>
      </c>
      <c r="N226" s="0" t="n">
        <v>13.17</v>
      </c>
      <c r="O226" s="3" t="s">
        <v>1286</v>
      </c>
      <c r="P226" s="3" t="s">
        <v>446</v>
      </c>
      <c r="Q226" s="3" t="s">
        <v>1287</v>
      </c>
      <c r="R226" s="0" t="n">
        <v>1</v>
      </c>
      <c r="S226" s="0" t="n">
        <v>0</v>
      </c>
      <c r="T226" s="0" t="n">
        <v>0</v>
      </c>
      <c r="U226" s="0" t="n">
        <v>0</v>
      </c>
      <c r="V226" s="0" t="n">
        <v>0</v>
      </c>
      <c r="W226" s="0" t="n">
        <v>0</v>
      </c>
      <c r="Y226" s="0" t="n">
        <v>3</v>
      </c>
      <c r="Z226" s="0" t="n">
        <v>1</v>
      </c>
      <c r="AC226" s="0" t="n">
        <v>0</v>
      </c>
      <c r="AF226" s="0" t="n">
        <v>6</v>
      </c>
      <c r="AG226" s="0" t="n">
        <v>1</v>
      </c>
      <c r="AH226" s="0" t="n">
        <v>0</v>
      </c>
      <c r="AI226" s="0" t="n">
        <v>0</v>
      </c>
      <c r="AJ226" s="0" t="n">
        <v>0</v>
      </c>
      <c r="AK226" s="0" t="n">
        <v>0</v>
      </c>
      <c r="AM226" s="0" t="n">
        <v>2</v>
      </c>
      <c r="AN226" s="3" t="s">
        <v>98</v>
      </c>
      <c r="AO226" s="0" t="n">
        <v>1</v>
      </c>
      <c r="AP226" s="0" t="n">
        <v>1</v>
      </c>
      <c r="AQ226" s="0" t="n">
        <v>0</v>
      </c>
      <c r="AR226" s="0" t="n">
        <v>1</v>
      </c>
      <c r="AS226" s="0" t="n">
        <v>1</v>
      </c>
      <c r="AT226" s="0" t="n">
        <v>29.5</v>
      </c>
      <c r="AU226" s="3" t="s">
        <v>161</v>
      </c>
      <c r="AV226" s="3" t="s">
        <v>1045</v>
      </c>
      <c r="AX226" s="3" t="s">
        <v>101</v>
      </c>
      <c r="AY226" s="3" t="s">
        <v>565</v>
      </c>
      <c r="AZ226" s="3" t="s">
        <v>1288</v>
      </c>
      <c r="BA226" s="0" t="n">
        <v>0</v>
      </c>
      <c r="BB226" s="0" t="n">
        <v>0</v>
      </c>
      <c r="BC226" s="0" t="n">
        <v>0</v>
      </c>
      <c r="BF226" s="0" t="n">
        <v>158</v>
      </c>
      <c r="BG226" s="0" t="n">
        <v>0</v>
      </c>
      <c r="BH226" s="0" t="n">
        <v>0</v>
      </c>
      <c r="BI226" s="3" t="s">
        <v>116</v>
      </c>
      <c r="BK226" s="0" t="n">
        <v>0</v>
      </c>
      <c r="BL226" s="0" t="n">
        <v>0</v>
      </c>
      <c r="BM226" s="0" t="n">
        <v>0</v>
      </c>
      <c r="BN226" s="0" t="n">
        <v>0</v>
      </c>
      <c r="BO226" s="0" t="n">
        <v>0</v>
      </c>
      <c r="BP226" s="0" t="n">
        <v>0</v>
      </c>
      <c r="BQ226" s="0" t="n">
        <v>0</v>
      </c>
      <c r="BR226" s="0" t="n">
        <v>0</v>
      </c>
      <c r="CC226" s="0" t="n">
        <v>4.36686504978387</v>
      </c>
      <c r="CD226" s="0" t="n">
        <v>7.69215611899564</v>
      </c>
      <c r="CG226" s="0" t="n">
        <v>2</v>
      </c>
      <c r="CH226" s="3" t="s">
        <v>1289</v>
      </c>
      <c r="CI226" s="3" t="s">
        <v>1040</v>
      </c>
    </row>
  </sheetData>
  <autoFilter ref="A1:CG1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6796875" defaultRowHeight="14.25" zeroHeight="false" outlineLevelRow="0" outlineLevelCol="0"/>
  <cols>
    <col collapsed="false" customWidth="true" hidden="false" outlineLevel="0" max="56" min="1" style="0" width="16"/>
  </cols>
  <sheetData>
    <row r="1" customFormat="false" ht="42" hidden="false" customHeight="true" outlineLevel="0" collapsed="false">
      <c r="A1" s="5" t="s">
        <v>0</v>
      </c>
      <c r="B1" s="6" t="s">
        <v>54</v>
      </c>
      <c r="C1" s="6" t="s">
        <v>57</v>
      </c>
      <c r="D1" s="6" t="s">
        <v>62</v>
      </c>
      <c r="E1" s="6" t="s">
        <v>58</v>
      </c>
      <c r="F1" s="6" t="s">
        <v>52</v>
      </c>
      <c r="G1" s="6" t="s">
        <v>13</v>
      </c>
      <c r="H1" s="6" t="s">
        <v>24</v>
      </c>
      <c r="I1" s="6" t="s">
        <v>38</v>
      </c>
      <c r="J1" s="6" t="s">
        <v>31</v>
      </c>
      <c r="K1" s="6" t="s">
        <v>34</v>
      </c>
      <c r="L1" s="6" t="s">
        <v>43</v>
      </c>
      <c r="M1" s="6" t="s">
        <v>80</v>
      </c>
      <c r="N1" s="6" t="s">
        <v>81</v>
      </c>
      <c r="O1" s="6" t="s">
        <v>79</v>
      </c>
      <c r="P1" s="6" t="s">
        <v>1290</v>
      </c>
      <c r="Q1" s="6" t="s">
        <v>1291</v>
      </c>
      <c r="R1" s="6" t="s">
        <v>1292</v>
      </c>
      <c r="S1" s="6" t="s">
        <v>1293</v>
      </c>
      <c r="T1" s="6" t="s">
        <v>1294</v>
      </c>
      <c r="U1" s="6" t="s">
        <v>1295</v>
      </c>
      <c r="V1" s="6" t="s">
        <v>1296</v>
      </c>
      <c r="W1" s="6" t="s">
        <v>1297</v>
      </c>
      <c r="X1" s="6" t="s">
        <v>1298</v>
      </c>
      <c r="Y1" s="6" t="s">
        <v>1299</v>
      </c>
      <c r="Z1" s="6" t="s">
        <v>1300</v>
      </c>
      <c r="AA1" s="6" t="s">
        <v>26</v>
      </c>
      <c r="AB1" s="6" t="s">
        <v>1301</v>
      </c>
      <c r="AC1" s="6" t="s">
        <v>28</v>
      </c>
      <c r="AD1" s="6" t="s">
        <v>1302</v>
      </c>
      <c r="AE1" s="6" t="s">
        <v>40</v>
      </c>
      <c r="AF1" s="6" t="s">
        <v>1303</v>
      </c>
      <c r="AG1" s="6" t="s">
        <v>42</v>
      </c>
      <c r="AH1" s="6" t="s">
        <v>1304</v>
      </c>
      <c r="AI1" s="6" t="s">
        <v>35</v>
      </c>
      <c r="AJ1" s="6" t="s">
        <v>1305</v>
      </c>
      <c r="AK1" s="6" t="s">
        <v>1306</v>
      </c>
      <c r="AL1" s="6" t="s">
        <v>17</v>
      </c>
      <c r="AM1" s="6" t="s">
        <v>18</v>
      </c>
      <c r="AN1" s="6" t="s">
        <v>19</v>
      </c>
      <c r="AO1" s="6" t="s">
        <v>20</v>
      </c>
      <c r="AP1" s="6" t="s">
        <v>21</v>
      </c>
      <c r="AQ1" s="6" t="s">
        <v>22</v>
      </c>
      <c r="AR1" s="6" t="s">
        <v>4</v>
      </c>
      <c r="AS1" s="6" t="s">
        <v>1307</v>
      </c>
      <c r="AT1" s="6" t="s">
        <v>1308</v>
      </c>
      <c r="AU1" s="6" t="s">
        <v>1309</v>
      </c>
      <c r="AV1" s="6" t="s">
        <v>1310</v>
      </c>
      <c r="AW1" s="6" t="s">
        <v>1311</v>
      </c>
      <c r="AX1" s="6" t="s">
        <v>1312</v>
      </c>
      <c r="AY1" s="6" t="s">
        <v>1313</v>
      </c>
      <c r="AZ1" s="6" t="s">
        <v>1314</v>
      </c>
      <c r="BA1" s="6" t="s">
        <v>1315</v>
      </c>
      <c r="BB1" s="6" t="s">
        <v>1316</v>
      </c>
      <c r="BC1" s="6" t="s">
        <v>1317</v>
      </c>
      <c r="BD1" s="6" t="s">
        <v>1318</v>
      </c>
    </row>
    <row r="2" customFormat="false" ht="14.25" hidden="false" customHeight="false" outlineLevel="0" collapsed="false">
      <c r="A2" s="7" t="s">
        <v>87</v>
      </c>
      <c r="B2" s="7" t="n">
        <v>0</v>
      </c>
      <c r="C2" s="7" t="n">
        <v>200</v>
      </c>
      <c r="D2" s="7" t="n">
        <v>1</v>
      </c>
      <c r="E2" s="7" t="n">
        <v>1</v>
      </c>
      <c r="F2" s="7" t="n">
        <v>0</v>
      </c>
      <c r="G2" s="7" t="n">
        <v>16.67</v>
      </c>
      <c r="H2" s="7" t="n">
        <v>3</v>
      </c>
      <c r="I2" s="7" t="n">
        <v>2</v>
      </c>
      <c r="J2" s="7" t="n">
        <v>2</v>
      </c>
      <c r="K2" s="7" t="n">
        <v>0</v>
      </c>
      <c r="L2" s="7" t="n">
        <v>25</v>
      </c>
      <c r="M2" s="7" t="n">
        <v>5.57</v>
      </c>
      <c r="N2" s="7" t="n">
        <v>7.3</v>
      </c>
      <c r="O2" s="7" t="n">
        <v>54.4</v>
      </c>
      <c r="P2" s="7" t="n">
        <v>3.2433</v>
      </c>
      <c r="Q2" s="7" t="n">
        <v>0</v>
      </c>
      <c r="R2" s="7" t="n">
        <v>0</v>
      </c>
      <c r="S2" s="7" t="n">
        <v>0</v>
      </c>
      <c r="T2" s="7" t="n">
        <v>0</v>
      </c>
      <c r="U2" s="7" t="n">
        <v>0</v>
      </c>
      <c r="V2" s="7" t="n">
        <v>0</v>
      </c>
      <c r="W2" s="7" t="n">
        <v>0</v>
      </c>
      <c r="X2" s="7" t="n">
        <v>0</v>
      </c>
      <c r="Y2" s="7" t="n">
        <v>1</v>
      </c>
      <c r="Z2" s="7" t="n">
        <v>0</v>
      </c>
      <c r="AA2" s="7" t="n">
        <v>0</v>
      </c>
      <c r="AB2" s="7" t="n">
        <v>0</v>
      </c>
      <c r="AC2" s="7" t="n">
        <v>1</v>
      </c>
      <c r="AD2" s="7" t="n">
        <v>0</v>
      </c>
      <c r="AE2" s="7" t="n">
        <v>1</v>
      </c>
      <c r="AF2" s="7" t="n">
        <v>0</v>
      </c>
      <c r="AG2" s="7" t="n">
        <v>1</v>
      </c>
      <c r="AH2" s="7" t="n">
        <v>0</v>
      </c>
      <c r="AI2" s="7" t="n">
        <v>0</v>
      </c>
      <c r="AJ2" s="7" t="n">
        <v>0</v>
      </c>
      <c r="AK2" s="7" t="n">
        <v>16.1180957509583</v>
      </c>
      <c r="AL2" s="7" t="n">
        <v>1</v>
      </c>
      <c r="AM2" s="7" t="n">
        <v>1</v>
      </c>
      <c r="AN2" s="7" t="n">
        <v>0</v>
      </c>
      <c r="AO2" s="7" t="n">
        <v>0</v>
      </c>
      <c r="AP2" s="7" t="n">
        <v>0</v>
      </c>
      <c r="AQ2" s="7" t="n">
        <v>0</v>
      </c>
      <c r="AR2" s="7" t="n">
        <v>0</v>
      </c>
      <c r="AS2" s="7" t="n">
        <v>1</v>
      </c>
      <c r="AT2" s="7" t="n">
        <v>0</v>
      </c>
      <c r="AU2" s="7" t="n">
        <v>0</v>
      </c>
      <c r="AV2" s="7" t="n">
        <v>0</v>
      </c>
      <c r="AW2" s="7" t="n">
        <v>1</v>
      </c>
      <c r="AX2" s="7" t="n">
        <v>0</v>
      </c>
      <c r="AY2" s="7" t="n">
        <v>0</v>
      </c>
      <c r="AZ2" s="7" t="n">
        <v>0</v>
      </c>
      <c r="BA2" s="7" t="n">
        <v>0</v>
      </c>
      <c r="BB2" s="7" t="n">
        <v>0</v>
      </c>
      <c r="BC2" s="7" t="n">
        <v>1</v>
      </c>
      <c r="BD2" s="7" t="n">
        <v>1</v>
      </c>
    </row>
    <row r="3" customFormat="false" ht="14.25" hidden="false" customHeight="false" outlineLevel="0" collapsed="false">
      <c r="A3" s="7" t="s">
        <v>106</v>
      </c>
      <c r="B3" s="7" t="n">
        <v>0</v>
      </c>
      <c r="C3" s="7" t="n">
        <v>92</v>
      </c>
      <c r="D3" s="7" t="n">
        <v>1</v>
      </c>
      <c r="E3" s="7" t="n">
        <v>1</v>
      </c>
      <c r="F3" s="7" t="n">
        <v>0</v>
      </c>
      <c r="G3" s="7" t="n">
        <v>7.67</v>
      </c>
      <c r="H3" s="7" t="n">
        <v>3</v>
      </c>
      <c r="I3" s="7" t="n">
        <v>2</v>
      </c>
      <c r="J3" s="7" t="n">
        <v>1</v>
      </c>
      <c r="K3" s="7" t="n">
        <v>0</v>
      </c>
      <c r="L3" s="7" t="n">
        <v>11</v>
      </c>
      <c r="M3" s="7" t="n">
        <v>7.88</v>
      </c>
      <c r="N3" s="7" t="n">
        <v>5.5</v>
      </c>
      <c r="O3" s="7" t="n">
        <v>54.4</v>
      </c>
      <c r="P3" s="7" t="n">
        <v>3.0004</v>
      </c>
      <c r="Q3" s="7" t="n">
        <v>0</v>
      </c>
      <c r="R3" s="7" t="n">
        <v>0</v>
      </c>
      <c r="S3" s="7" t="n">
        <v>0</v>
      </c>
      <c r="T3" s="7" t="n">
        <v>0</v>
      </c>
      <c r="U3" s="7" t="n">
        <v>0</v>
      </c>
      <c r="V3" s="7" t="n">
        <v>0</v>
      </c>
      <c r="W3" s="7" t="n">
        <v>0</v>
      </c>
      <c r="X3" s="7" t="n">
        <v>0</v>
      </c>
      <c r="Y3" s="7" t="n">
        <v>1</v>
      </c>
      <c r="Z3" s="7" t="n">
        <v>0</v>
      </c>
      <c r="AA3" s="7" t="n">
        <v>0</v>
      </c>
      <c r="AB3" s="7" t="n">
        <v>1</v>
      </c>
      <c r="AC3" s="7" t="n">
        <v>0</v>
      </c>
      <c r="AD3" s="7" t="n">
        <v>1</v>
      </c>
      <c r="AE3" s="7" t="n">
        <v>0</v>
      </c>
      <c r="AF3" s="7" t="n">
        <v>0</v>
      </c>
      <c r="AG3" s="7" t="n">
        <v>1</v>
      </c>
      <c r="AH3" s="7" t="n">
        <v>0</v>
      </c>
      <c r="AI3" s="7" t="n">
        <v>0</v>
      </c>
      <c r="AJ3" s="7" t="n">
        <v>0</v>
      </c>
      <c r="AK3" s="7" t="n">
        <v>0</v>
      </c>
      <c r="AL3" s="7" t="n">
        <v>0</v>
      </c>
      <c r="AM3" s="7" t="n">
        <v>0</v>
      </c>
      <c r="AN3" s="7" t="n">
        <v>0</v>
      </c>
      <c r="AO3" s="7" t="n">
        <v>0</v>
      </c>
      <c r="AP3" s="7" t="n">
        <v>0</v>
      </c>
      <c r="AQ3" s="7" t="n">
        <v>0</v>
      </c>
      <c r="AR3" s="7" t="n">
        <v>0</v>
      </c>
      <c r="AS3" s="7" t="n">
        <v>1</v>
      </c>
      <c r="AT3" s="7" t="n">
        <v>0</v>
      </c>
      <c r="AU3" s="7" t="n">
        <v>0</v>
      </c>
      <c r="AV3" s="7" t="n">
        <v>0</v>
      </c>
      <c r="AW3" s="7" t="n">
        <v>1</v>
      </c>
      <c r="AX3" s="7" t="n">
        <v>0</v>
      </c>
      <c r="AY3" s="7" t="n">
        <v>0</v>
      </c>
      <c r="AZ3" s="7" t="n">
        <v>0</v>
      </c>
      <c r="BA3" s="7" t="n">
        <v>0</v>
      </c>
      <c r="BB3" s="7" t="n">
        <v>0</v>
      </c>
      <c r="BC3" s="7" t="n">
        <v>1</v>
      </c>
      <c r="BD3" s="7" t="n">
        <v>1</v>
      </c>
    </row>
    <row r="4" customFormat="false" ht="14.25" hidden="false" customHeight="false" outlineLevel="0" collapsed="false">
      <c r="A4" s="7" t="s">
        <v>110</v>
      </c>
      <c r="B4" s="7" t="n">
        <v>0</v>
      </c>
      <c r="C4" s="7" t="n">
        <v>188</v>
      </c>
      <c r="D4" s="7" t="n">
        <v>0</v>
      </c>
      <c r="E4" s="7" t="n">
        <v>0</v>
      </c>
      <c r="F4" s="7" t="n">
        <v>0</v>
      </c>
      <c r="G4" s="7" t="n">
        <v>15.67</v>
      </c>
      <c r="H4" s="7" t="n">
        <v>3</v>
      </c>
      <c r="I4" s="7" t="n">
        <v>2</v>
      </c>
      <c r="J4" s="7" t="n">
        <v>1</v>
      </c>
      <c r="K4" s="7" t="n">
        <v>0</v>
      </c>
      <c r="L4" s="7" t="n">
        <v>30</v>
      </c>
      <c r="M4" s="7" t="n">
        <v>6.46</v>
      </c>
      <c r="N4" s="7" t="n">
        <v>11.4</v>
      </c>
      <c r="O4" s="7" t="n">
        <v>54.4</v>
      </c>
      <c r="P4" s="7" t="n">
        <v>2.1021</v>
      </c>
      <c r="Q4" s="7" t="n">
        <v>0</v>
      </c>
      <c r="R4" s="7" t="n">
        <v>0</v>
      </c>
      <c r="S4" s="7" t="n">
        <v>1</v>
      </c>
      <c r="T4" s="7" t="n">
        <v>0</v>
      </c>
      <c r="U4" s="7" t="n">
        <v>0</v>
      </c>
      <c r="V4" s="7" t="n">
        <v>0</v>
      </c>
      <c r="W4" s="7" t="n">
        <v>0</v>
      </c>
      <c r="X4" s="7" t="n">
        <v>0</v>
      </c>
      <c r="Y4" s="7" t="n">
        <v>1</v>
      </c>
      <c r="Z4" s="7" t="n">
        <v>1</v>
      </c>
      <c r="AA4" s="7" t="n">
        <v>0</v>
      </c>
      <c r="AB4" s="7" t="n">
        <v>1</v>
      </c>
      <c r="AC4" s="7" t="n">
        <v>0</v>
      </c>
      <c r="AD4" s="7" t="n">
        <v>1</v>
      </c>
      <c r="AE4" s="7" t="n">
        <v>0</v>
      </c>
      <c r="AF4" s="7" t="n">
        <v>1</v>
      </c>
      <c r="AG4" s="7" t="n">
        <v>0</v>
      </c>
      <c r="AH4" s="7" t="n">
        <v>1</v>
      </c>
      <c r="AI4" s="7" t="n">
        <v>0</v>
      </c>
      <c r="AJ4" s="7" t="n">
        <v>0</v>
      </c>
      <c r="AK4" s="7" t="n">
        <v>0</v>
      </c>
      <c r="AL4" s="7" t="n">
        <v>0</v>
      </c>
      <c r="AM4" s="7" t="n">
        <v>0</v>
      </c>
      <c r="AN4" s="7" t="n">
        <v>0</v>
      </c>
      <c r="AO4" s="7" t="n">
        <v>0</v>
      </c>
      <c r="AP4" s="7" t="n">
        <v>0</v>
      </c>
      <c r="AQ4" s="7" t="n">
        <v>0</v>
      </c>
      <c r="AR4" s="7" t="n">
        <v>0</v>
      </c>
      <c r="AS4" s="7" t="n">
        <v>0</v>
      </c>
      <c r="AT4" s="7" t="n">
        <v>0</v>
      </c>
      <c r="AU4" s="7" t="n">
        <v>0</v>
      </c>
      <c r="AV4" s="7" t="n">
        <v>0</v>
      </c>
      <c r="AW4" s="7" t="n">
        <v>1</v>
      </c>
      <c r="AX4" s="7" t="n">
        <v>0</v>
      </c>
      <c r="AY4" s="7" t="n">
        <v>0</v>
      </c>
      <c r="AZ4" s="7" t="n">
        <v>0</v>
      </c>
      <c r="BA4" s="7" t="n">
        <v>0</v>
      </c>
      <c r="BB4" s="7" t="n">
        <v>0</v>
      </c>
      <c r="BC4" s="7" t="n">
        <v>1</v>
      </c>
      <c r="BD4" s="7" t="n">
        <v>1</v>
      </c>
    </row>
    <row r="5" customFormat="false" ht="14.25" hidden="false" customHeight="false" outlineLevel="0" collapsed="false">
      <c r="A5" s="7" t="s">
        <v>117</v>
      </c>
      <c r="B5" s="7" t="n">
        <v>0</v>
      </c>
      <c r="C5" s="7" t="n">
        <v>200</v>
      </c>
      <c r="D5" s="7" t="n">
        <v>1</v>
      </c>
      <c r="E5" s="7" t="n">
        <v>1</v>
      </c>
      <c r="F5" s="7" t="n">
        <v>0</v>
      </c>
      <c r="G5" s="7" t="n">
        <v>16.67</v>
      </c>
      <c r="H5" s="7" t="n">
        <v>3</v>
      </c>
      <c r="I5" s="7" t="n">
        <v>3</v>
      </c>
      <c r="J5" s="7" t="n">
        <v>1</v>
      </c>
      <c r="K5" s="7" t="n">
        <v>0</v>
      </c>
      <c r="L5" s="7" t="n">
        <v>23</v>
      </c>
      <c r="M5" s="7" t="n">
        <v>5.57</v>
      </c>
      <c r="N5" s="7" t="n">
        <v>7.3</v>
      </c>
      <c r="O5" s="7" t="n">
        <v>54.4</v>
      </c>
      <c r="P5" s="7" t="n">
        <v>2.4166</v>
      </c>
      <c r="Q5" s="7" t="n">
        <v>0</v>
      </c>
      <c r="R5" s="7" t="n">
        <v>0</v>
      </c>
      <c r="S5" s="7" t="n">
        <v>0</v>
      </c>
      <c r="T5" s="7" t="n">
        <v>0</v>
      </c>
      <c r="U5" s="7" t="n">
        <v>0</v>
      </c>
      <c r="V5" s="7" t="n">
        <v>0</v>
      </c>
      <c r="W5" s="7" t="n">
        <v>0</v>
      </c>
      <c r="X5" s="7" t="n">
        <v>0</v>
      </c>
      <c r="Y5" s="7" t="n">
        <v>1</v>
      </c>
      <c r="Z5" s="7" t="n">
        <v>0</v>
      </c>
      <c r="AA5" s="7" t="n">
        <v>0</v>
      </c>
      <c r="AB5" s="7" t="n">
        <v>0</v>
      </c>
      <c r="AC5" s="7" t="n">
        <v>0</v>
      </c>
      <c r="AD5" s="7" t="n">
        <v>1</v>
      </c>
      <c r="AE5" s="7" t="n">
        <v>1</v>
      </c>
      <c r="AF5" s="7" t="n">
        <v>0</v>
      </c>
      <c r="AG5" s="7" t="n">
        <v>1</v>
      </c>
      <c r="AH5" s="7" t="n">
        <v>0</v>
      </c>
      <c r="AI5" s="7" t="n">
        <v>0</v>
      </c>
      <c r="AJ5" s="7" t="n">
        <v>0</v>
      </c>
      <c r="AK5" s="7" t="n">
        <v>0</v>
      </c>
      <c r="AL5" s="7" t="n">
        <v>0</v>
      </c>
      <c r="AM5" s="7" t="n">
        <v>0</v>
      </c>
      <c r="AN5" s="7" t="n">
        <v>0</v>
      </c>
      <c r="AO5" s="7" t="n">
        <v>0</v>
      </c>
      <c r="AP5" s="7" t="n">
        <v>0</v>
      </c>
      <c r="AQ5" s="7" t="n">
        <v>0</v>
      </c>
      <c r="AR5" s="7" t="n">
        <v>0</v>
      </c>
      <c r="AS5" s="7" t="n">
        <v>1</v>
      </c>
      <c r="AT5" s="7" t="n">
        <v>0</v>
      </c>
      <c r="AU5" s="7" t="n">
        <v>0</v>
      </c>
      <c r="AV5" s="7" t="n">
        <v>0</v>
      </c>
      <c r="AW5" s="7" t="n">
        <v>1</v>
      </c>
      <c r="AX5" s="7" t="n">
        <v>0</v>
      </c>
      <c r="AY5" s="7" t="n">
        <v>0</v>
      </c>
      <c r="AZ5" s="7" t="n">
        <v>0</v>
      </c>
      <c r="BA5" s="7" t="n">
        <v>0</v>
      </c>
      <c r="BB5" s="7" t="n">
        <v>0</v>
      </c>
      <c r="BC5" s="7" t="n">
        <v>1</v>
      </c>
      <c r="BD5" s="7" t="n">
        <v>1</v>
      </c>
    </row>
    <row r="6" customFormat="false" ht="14.25" hidden="false" customHeight="false" outlineLevel="0" collapsed="false">
      <c r="A6" s="7" t="s">
        <v>123</v>
      </c>
      <c r="B6" s="7" t="n">
        <v>0</v>
      </c>
      <c r="C6" s="7" t="n">
        <v>68</v>
      </c>
      <c r="D6" s="7" t="n">
        <v>0</v>
      </c>
      <c r="E6" s="7" t="n">
        <v>0</v>
      </c>
      <c r="F6" s="7" t="n">
        <v>0</v>
      </c>
      <c r="G6" s="7" t="n">
        <v>5.67</v>
      </c>
      <c r="H6" s="7" t="n">
        <v>3</v>
      </c>
      <c r="I6" s="7" t="n">
        <v>2</v>
      </c>
      <c r="J6" s="7" t="n">
        <v>1</v>
      </c>
      <c r="K6" s="7" t="n">
        <v>0</v>
      </c>
      <c r="L6" s="7" t="n">
        <v>20</v>
      </c>
      <c r="M6" s="7" t="n">
        <v>6.94</v>
      </c>
      <c r="N6" s="7" t="n">
        <v>5.55</v>
      </c>
      <c r="O6" s="7" t="n">
        <v>54.4</v>
      </c>
      <c r="P6" s="7" t="n">
        <v>2.5453</v>
      </c>
      <c r="Q6" s="7" t="n">
        <v>0</v>
      </c>
      <c r="R6" s="7" t="n">
        <v>0</v>
      </c>
      <c r="S6" s="7" t="n">
        <v>0</v>
      </c>
      <c r="T6" s="7" t="n">
        <v>0</v>
      </c>
      <c r="U6" s="7" t="n">
        <v>0</v>
      </c>
      <c r="V6" s="7" t="n">
        <v>0</v>
      </c>
      <c r="W6" s="7" t="n">
        <v>0</v>
      </c>
      <c r="X6" s="7" t="n">
        <v>0</v>
      </c>
      <c r="Y6" s="7" t="n">
        <v>1</v>
      </c>
      <c r="Z6" s="7" t="n">
        <v>0</v>
      </c>
      <c r="AA6" s="7" t="n">
        <v>0</v>
      </c>
      <c r="AB6" s="7" t="n">
        <v>1</v>
      </c>
      <c r="AC6" s="7" t="n">
        <v>0</v>
      </c>
      <c r="AD6" s="7" t="n">
        <v>1</v>
      </c>
      <c r="AE6" s="7" t="n">
        <v>0</v>
      </c>
      <c r="AF6" s="7" t="n">
        <v>0</v>
      </c>
      <c r="AG6" s="7" t="n">
        <v>0</v>
      </c>
      <c r="AH6" s="7" t="n">
        <v>0</v>
      </c>
      <c r="AI6" s="7" t="n">
        <v>0</v>
      </c>
      <c r="AJ6" s="7" t="n">
        <v>0</v>
      </c>
      <c r="AK6" s="7" t="n">
        <v>0</v>
      </c>
      <c r="AL6" s="7" t="n">
        <v>0</v>
      </c>
      <c r="AM6" s="7" t="n">
        <v>0</v>
      </c>
      <c r="AN6" s="7" t="n">
        <v>0</v>
      </c>
      <c r="AO6" s="7" t="n">
        <v>0</v>
      </c>
      <c r="AP6" s="7" t="n">
        <v>0</v>
      </c>
      <c r="AQ6" s="7" t="n">
        <v>0</v>
      </c>
      <c r="AR6" s="7" t="n">
        <v>0</v>
      </c>
      <c r="AS6" s="7" t="n">
        <v>0</v>
      </c>
      <c r="AT6" s="7" t="n">
        <v>0</v>
      </c>
      <c r="AU6" s="7" t="n">
        <v>0</v>
      </c>
      <c r="AV6" s="7" t="n">
        <v>0</v>
      </c>
      <c r="AW6" s="7" t="n">
        <v>1</v>
      </c>
      <c r="AX6" s="7" t="n">
        <v>0</v>
      </c>
      <c r="AY6" s="7" t="n">
        <v>0</v>
      </c>
      <c r="AZ6" s="7" t="n">
        <v>0</v>
      </c>
      <c r="BA6" s="7" t="n">
        <v>0</v>
      </c>
      <c r="BB6" s="7" t="n">
        <v>0</v>
      </c>
      <c r="BC6" s="7" t="n">
        <v>1</v>
      </c>
      <c r="BD6" s="7" t="n">
        <v>1</v>
      </c>
    </row>
    <row r="7" customFormat="false" ht="14.25" hidden="false" customHeight="false" outlineLevel="0" collapsed="false">
      <c r="A7" s="7" t="s">
        <v>127</v>
      </c>
      <c r="B7" s="7" t="n">
        <v>0</v>
      </c>
      <c r="C7" s="7" t="n">
        <v>128</v>
      </c>
      <c r="D7" s="7" t="n">
        <v>1</v>
      </c>
      <c r="E7" s="7" t="n">
        <v>1</v>
      </c>
      <c r="F7" s="7" t="n">
        <v>0</v>
      </c>
      <c r="G7" s="7" t="n">
        <v>10.67</v>
      </c>
      <c r="H7" s="7" t="n">
        <v>3</v>
      </c>
      <c r="I7" s="7" t="n">
        <v>2</v>
      </c>
      <c r="J7" s="7" t="n">
        <v>2</v>
      </c>
      <c r="K7" s="7" t="n">
        <v>0.5</v>
      </c>
      <c r="L7" s="7" t="n">
        <v>25</v>
      </c>
      <c r="M7" s="7" t="n">
        <v>7.11</v>
      </c>
      <c r="N7" s="7" t="n">
        <v>5.51</v>
      </c>
      <c r="O7" s="7" t="n">
        <v>54.4</v>
      </c>
      <c r="P7" s="7" t="n">
        <v>2.179</v>
      </c>
      <c r="Q7" s="7" t="n">
        <v>0</v>
      </c>
      <c r="R7" s="7" t="n">
        <v>0</v>
      </c>
      <c r="S7" s="7" t="n">
        <v>0</v>
      </c>
      <c r="T7" s="7" t="n">
        <v>0</v>
      </c>
      <c r="U7" s="7" t="n">
        <v>0</v>
      </c>
      <c r="V7" s="7" t="n">
        <v>0</v>
      </c>
      <c r="W7" s="7" t="n">
        <v>0</v>
      </c>
      <c r="X7" s="7" t="n">
        <v>0</v>
      </c>
      <c r="Y7" s="7" t="n">
        <v>1</v>
      </c>
      <c r="Z7" s="7" t="n">
        <v>0</v>
      </c>
      <c r="AA7" s="7" t="n">
        <v>0</v>
      </c>
      <c r="AB7" s="7" t="n">
        <v>1</v>
      </c>
      <c r="AC7" s="7" t="n">
        <v>0</v>
      </c>
      <c r="AD7" s="7" t="n">
        <v>1</v>
      </c>
      <c r="AE7" s="7" t="n">
        <v>1</v>
      </c>
      <c r="AF7" s="7" t="n">
        <v>0</v>
      </c>
      <c r="AG7" s="7" t="n">
        <v>1</v>
      </c>
      <c r="AH7" s="7" t="n">
        <v>0</v>
      </c>
      <c r="AI7" s="7" t="n">
        <v>1</v>
      </c>
      <c r="AJ7" s="7" t="n">
        <v>0</v>
      </c>
      <c r="AK7" s="7" t="n">
        <v>0</v>
      </c>
      <c r="AL7" s="7" t="n">
        <v>0</v>
      </c>
      <c r="AM7" s="7" t="n">
        <v>0</v>
      </c>
      <c r="AN7" s="7" t="n">
        <v>0</v>
      </c>
      <c r="AO7" s="7" t="n">
        <v>0</v>
      </c>
      <c r="AP7" s="7" t="n">
        <v>0</v>
      </c>
      <c r="AQ7" s="7" t="n">
        <v>0</v>
      </c>
      <c r="AR7" s="7" t="n">
        <v>0</v>
      </c>
      <c r="AS7" s="7" t="n">
        <v>1</v>
      </c>
      <c r="AT7" s="7" t="n">
        <v>0</v>
      </c>
      <c r="AU7" s="7" t="n">
        <v>0</v>
      </c>
      <c r="AV7" s="7" t="n">
        <v>0</v>
      </c>
      <c r="AW7" s="7" t="n">
        <v>1</v>
      </c>
      <c r="AX7" s="7" t="n">
        <v>0</v>
      </c>
      <c r="AY7" s="7" t="n">
        <v>0</v>
      </c>
      <c r="AZ7" s="7" t="n">
        <v>0</v>
      </c>
      <c r="BA7" s="7" t="n">
        <v>0</v>
      </c>
      <c r="BB7" s="7" t="n">
        <v>0</v>
      </c>
      <c r="BC7" s="7" t="n">
        <v>1</v>
      </c>
      <c r="BD7" s="7" t="n">
        <v>1</v>
      </c>
    </row>
    <row r="8" customFormat="false" ht="14.25" hidden="false" customHeight="false" outlineLevel="0" collapsed="false">
      <c r="A8" s="7" t="s">
        <v>131</v>
      </c>
      <c r="B8" s="7" t="n">
        <v>0</v>
      </c>
      <c r="C8" s="7" t="n">
        <v>166</v>
      </c>
      <c r="D8" s="7"/>
      <c r="E8" s="7"/>
      <c r="F8" s="7" t="n">
        <v>1</v>
      </c>
      <c r="G8" s="7" t="n">
        <v>13.83</v>
      </c>
      <c r="H8" s="7" t="n">
        <v>3</v>
      </c>
      <c r="I8" s="7" t="n">
        <v>0</v>
      </c>
      <c r="J8" s="7" t="n">
        <v>2</v>
      </c>
      <c r="K8" s="7" t="n">
        <v>0</v>
      </c>
      <c r="L8" s="7" t="n">
        <v>15</v>
      </c>
      <c r="M8" s="7" t="n">
        <v>6.52</v>
      </c>
      <c r="N8" s="7" t="n">
        <v>6.22</v>
      </c>
      <c r="O8" s="7" t="n">
        <v>54.4</v>
      </c>
      <c r="P8" s="7" t="n">
        <v>2.3032</v>
      </c>
      <c r="Q8" s="7" t="n">
        <v>0</v>
      </c>
      <c r="R8" s="7" t="n">
        <v>0</v>
      </c>
      <c r="S8" s="7" t="n">
        <v>0</v>
      </c>
      <c r="T8" s="7" t="n">
        <v>0</v>
      </c>
      <c r="U8" s="7" t="n">
        <v>0</v>
      </c>
      <c r="V8" s="7" t="n">
        <v>0</v>
      </c>
      <c r="W8" s="7" t="n">
        <v>0</v>
      </c>
      <c r="X8" s="7" t="n">
        <v>0</v>
      </c>
      <c r="Y8" s="7" t="n">
        <v>1</v>
      </c>
      <c r="Z8" s="7" t="n">
        <v>0</v>
      </c>
      <c r="AA8" s="7" t="n">
        <v>0</v>
      </c>
      <c r="AB8" s="7" t="n">
        <v>1</v>
      </c>
      <c r="AC8" s="7" t="n">
        <v>0</v>
      </c>
      <c r="AD8" s="7" t="n">
        <v>0</v>
      </c>
      <c r="AE8" s="7" t="n">
        <v>0</v>
      </c>
      <c r="AF8" s="7" t="n">
        <v>0</v>
      </c>
      <c r="AG8" s="7" t="n">
        <v>1</v>
      </c>
      <c r="AH8" s="7" t="n">
        <v>0</v>
      </c>
      <c r="AI8" s="7" t="n">
        <v>0</v>
      </c>
      <c r="AJ8" s="7" t="n">
        <v>0</v>
      </c>
      <c r="AK8" s="7" t="n">
        <v>0</v>
      </c>
      <c r="AL8" s="7" t="n">
        <v>1</v>
      </c>
      <c r="AM8" s="7" t="n">
        <v>1</v>
      </c>
      <c r="AN8" s="7" t="n">
        <v>1</v>
      </c>
      <c r="AO8" s="7" t="n">
        <v>0</v>
      </c>
      <c r="AP8" s="7" t="n">
        <v>0</v>
      </c>
      <c r="AQ8" s="7" t="n">
        <v>1</v>
      </c>
      <c r="AR8" s="7" t="n">
        <v>0</v>
      </c>
      <c r="AS8" s="7" t="n">
        <v>1</v>
      </c>
      <c r="AT8" s="7" t="n">
        <v>0</v>
      </c>
      <c r="AU8" s="7" t="n">
        <v>0</v>
      </c>
      <c r="AV8" s="7" t="n">
        <v>0</v>
      </c>
      <c r="AW8" s="7" t="n">
        <v>1</v>
      </c>
      <c r="AX8" s="7" t="n">
        <v>0</v>
      </c>
      <c r="AY8" s="7" t="n">
        <v>0</v>
      </c>
      <c r="AZ8" s="7" t="n">
        <v>0</v>
      </c>
      <c r="BA8" s="7" t="n">
        <v>0</v>
      </c>
      <c r="BB8" s="7" t="n">
        <v>0</v>
      </c>
      <c r="BC8" s="7" t="n">
        <v>1</v>
      </c>
      <c r="BD8" s="7" t="n">
        <v>0</v>
      </c>
    </row>
    <row r="9" customFormat="false" ht="14.25" hidden="false" customHeight="false" outlineLevel="0" collapsed="false">
      <c r="A9" s="7" t="s">
        <v>125</v>
      </c>
      <c r="B9" s="7" t="n">
        <v>1</v>
      </c>
      <c r="C9" s="7" t="n">
        <v>102</v>
      </c>
      <c r="D9" s="7" t="n">
        <v>0</v>
      </c>
      <c r="E9" s="7" t="n">
        <v>0</v>
      </c>
      <c r="F9" s="7" t="n">
        <v>0</v>
      </c>
      <c r="G9" s="7" t="n">
        <v>13.67</v>
      </c>
      <c r="H9" s="7" t="n">
        <v>3</v>
      </c>
      <c r="I9" s="7" t="n">
        <v>2</v>
      </c>
      <c r="J9" s="7" t="n">
        <v>1</v>
      </c>
      <c r="K9" s="7" t="n">
        <v>0</v>
      </c>
      <c r="L9" s="7" t="n">
        <v>13</v>
      </c>
      <c r="M9" s="7" t="n">
        <v>6.01</v>
      </c>
      <c r="N9" s="7" t="n">
        <v>7.53</v>
      </c>
      <c r="O9" s="7" t="n">
        <v>54.4</v>
      </c>
      <c r="P9" s="7" t="n">
        <v>2.179</v>
      </c>
      <c r="Q9" s="7" t="n">
        <v>0</v>
      </c>
      <c r="R9" s="7" t="n">
        <v>0</v>
      </c>
      <c r="S9" s="7" t="n">
        <v>1</v>
      </c>
      <c r="T9" s="7" t="n">
        <v>0</v>
      </c>
      <c r="U9" s="7" t="n">
        <v>1</v>
      </c>
      <c r="V9" s="7" t="n">
        <v>1</v>
      </c>
      <c r="W9" s="7" t="n">
        <v>0</v>
      </c>
      <c r="X9" s="7" t="n">
        <v>0</v>
      </c>
      <c r="Y9" s="7" t="n">
        <v>1</v>
      </c>
      <c r="Z9" s="7" t="n">
        <v>0</v>
      </c>
      <c r="AA9" s="7" t="n">
        <v>0</v>
      </c>
      <c r="AB9" s="7" t="n">
        <v>0</v>
      </c>
      <c r="AC9" s="7" t="n">
        <v>0</v>
      </c>
      <c r="AD9" s="7" t="n">
        <v>1</v>
      </c>
      <c r="AE9" s="7" t="n">
        <v>0</v>
      </c>
      <c r="AF9" s="7" t="n">
        <v>1</v>
      </c>
      <c r="AG9" s="7" t="n">
        <v>0</v>
      </c>
      <c r="AH9" s="7" t="n">
        <v>1</v>
      </c>
      <c r="AI9" s="7" t="n">
        <v>0</v>
      </c>
      <c r="AJ9" s="7" t="n">
        <v>1</v>
      </c>
      <c r="AK9" s="7" t="n">
        <v>0</v>
      </c>
      <c r="AL9" s="7" t="n">
        <v>0</v>
      </c>
      <c r="AM9" s="7" t="n">
        <v>0</v>
      </c>
      <c r="AN9" s="7" t="n">
        <v>0</v>
      </c>
      <c r="AO9" s="7" t="n">
        <v>0</v>
      </c>
      <c r="AP9" s="7" t="n">
        <v>0</v>
      </c>
      <c r="AQ9" s="7" t="n">
        <v>0</v>
      </c>
      <c r="AR9" s="7" t="n">
        <v>0</v>
      </c>
      <c r="AS9" s="7" t="n">
        <v>0</v>
      </c>
      <c r="AT9" s="7" t="n">
        <v>0</v>
      </c>
      <c r="AU9" s="7" t="n">
        <v>0</v>
      </c>
      <c r="AV9" s="7" t="n">
        <v>0</v>
      </c>
      <c r="AW9" s="7" t="n">
        <v>1</v>
      </c>
      <c r="AX9" s="7" t="n">
        <v>0</v>
      </c>
      <c r="AY9" s="7" t="n">
        <v>0</v>
      </c>
      <c r="AZ9" s="7" t="n">
        <v>0</v>
      </c>
      <c r="BA9" s="7" t="n">
        <v>0</v>
      </c>
      <c r="BB9" s="7" t="n">
        <v>0</v>
      </c>
      <c r="BC9" s="7" t="n">
        <v>1</v>
      </c>
      <c r="BD9" s="7" t="n">
        <v>1</v>
      </c>
    </row>
    <row r="10" customFormat="false" ht="14.25" hidden="false" customHeight="false" outlineLevel="0" collapsed="false">
      <c r="A10" s="7" t="s">
        <v>144</v>
      </c>
      <c r="B10" s="7" t="n">
        <v>0</v>
      </c>
      <c r="C10" s="7" t="n">
        <v>140</v>
      </c>
      <c r="D10" s="7" t="n">
        <v>1</v>
      </c>
      <c r="E10" s="7" t="n">
        <v>1</v>
      </c>
      <c r="F10" s="7" t="n">
        <v>1</v>
      </c>
      <c r="G10" s="7" t="n">
        <v>11.67</v>
      </c>
      <c r="H10" s="7" t="n">
        <v>3</v>
      </c>
      <c r="I10" s="7" t="n">
        <v>1</v>
      </c>
      <c r="J10" s="7" t="n">
        <v>1</v>
      </c>
      <c r="K10" s="7" t="n">
        <v>0</v>
      </c>
      <c r="L10" s="7" t="n">
        <v>10</v>
      </c>
      <c r="M10" s="7" t="n">
        <v>6.55</v>
      </c>
      <c r="N10" s="7" t="n">
        <v>6.4</v>
      </c>
      <c r="O10" s="7" t="n">
        <v>54.4</v>
      </c>
      <c r="P10" s="7" t="n">
        <v>2.0043</v>
      </c>
      <c r="Q10" s="7" t="n">
        <v>0</v>
      </c>
      <c r="R10" s="7" t="n">
        <v>0</v>
      </c>
      <c r="S10" s="7" t="n">
        <v>0</v>
      </c>
      <c r="T10" s="7" t="n">
        <v>0</v>
      </c>
      <c r="U10" s="7" t="n">
        <v>0</v>
      </c>
      <c r="V10" s="7" t="n">
        <v>0</v>
      </c>
      <c r="W10" s="7" t="n">
        <v>0</v>
      </c>
      <c r="X10" s="7" t="n">
        <v>0</v>
      </c>
      <c r="Y10" s="7" t="n">
        <v>1</v>
      </c>
      <c r="Z10" s="7" t="n">
        <v>0</v>
      </c>
      <c r="AA10" s="7" t="n">
        <v>0</v>
      </c>
      <c r="AB10" s="7" t="n">
        <v>1</v>
      </c>
      <c r="AC10" s="7" t="n">
        <v>0</v>
      </c>
      <c r="AD10" s="7" t="n">
        <v>1</v>
      </c>
      <c r="AE10" s="7" t="n">
        <v>1</v>
      </c>
      <c r="AF10" s="7" t="n">
        <v>0</v>
      </c>
      <c r="AG10" s="7" t="n">
        <v>1</v>
      </c>
      <c r="AH10" s="7" t="n">
        <v>0</v>
      </c>
      <c r="AI10" s="7" t="n">
        <v>0</v>
      </c>
      <c r="AJ10" s="7" t="n">
        <v>0</v>
      </c>
      <c r="AK10" s="7" t="n">
        <v>0</v>
      </c>
      <c r="AL10" s="7" t="n">
        <v>0</v>
      </c>
      <c r="AM10" s="7" t="n">
        <v>0</v>
      </c>
      <c r="AN10" s="7" t="n">
        <v>0</v>
      </c>
      <c r="AO10" s="7" t="n">
        <v>0</v>
      </c>
      <c r="AP10" s="7" t="n">
        <v>0</v>
      </c>
      <c r="AQ10" s="7" t="n">
        <v>0</v>
      </c>
      <c r="AR10" s="7" t="n">
        <v>0</v>
      </c>
      <c r="AS10" s="7" t="n">
        <v>1</v>
      </c>
      <c r="AT10" s="7" t="n">
        <v>0</v>
      </c>
      <c r="AU10" s="7" t="n">
        <v>0</v>
      </c>
      <c r="AV10" s="7" t="n">
        <v>0</v>
      </c>
      <c r="AW10" s="7" t="n">
        <v>1</v>
      </c>
      <c r="AX10" s="7" t="n">
        <v>0</v>
      </c>
      <c r="AY10" s="7" t="n">
        <v>0</v>
      </c>
      <c r="AZ10" s="7" t="n">
        <v>0</v>
      </c>
      <c r="BA10" s="7" t="n">
        <v>0</v>
      </c>
      <c r="BB10" s="7" t="n">
        <v>0</v>
      </c>
      <c r="BC10" s="7" t="n">
        <v>1</v>
      </c>
      <c r="BD10" s="7" t="n">
        <v>1</v>
      </c>
    </row>
    <row r="11" customFormat="false" ht="14.25" hidden="false" customHeight="false" outlineLevel="0" collapsed="false">
      <c r="A11" s="7" t="s">
        <v>150</v>
      </c>
      <c r="B11" s="7" t="n">
        <v>0</v>
      </c>
      <c r="C11" s="7" t="n">
        <v>200</v>
      </c>
      <c r="D11" s="7" t="n">
        <v>0</v>
      </c>
      <c r="E11" s="7" t="n">
        <v>0</v>
      </c>
      <c r="F11" s="7" t="n">
        <v>0</v>
      </c>
      <c r="G11" s="7" t="n">
        <v>16.67</v>
      </c>
      <c r="H11" s="7" t="n">
        <v>3</v>
      </c>
      <c r="I11" s="7" t="n">
        <v>2</v>
      </c>
      <c r="J11" s="7" t="n">
        <v>1</v>
      </c>
      <c r="K11" s="7" t="n">
        <v>0</v>
      </c>
      <c r="L11" s="7" t="n">
        <v>25</v>
      </c>
      <c r="M11" s="7" t="n">
        <v>5.57</v>
      </c>
      <c r="N11" s="7" t="n">
        <v>7.3</v>
      </c>
      <c r="O11" s="7" t="n">
        <v>54.4</v>
      </c>
      <c r="P11" s="7" t="n">
        <v>2.4409</v>
      </c>
      <c r="Q11" s="7" t="n">
        <v>0</v>
      </c>
      <c r="R11" s="7" t="n">
        <v>0</v>
      </c>
      <c r="S11" s="7" t="n">
        <v>0</v>
      </c>
      <c r="T11" s="7" t="n">
        <v>0</v>
      </c>
      <c r="U11" s="7" t="n">
        <v>0</v>
      </c>
      <c r="V11" s="7" t="n">
        <v>0</v>
      </c>
      <c r="W11" s="7" t="n">
        <v>0</v>
      </c>
      <c r="X11" s="7" t="n">
        <v>0</v>
      </c>
      <c r="Y11" s="7" t="n">
        <v>1</v>
      </c>
      <c r="Z11" s="7" t="n">
        <v>0</v>
      </c>
      <c r="AA11" s="7" t="n">
        <v>0</v>
      </c>
      <c r="AB11" s="7" t="n">
        <v>1</v>
      </c>
      <c r="AC11" s="7" t="n">
        <v>0</v>
      </c>
      <c r="AD11" s="7" t="n">
        <v>1</v>
      </c>
      <c r="AE11" s="7" t="n">
        <v>1</v>
      </c>
      <c r="AF11" s="7" t="n">
        <v>0</v>
      </c>
      <c r="AG11" s="7" t="n">
        <v>1</v>
      </c>
      <c r="AH11" s="7" t="n">
        <v>0</v>
      </c>
      <c r="AI11" s="7" t="n">
        <v>0</v>
      </c>
      <c r="AJ11" s="7" t="n">
        <v>0</v>
      </c>
      <c r="AK11" s="7" t="n">
        <v>0</v>
      </c>
      <c r="AL11" s="7" t="n">
        <v>0</v>
      </c>
      <c r="AM11" s="7" t="n">
        <v>0</v>
      </c>
      <c r="AN11" s="7" t="n">
        <v>0</v>
      </c>
      <c r="AO11" s="7" t="n">
        <v>0</v>
      </c>
      <c r="AP11" s="7" t="n">
        <v>0</v>
      </c>
      <c r="AQ11" s="7" t="n">
        <v>0</v>
      </c>
      <c r="AR11" s="7" t="n">
        <v>0</v>
      </c>
      <c r="AS11" s="7" t="n">
        <v>1</v>
      </c>
      <c r="AT11" s="7" t="n">
        <v>0</v>
      </c>
      <c r="AU11" s="7" t="n">
        <v>0</v>
      </c>
      <c r="AV11" s="7" t="n">
        <v>0</v>
      </c>
      <c r="AW11" s="7" t="n">
        <v>1</v>
      </c>
      <c r="AX11" s="7" t="n">
        <v>0</v>
      </c>
      <c r="AY11" s="7" t="n">
        <v>0</v>
      </c>
      <c r="AZ11" s="7" t="n">
        <v>0</v>
      </c>
      <c r="BA11" s="7" t="n">
        <v>0</v>
      </c>
      <c r="BB11" s="7" t="n">
        <v>0</v>
      </c>
      <c r="BC11" s="7" t="n">
        <v>1</v>
      </c>
      <c r="BD11" s="7" t="n">
        <v>1</v>
      </c>
    </row>
    <row r="12" customFormat="false" ht="14.25" hidden="false" customHeight="false" outlineLevel="0" collapsed="false">
      <c r="A12" s="7" t="s">
        <v>152</v>
      </c>
      <c r="B12" s="7" t="n">
        <v>0</v>
      </c>
      <c r="C12" s="7"/>
      <c r="D12" s="7" t="n">
        <v>1</v>
      </c>
      <c r="E12" s="7" t="n">
        <v>1</v>
      </c>
      <c r="F12" s="7" t="n">
        <v>0</v>
      </c>
      <c r="G12" s="7" t="n">
        <v>9.71</v>
      </c>
      <c r="H12" s="7" t="n">
        <v>3</v>
      </c>
      <c r="I12" s="7" t="n">
        <v>2</v>
      </c>
      <c r="J12" s="7" t="n">
        <v>1</v>
      </c>
      <c r="K12" s="7" t="n">
        <v>0</v>
      </c>
      <c r="L12" s="7" t="n">
        <v>17</v>
      </c>
      <c r="M12" s="7" t="n">
        <v>6.55</v>
      </c>
      <c r="N12" s="7" t="n">
        <v>5.7</v>
      </c>
      <c r="O12" s="7" t="n">
        <v>54.4</v>
      </c>
      <c r="P12" s="7" t="n">
        <v>0.8129</v>
      </c>
      <c r="Q12" s="7" t="n">
        <v>1</v>
      </c>
      <c r="R12" s="7" t="n">
        <v>0</v>
      </c>
      <c r="S12" s="7" t="n">
        <v>1</v>
      </c>
      <c r="T12" s="7" t="n">
        <v>0</v>
      </c>
      <c r="U12" s="7" t="n">
        <v>0</v>
      </c>
      <c r="V12" s="7" t="n">
        <v>0</v>
      </c>
      <c r="W12" s="7" t="n">
        <v>1</v>
      </c>
      <c r="X12" s="7" t="n">
        <v>1</v>
      </c>
      <c r="Y12" s="7" t="n">
        <v>1</v>
      </c>
      <c r="Z12" s="7" t="n">
        <v>0</v>
      </c>
      <c r="AA12" s="7" t="n">
        <v>0</v>
      </c>
      <c r="AB12" s="7" t="n">
        <v>0</v>
      </c>
      <c r="AC12" s="7" t="n">
        <v>0</v>
      </c>
      <c r="AD12" s="7" t="n">
        <v>1</v>
      </c>
      <c r="AE12" s="7" t="n">
        <v>0</v>
      </c>
      <c r="AF12" s="7" t="n">
        <v>1</v>
      </c>
      <c r="AG12" s="7" t="n">
        <v>1</v>
      </c>
      <c r="AH12" s="7" t="n">
        <v>0</v>
      </c>
      <c r="AI12" s="7" t="n">
        <v>0</v>
      </c>
      <c r="AJ12" s="7" t="n">
        <v>0</v>
      </c>
      <c r="AK12" s="7" t="n">
        <v>0</v>
      </c>
      <c r="AL12" s="7" t="n">
        <v>0</v>
      </c>
      <c r="AM12" s="7" t="n">
        <v>0</v>
      </c>
      <c r="AN12" s="7" t="n">
        <v>0</v>
      </c>
      <c r="AO12" s="7" t="n">
        <v>0</v>
      </c>
      <c r="AP12" s="7" t="n">
        <v>0</v>
      </c>
      <c r="AQ12" s="7" t="n">
        <v>1</v>
      </c>
      <c r="AR12" s="7" t="n">
        <v>0</v>
      </c>
      <c r="AS12" s="7" t="n">
        <v>1</v>
      </c>
      <c r="AT12" s="7" t="n">
        <v>0</v>
      </c>
      <c r="AU12" s="7" t="n">
        <v>0</v>
      </c>
      <c r="AV12" s="7" t="n">
        <v>0</v>
      </c>
      <c r="AW12" s="7" t="n">
        <v>1</v>
      </c>
      <c r="AX12" s="7" t="n">
        <v>0</v>
      </c>
      <c r="AY12" s="7" t="n">
        <v>0</v>
      </c>
      <c r="AZ12" s="7" t="n">
        <v>0</v>
      </c>
      <c r="BA12" s="7" t="n">
        <v>0</v>
      </c>
      <c r="BB12" s="7" t="n">
        <v>0</v>
      </c>
      <c r="BC12" s="7" t="n">
        <v>0</v>
      </c>
      <c r="BD12" s="7" t="n">
        <v>1</v>
      </c>
    </row>
    <row r="13" customFormat="false" ht="14.25" hidden="false" customHeight="false" outlineLevel="0" collapsed="false">
      <c r="A13" s="7" t="s">
        <v>156</v>
      </c>
      <c r="B13" s="7" t="n">
        <v>0</v>
      </c>
      <c r="C13" s="7" t="n">
        <v>49</v>
      </c>
      <c r="D13" s="7"/>
      <c r="E13" s="7"/>
      <c r="F13" s="7" t="n">
        <v>0</v>
      </c>
      <c r="G13" s="7" t="n">
        <v>4.08</v>
      </c>
      <c r="H13" s="7" t="n">
        <v>3</v>
      </c>
      <c r="I13" s="7" t="n">
        <v>3</v>
      </c>
      <c r="J13" s="7" t="n">
        <v>3</v>
      </c>
      <c r="K13" s="7" t="n">
        <v>0</v>
      </c>
      <c r="L13" s="7" t="n">
        <v>20</v>
      </c>
      <c r="M13" s="7" t="n">
        <v>7.1</v>
      </c>
      <c r="N13" s="7" t="n">
        <v>7.7</v>
      </c>
      <c r="O13" s="7" t="n">
        <v>54.4</v>
      </c>
      <c r="P13" s="7" t="n">
        <v>1.4983</v>
      </c>
      <c r="Q13" s="7" t="n">
        <v>0</v>
      </c>
      <c r="R13" s="7" t="n">
        <v>0</v>
      </c>
      <c r="S13" s="7" t="n">
        <v>0</v>
      </c>
      <c r="T13" s="7" t="n">
        <v>0</v>
      </c>
      <c r="U13" s="7" t="n">
        <v>0</v>
      </c>
      <c r="V13" s="7" t="n">
        <v>0</v>
      </c>
      <c r="W13" s="7" t="n">
        <v>0</v>
      </c>
      <c r="X13" s="7" t="n">
        <v>0</v>
      </c>
      <c r="Y13" s="7" t="n">
        <v>1</v>
      </c>
      <c r="Z13" s="7" t="n">
        <v>0</v>
      </c>
      <c r="AA13" s="7" t="n">
        <v>0</v>
      </c>
      <c r="AB13" s="7" t="n">
        <v>0</v>
      </c>
      <c r="AC13" s="7" t="n">
        <v>0</v>
      </c>
      <c r="AD13" s="7" t="n">
        <v>0</v>
      </c>
      <c r="AE13" s="7" t="n">
        <v>0</v>
      </c>
      <c r="AF13" s="7" t="n">
        <v>0</v>
      </c>
      <c r="AG13" s="7" t="n">
        <v>1</v>
      </c>
      <c r="AH13" s="7" t="n">
        <v>0</v>
      </c>
      <c r="AI13" s="7" t="n">
        <v>0</v>
      </c>
      <c r="AJ13" s="7" t="n">
        <v>0</v>
      </c>
      <c r="AK13" s="7" t="n">
        <v>0</v>
      </c>
      <c r="AL13" s="7" t="n">
        <v>0</v>
      </c>
      <c r="AM13" s="7" t="n">
        <v>0</v>
      </c>
      <c r="AN13" s="7" t="n">
        <v>1</v>
      </c>
      <c r="AO13" s="7" t="n">
        <v>0</v>
      </c>
      <c r="AP13" s="7" t="n">
        <v>0</v>
      </c>
      <c r="AQ13" s="7" t="n">
        <v>0</v>
      </c>
      <c r="AR13" s="7" t="n">
        <v>0</v>
      </c>
      <c r="AS13" s="7" t="n">
        <v>1</v>
      </c>
      <c r="AT13" s="7" t="n">
        <v>0</v>
      </c>
      <c r="AU13" s="7" t="n">
        <v>0</v>
      </c>
      <c r="AV13" s="7" t="n">
        <v>0</v>
      </c>
      <c r="AW13" s="7" t="n">
        <v>1</v>
      </c>
      <c r="AX13" s="7" t="n">
        <v>0</v>
      </c>
      <c r="AY13" s="7" t="n">
        <v>0</v>
      </c>
      <c r="AZ13" s="7" t="n">
        <v>0</v>
      </c>
      <c r="BA13" s="7" t="n">
        <v>0</v>
      </c>
      <c r="BB13" s="7" t="n">
        <v>0</v>
      </c>
      <c r="BC13" s="7" t="n">
        <v>1</v>
      </c>
      <c r="BD13" s="7" t="n">
        <v>0</v>
      </c>
    </row>
    <row r="14" customFormat="false" ht="14.25" hidden="false" customHeight="false" outlineLevel="0" collapsed="false">
      <c r="A14" s="7" t="s">
        <v>162</v>
      </c>
      <c r="B14" s="7" t="n">
        <v>0</v>
      </c>
      <c r="C14" s="7" t="n">
        <v>156</v>
      </c>
      <c r="D14" s="7" t="n">
        <v>1</v>
      </c>
      <c r="E14" s="7" t="n">
        <v>1</v>
      </c>
      <c r="F14" s="7" t="n">
        <v>0</v>
      </c>
      <c r="G14" s="7" t="n">
        <v>13</v>
      </c>
      <c r="H14" s="7" t="n">
        <v>3</v>
      </c>
      <c r="I14" s="7" t="n">
        <v>2</v>
      </c>
      <c r="J14" s="7" t="n">
        <v>3</v>
      </c>
      <c r="K14" s="7" t="n">
        <v>0</v>
      </c>
      <c r="L14" s="7" t="n">
        <v>10</v>
      </c>
      <c r="M14" s="7" t="n">
        <v>6.01</v>
      </c>
      <c r="N14" s="7" t="n">
        <v>7.53</v>
      </c>
      <c r="O14" s="7" t="n">
        <v>54.4</v>
      </c>
      <c r="P14" s="7" t="n">
        <v>3.1905</v>
      </c>
      <c r="Q14" s="7" t="n">
        <v>0</v>
      </c>
      <c r="R14" s="7" t="n">
        <v>0</v>
      </c>
      <c r="S14" s="7" t="n">
        <v>0</v>
      </c>
      <c r="T14" s="7" t="n">
        <v>0</v>
      </c>
      <c r="U14" s="7" t="n">
        <v>0</v>
      </c>
      <c r="V14" s="7" t="n">
        <v>0</v>
      </c>
      <c r="W14" s="7" t="n">
        <v>0</v>
      </c>
      <c r="X14" s="7" t="n">
        <v>0</v>
      </c>
      <c r="Y14" s="7" t="n">
        <v>1</v>
      </c>
      <c r="Z14" s="7" t="n">
        <v>0</v>
      </c>
      <c r="AA14" s="7" t="n">
        <v>1</v>
      </c>
      <c r="AB14" s="7" t="n">
        <v>0</v>
      </c>
      <c r="AC14" s="7" t="n">
        <v>0</v>
      </c>
      <c r="AD14" s="7" t="n">
        <v>1</v>
      </c>
      <c r="AE14" s="7" t="n">
        <v>1</v>
      </c>
      <c r="AF14" s="7" t="n">
        <v>0</v>
      </c>
      <c r="AG14" s="7" t="n">
        <v>1</v>
      </c>
      <c r="AH14" s="7" t="n">
        <v>0</v>
      </c>
      <c r="AI14" s="7" t="n">
        <v>0</v>
      </c>
      <c r="AJ14" s="7" t="n">
        <v>0</v>
      </c>
      <c r="AK14" s="7" t="n">
        <v>0</v>
      </c>
      <c r="AL14" s="7" t="n">
        <v>0</v>
      </c>
      <c r="AM14" s="7" t="n">
        <v>0</v>
      </c>
      <c r="AN14" s="7" t="n">
        <v>0</v>
      </c>
      <c r="AO14" s="7" t="n">
        <v>0</v>
      </c>
      <c r="AP14" s="7" t="n">
        <v>0</v>
      </c>
      <c r="AQ14" s="7" t="n">
        <v>0</v>
      </c>
      <c r="AR14" s="7" t="n">
        <v>0</v>
      </c>
      <c r="AS14" s="7" t="n">
        <v>1</v>
      </c>
      <c r="AT14" s="7" t="n">
        <v>0</v>
      </c>
      <c r="AU14" s="7" t="n">
        <v>1</v>
      </c>
      <c r="AV14" s="7" t="n">
        <v>0</v>
      </c>
      <c r="AW14" s="7" t="n">
        <v>0</v>
      </c>
      <c r="AX14" s="7" t="n">
        <v>0</v>
      </c>
      <c r="AY14" s="7" t="n">
        <v>0</v>
      </c>
      <c r="AZ14" s="7" t="n">
        <v>0</v>
      </c>
      <c r="BA14" s="7" t="n">
        <v>0</v>
      </c>
      <c r="BB14" s="7" t="n">
        <v>0</v>
      </c>
      <c r="BC14" s="7" t="n">
        <v>1</v>
      </c>
      <c r="BD14" s="7" t="n">
        <v>1</v>
      </c>
    </row>
    <row r="15" customFormat="false" ht="14.25" hidden="false" customHeight="false" outlineLevel="0" collapsed="false">
      <c r="A15" s="7" t="s">
        <v>168</v>
      </c>
      <c r="B15" s="7" t="n">
        <v>0</v>
      </c>
      <c r="C15" s="7" t="n">
        <v>176</v>
      </c>
      <c r="D15" s="7" t="n">
        <v>1</v>
      </c>
      <c r="E15" s="7"/>
      <c r="F15" s="7" t="n">
        <v>1</v>
      </c>
      <c r="G15" s="7" t="n">
        <v>14.67</v>
      </c>
      <c r="H15" s="7" t="n">
        <v>3</v>
      </c>
      <c r="I15" s="7" t="n">
        <v>2</v>
      </c>
      <c r="J15" s="7" t="n">
        <v>2</v>
      </c>
      <c r="K15" s="7" t="n">
        <v>0</v>
      </c>
      <c r="L15" s="7" t="n">
        <v>13</v>
      </c>
      <c r="M15" s="7" t="n">
        <v>6.52</v>
      </c>
      <c r="N15" s="7" t="n">
        <v>6.22</v>
      </c>
      <c r="O15" s="7" t="n">
        <v>54.4</v>
      </c>
      <c r="P15" s="7" t="n">
        <v>3.0004</v>
      </c>
      <c r="Q15" s="7" t="n">
        <v>0</v>
      </c>
      <c r="R15" s="7" t="n">
        <v>0</v>
      </c>
      <c r="S15" s="7" t="n">
        <v>1</v>
      </c>
      <c r="T15" s="7" t="n">
        <v>0</v>
      </c>
      <c r="U15" s="7" t="n">
        <v>1</v>
      </c>
      <c r="V15" s="7" t="n">
        <v>1</v>
      </c>
      <c r="W15" s="7" t="n">
        <v>0</v>
      </c>
      <c r="X15" s="7" t="n">
        <v>0</v>
      </c>
      <c r="Y15" s="7" t="n">
        <v>1</v>
      </c>
      <c r="Z15" s="7" t="n">
        <v>0</v>
      </c>
      <c r="AA15" s="7" t="n">
        <v>0</v>
      </c>
      <c r="AB15" s="7" t="n">
        <v>0</v>
      </c>
      <c r="AC15" s="7" t="n">
        <v>0</v>
      </c>
      <c r="AD15" s="7" t="n">
        <v>1</v>
      </c>
      <c r="AE15" s="7" t="n">
        <v>0</v>
      </c>
      <c r="AF15" s="7" t="n">
        <v>1</v>
      </c>
      <c r="AG15" s="7" t="n">
        <v>0</v>
      </c>
      <c r="AH15" s="7" t="n">
        <v>1</v>
      </c>
      <c r="AI15" s="7" t="n">
        <v>0</v>
      </c>
      <c r="AJ15" s="7" t="n">
        <v>1</v>
      </c>
      <c r="AK15" s="7" t="n">
        <v>0</v>
      </c>
      <c r="AL15" s="7" t="n">
        <v>0</v>
      </c>
      <c r="AM15" s="7" t="n">
        <v>0</v>
      </c>
      <c r="AN15" s="7" t="n">
        <v>1</v>
      </c>
      <c r="AO15" s="7" t="n">
        <v>0</v>
      </c>
      <c r="AP15" s="7" t="n">
        <v>0</v>
      </c>
      <c r="AQ15" s="7" t="n">
        <v>0</v>
      </c>
      <c r="AR15" s="7" t="n">
        <v>0</v>
      </c>
      <c r="AS15" s="7" t="n">
        <v>1</v>
      </c>
      <c r="AT15" s="7" t="n">
        <v>0</v>
      </c>
      <c r="AU15" s="7" t="n">
        <v>1</v>
      </c>
      <c r="AV15" s="7" t="n">
        <v>0</v>
      </c>
      <c r="AW15" s="7" t="n">
        <v>0</v>
      </c>
      <c r="AX15" s="7" t="n">
        <v>0</v>
      </c>
      <c r="AY15" s="7" t="n">
        <v>0</v>
      </c>
      <c r="AZ15" s="7" t="n">
        <v>0</v>
      </c>
      <c r="BA15" s="7" t="n">
        <v>0</v>
      </c>
      <c r="BB15" s="7" t="n">
        <v>0</v>
      </c>
      <c r="BC15" s="7" t="n">
        <v>1</v>
      </c>
      <c r="BD15" s="7" t="n">
        <v>1</v>
      </c>
    </row>
    <row r="16" customFormat="false" ht="14.25" hidden="false" customHeight="false" outlineLevel="0" collapsed="false">
      <c r="A16" s="7" t="s">
        <v>173</v>
      </c>
      <c r="B16" s="7" t="n">
        <v>0</v>
      </c>
      <c r="C16" s="7" t="n">
        <v>188</v>
      </c>
      <c r="D16" s="7"/>
      <c r="E16" s="7"/>
      <c r="F16" s="7" t="n">
        <v>0</v>
      </c>
      <c r="G16" s="7" t="n">
        <v>15.67</v>
      </c>
      <c r="H16" s="7" t="n">
        <v>3</v>
      </c>
      <c r="I16" s="7" t="n">
        <v>2</v>
      </c>
      <c r="J16" s="7" t="n">
        <v>1</v>
      </c>
      <c r="K16" s="7" t="n">
        <v>0</v>
      </c>
      <c r="L16" s="7" t="n">
        <v>25</v>
      </c>
      <c r="M16" s="7" t="n">
        <v>6.46</v>
      </c>
      <c r="N16" s="7" t="n">
        <v>11.4</v>
      </c>
      <c r="O16" s="7" t="n">
        <v>54.4</v>
      </c>
      <c r="P16" s="7" t="n">
        <v>1.8808</v>
      </c>
      <c r="Q16" s="7" t="n">
        <v>0</v>
      </c>
      <c r="R16" s="7" t="n">
        <v>0</v>
      </c>
      <c r="S16" s="7" t="n">
        <v>0</v>
      </c>
      <c r="T16" s="7" t="n">
        <v>0</v>
      </c>
      <c r="U16" s="7" t="n">
        <v>0</v>
      </c>
      <c r="V16" s="7" t="n">
        <v>0</v>
      </c>
      <c r="W16" s="7" t="n">
        <v>0</v>
      </c>
      <c r="X16" s="7" t="n">
        <v>0</v>
      </c>
      <c r="Y16" s="7" t="n">
        <v>1</v>
      </c>
      <c r="Z16" s="7" t="n">
        <v>0</v>
      </c>
      <c r="AA16" s="7" t="n">
        <v>0</v>
      </c>
      <c r="AB16" s="7" t="n">
        <v>1</v>
      </c>
      <c r="AC16" s="7" t="n">
        <v>0</v>
      </c>
      <c r="AD16" s="7" t="n">
        <v>1</v>
      </c>
      <c r="AE16" s="7" t="n">
        <v>0</v>
      </c>
      <c r="AF16" s="7" t="n">
        <v>0</v>
      </c>
      <c r="AG16" s="7" t="n">
        <v>1</v>
      </c>
      <c r="AH16" s="7" t="n">
        <v>0</v>
      </c>
      <c r="AI16" s="7" t="n">
        <v>0</v>
      </c>
      <c r="AJ16" s="7" t="n">
        <v>0</v>
      </c>
      <c r="AK16" s="7" t="n">
        <v>0</v>
      </c>
      <c r="AL16" s="7" t="n">
        <v>0</v>
      </c>
      <c r="AM16" s="7" t="n">
        <v>1</v>
      </c>
      <c r="AN16" s="7" t="n">
        <v>1</v>
      </c>
      <c r="AO16" s="7" t="n">
        <v>0</v>
      </c>
      <c r="AP16" s="7" t="n">
        <v>0</v>
      </c>
      <c r="AQ16" s="7" t="n">
        <v>0</v>
      </c>
      <c r="AR16" s="7" t="n">
        <v>0</v>
      </c>
      <c r="AS16" s="7" t="n">
        <v>1</v>
      </c>
      <c r="AT16" s="7" t="n">
        <v>0</v>
      </c>
      <c r="AU16" s="7" t="n">
        <v>1</v>
      </c>
      <c r="AV16" s="7" t="n">
        <v>0</v>
      </c>
      <c r="AW16" s="7" t="n">
        <v>0</v>
      </c>
      <c r="AX16" s="7" t="n">
        <v>0</v>
      </c>
      <c r="AY16" s="7" t="n">
        <v>0</v>
      </c>
      <c r="AZ16" s="7" t="n">
        <v>0</v>
      </c>
      <c r="BA16" s="7" t="n">
        <v>0</v>
      </c>
      <c r="BB16" s="7" t="n">
        <v>0</v>
      </c>
      <c r="BC16" s="7" t="n">
        <v>1</v>
      </c>
      <c r="BD16" s="7" t="n">
        <v>0</v>
      </c>
    </row>
    <row r="17" customFormat="false" ht="14.25" hidden="false" customHeight="false" outlineLevel="0" collapsed="false">
      <c r="A17" s="7" t="s">
        <v>176</v>
      </c>
      <c r="B17" s="7" t="n">
        <v>0</v>
      </c>
      <c r="C17" s="7" t="n">
        <v>176</v>
      </c>
      <c r="D17" s="7" t="n">
        <v>0</v>
      </c>
      <c r="E17" s="7" t="n">
        <v>0</v>
      </c>
      <c r="F17" s="7" t="n">
        <v>0</v>
      </c>
      <c r="G17" s="7" t="n">
        <v>14.67</v>
      </c>
      <c r="H17" s="7" t="n">
        <v>3</v>
      </c>
      <c r="I17" s="7" t="n">
        <v>2</v>
      </c>
      <c r="J17" s="7" t="n">
        <v>5</v>
      </c>
      <c r="K17" s="7" t="n">
        <v>0</v>
      </c>
      <c r="L17" s="7" t="n">
        <v>10</v>
      </c>
      <c r="M17" s="7" t="n">
        <v>6.52</v>
      </c>
      <c r="N17" s="7" t="n">
        <v>6.22</v>
      </c>
      <c r="O17" s="7" t="n">
        <v>54.4</v>
      </c>
      <c r="P17" s="7" t="n">
        <v>2.179</v>
      </c>
      <c r="Q17" s="7" t="n">
        <v>0</v>
      </c>
      <c r="R17" s="7" t="n">
        <v>0</v>
      </c>
      <c r="S17" s="7" t="n">
        <v>0</v>
      </c>
      <c r="T17" s="7" t="n">
        <v>0</v>
      </c>
      <c r="U17" s="7" t="n">
        <v>0</v>
      </c>
      <c r="V17" s="7" t="n">
        <v>0</v>
      </c>
      <c r="W17" s="7" t="n">
        <v>0</v>
      </c>
      <c r="X17" s="7" t="n">
        <v>0</v>
      </c>
      <c r="Y17" s="7" t="n">
        <v>1</v>
      </c>
      <c r="Z17" s="7" t="n">
        <v>0</v>
      </c>
      <c r="AA17" s="7" t="n">
        <v>0</v>
      </c>
      <c r="AB17" s="7" t="n">
        <v>0</v>
      </c>
      <c r="AC17" s="7" t="n">
        <v>0</v>
      </c>
      <c r="AD17" s="7" t="n">
        <v>1</v>
      </c>
      <c r="AE17" s="7" t="n">
        <v>1</v>
      </c>
      <c r="AF17" s="7" t="n">
        <v>0</v>
      </c>
      <c r="AG17" s="7" t="n">
        <v>1</v>
      </c>
      <c r="AH17" s="7" t="n">
        <v>0</v>
      </c>
      <c r="AI17" s="7" t="n">
        <v>0</v>
      </c>
      <c r="AJ17" s="7" t="n">
        <v>0</v>
      </c>
      <c r="AK17" s="7" t="n">
        <v>0</v>
      </c>
      <c r="AL17" s="7" t="n">
        <v>0</v>
      </c>
      <c r="AM17" s="7" t="n">
        <v>0</v>
      </c>
      <c r="AN17" s="7" t="n">
        <v>0</v>
      </c>
      <c r="AO17" s="7" t="n">
        <v>0</v>
      </c>
      <c r="AP17" s="7" t="n">
        <v>0</v>
      </c>
      <c r="AQ17" s="7" t="n">
        <v>0</v>
      </c>
      <c r="AR17" s="7" t="n">
        <v>0</v>
      </c>
      <c r="AS17" s="7" t="n">
        <v>1</v>
      </c>
      <c r="AT17" s="7" t="n">
        <v>0</v>
      </c>
      <c r="AU17" s="7" t="n">
        <v>1</v>
      </c>
      <c r="AV17" s="7" t="n">
        <v>0</v>
      </c>
      <c r="AW17" s="7" t="n">
        <v>0</v>
      </c>
      <c r="AX17" s="7" t="n">
        <v>0</v>
      </c>
      <c r="AY17" s="7" t="n">
        <v>0</v>
      </c>
      <c r="AZ17" s="7" t="n">
        <v>0</v>
      </c>
      <c r="BA17" s="7" t="n">
        <v>0</v>
      </c>
      <c r="BB17" s="7" t="n">
        <v>0</v>
      </c>
      <c r="BC17" s="7" t="n">
        <v>1</v>
      </c>
      <c r="BD17" s="7" t="n">
        <v>1</v>
      </c>
    </row>
    <row r="18" customFormat="false" ht="14.25" hidden="false" customHeight="false" outlineLevel="0" collapsed="false">
      <c r="A18" s="7" t="s">
        <v>180</v>
      </c>
      <c r="B18" s="7" t="n">
        <v>0</v>
      </c>
      <c r="C18" s="7" t="n">
        <v>176</v>
      </c>
      <c r="D18" s="7" t="n">
        <v>1</v>
      </c>
      <c r="E18" s="7" t="n">
        <v>1</v>
      </c>
      <c r="F18" s="7" t="n">
        <v>1</v>
      </c>
      <c r="G18" s="7" t="n">
        <v>14.67</v>
      </c>
      <c r="H18" s="7" t="n">
        <v>3</v>
      </c>
      <c r="I18" s="7" t="n">
        <v>1</v>
      </c>
      <c r="J18" s="7" t="n">
        <v>1</v>
      </c>
      <c r="K18" s="7" t="n">
        <v>1</v>
      </c>
      <c r="L18" s="7" t="n">
        <v>13</v>
      </c>
      <c r="M18" s="7" t="n">
        <v>6.52</v>
      </c>
      <c r="N18" s="7" t="n">
        <v>6.22</v>
      </c>
      <c r="O18" s="7" t="n">
        <v>54.4</v>
      </c>
      <c r="P18" s="7" t="n">
        <v>2.6314</v>
      </c>
      <c r="Q18" s="7" t="n">
        <v>0</v>
      </c>
      <c r="R18" s="7" t="n">
        <v>0</v>
      </c>
      <c r="S18" s="7" t="n">
        <v>0</v>
      </c>
      <c r="T18" s="7" t="n">
        <v>0</v>
      </c>
      <c r="U18" s="7" t="n">
        <v>0</v>
      </c>
      <c r="V18" s="7" t="n">
        <v>0</v>
      </c>
      <c r="W18" s="7" t="n">
        <v>0</v>
      </c>
      <c r="X18" s="7" t="n">
        <v>0</v>
      </c>
      <c r="Y18" s="7" t="n">
        <v>1</v>
      </c>
      <c r="Z18" s="7" t="n">
        <v>0</v>
      </c>
      <c r="AA18" s="7" t="n">
        <v>0</v>
      </c>
      <c r="AB18" s="7" t="n">
        <v>0</v>
      </c>
      <c r="AC18" s="7" t="n">
        <v>0</v>
      </c>
      <c r="AD18" s="7" t="n">
        <v>1</v>
      </c>
      <c r="AE18" s="7" t="n">
        <v>0</v>
      </c>
      <c r="AF18" s="7" t="n">
        <v>0</v>
      </c>
      <c r="AG18" s="7" t="n">
        <v>0</v>
      </c>
      <c r="AH18" s="7" t="n">
        <v>0</v>
      </c>
      <c r="AI18" s="7" t="n">
        <v>1</v>
      </c>
      <c r="AJ18" s="7" t="n">
        <v>0</v>
      </c>
      <c r="AK18" s="7" t="n">
        <v>0</v>
      </c>
      <c r="AL18" s="7" t="n">
        <v>0</v>
      </c>
      <c r="AM18" s="7" t="n">
        <v>0</v>
      </c>
      <c r="AN18" s="7" t="n">
        <v>0</v>
      </c>
      <c r="AO18" s="7" t="n">
        <v>0</v>
      </c>
      <c r="AP18" s="7" t="n">
        <v>0</v>
      </c>
      <c r="AQ18" s="7" t="n">
        <v>0</v>
      </c>
      <c r="AR18" s="7" t="n">
        <v>0</v>
      </c>
      <c r="AS18" s="7" t="n">
        <v>1</v>
      </c>
      <c r="AT18" s="7" t="n">
        <v>0</v>
      </c>
      <c r="AU18" s="7" t="n">
        <v>1</v>
      </c>
      <c r="AV18" s="7" t="n">
        <v>0</v>
      </c>
      <c r="AW18" s="7" t="n">
        <v>0</v>
      </c>
      <c r="AX18" s="7" t="n">
        <v>0</v>
      </c>
      <c r="AY18" s="7" t="n">
        <v>0</v>
      </c>
      <c r="AZ18" s="7" t="n">
        <v>0</v>
      </c>
      <c r="BA18" s="7" t="n">
        <v>0</v>
      </c>
      <c r="BB18" s="7" t="n">
        <v>0</v>
      </c>
      <c r="BC18" s="7" t="n">
        <v>1</v>
      </c>
      <c r="BD18" s="7" t="n">
        <v>1</v>
      </c>
    </row>
    <row r="19" customFormat="false" ht="14.25" hidden="false" customHeight="false" outlineLevel="0" collapsed="false">
      <c r="A19" s="7" t="s">
        <v>185</v>
      </c>
      <c r="B19" s="7" t="n">
        <v>0</v>
      </c>
      <c r="C19" s="7" t="n">
        <v>128</v>
      </c>
      <c r="D19" s="7" t="n">
        <v>1</v>
      </c>
      <c r="E19" s="7" t="n">
        <v>1</v>
      </c>
      <c r="F19" s="7" t="n">
        <v>0</v>
      </c>
      <c r="G19" s="7" t="n">
        <v>10.67</v>
      </c>
      <c r="H19" s="7" t="n">
        <v>3</v>
      </c>
      <c r="I19" s="7" t="n">
        <v>2</v>
      </c>
      <c r="J19" s="7" t="n">
        <v>1</v>
      </c>
      <c r="K19" s="7" t="n">
        <v>0</v>
      </c>
      <c r="L19" s="7" t="n">
        <v>13</v>
      </c>
      <c r="M19" s="7" t="n">
        <v>7.11</v>
      </c>
      <c r="N19" s="7" t="n">
        <v>5.51</v>
      </c>
      <c r="O19" s="7" t="n">
        <v>54.4</v>
      </c>
      <c r="P19" s="7" t="n">
        <v>2.179</v>
      </c>
      <c r="Q19" s="7" t="n">
        <v>0</v>
      </c>
      <c r="R19" s="7" t="n">
        <v>0</v>
      </c>
      <c r="S19" s="7" t="n">
        <v>1</v>
      </c>
      <c r="T19" s="7" t="n">
        <v>0</v>
      </c>
      <c r="U19" s="7" t="n">
        <v>0</v>
      </c>
      <c r="V19" s="7" t="n">
        <v>1</v>
      </c>
      <c r="W19" s="7" t="n">
        <v>0</v>
      </c>
      <c r="X19" s="7" t="n">
        <v>0</v>
      </c>
      <c r="Y19" s="7" t="n">
        <v>1</v>
      </c>
      <c r="Z19" s="7" t="n">
        <v>0</v>
      </c>
      <c r="AA19" s="7" t="n">
        <v>0</v>
      </c>
      <c r="AB19" s="7" t="n">
        <v>0</v>
      </c>
      <c r="AC19" s="7" t="n">
        <v>0</v>
      </c>
      <c r="AD19" s="7" t="n">
        <v>1</v>
      </c>
      <c r="AE19" s="7" t="n">
        <v>0</v>
      </c>
      <c r="AF19" s="7" t="n">
        <v>1</v>
      </c>
      <c r="AG19" s="7" t="n">
        <v>0</v>
      </c>
      <c r="AH19" s="7" t="n">
        <v>1</v>
      </c>
      <c r="AI19" s="7" t="n">
        <v>0</v>
      </c>
      <c r="AJ19" s="7" t="n">
        <v>0</v>
      </c>
      <c r="AK19" s="7" t="n">
        <v>0</v>
      </c>
      <c r="AL19" s="7" t="n">
        <v>0</v>
      </c>
      <c r="AM19" s="7" t="n">
        <v>0</v>
      </c>
      <c r="AN19" s="7" t="n">
        <v>0</v>
      </c>
      <c r="AO19" s="7" t="n">
        <v>0</v>
      </c>
      <c r="AP19" s="7" t="n">
        <v>0</v>
      </c>
      <c r="AQ19" s="7" t="n">
        <v>0</v>
      </c>
      <c r="AR19" s="7" t="n">
        <v>0</v>
      </c>
      <c r="AS19" s="7" t="n">
        <v>1</v>
      </c>
      <c r="AT19" s="7" t="n">
        <v>0</v>
      </c>
      <c r="AU19" s="7" t="n">
        <v>1</v>
      </c>
      <c r="AV19" s="7" t="n">
        <v>0</v>
      </c>
      <c r="AW19" s="7" t="n">
        <v>0</v>
      </c>
      <c r="AX19" s="7" t="n">
        <v>0</v>
      </c>
      <c r="AY19" s="7" t="n">
        <v>0</v>
      </c>
      <c r="AZ19" s="7" t="n">
        <v>0</v>
      </c>
      <c r="BA19" s="7" t="n">
        <v>0</v>
      </c>
      <c r="BB19" s="7" t="n">
        <v>0</v>
      </c>
      <c r="BC19" s="7" t="n">
        <v>1</v>
      </c>
      <c r="BD19" s="7" t="n">
        <v>1</v>
      </c>
    </row>
    <row r="20" customFormat="false" ht="14.25" hidden="false" customHeight="false" outlineLevel="0" collapsed="false">
      <c r="A20" s="7" t="s">
        <v>189</v>
      </c>
      <c r="B20" s="7" t="n">
        <v>0</v>
      </c>
      <c r="C20" s="7" t="n">
        <v>68</v>
      </c>
      <c r="D20" s="7" t="n">
        <v>1</v>
      </c>
      <c r="E20" s="7" t="n">
        <v>1</v>
      </c>
      <c r="F20" s="7" t="n">
        <v>0</v>
      </c>
      <c r="G20" s="7" t="n">
        <v>5.67</v>
      </c>
      <c r="H20" s="7" t="n">
        <v>3</v>
      </c>
      <c r="I20" s="7" t="n">
        <v>2</v>
      </c>
      <c r="J20" s="7" t="n">
        <v>2</v>
      </c>
      <c r="K20" s="7" t="n">
        <v>0.5</v>
      </c>
      <c r="L20" s="7" t="n">
        <v>20</v>
      </c>
      <c r="M20" s="7" t="n">
        <v>6.94</v>
      </c>
      <c r="N20" s="7" t="n">
        <v>5.55</v>
      </c>
      <c r="O20" s="7" t="n">
        <v>54.4</v>
      </c>
      <c r="P20" s="7" t="n">
        <v>2.179</v>
      </c>
      <c r="Q20" s="7" t="n">
        <v>0</v>
      </c>
      <c r="R20" s="7" t="n">
        <v>0</v>
      </c>
      <c r="S20" s="7" t="n">
        <v>0</v>
      </c>
      <c r="T20" s="7" t="n">
        <v>0</v>
      </c>
      <c r="U20" s="7" t="n">
        <v>0</v>
      </c>
      <c r="V20" s="7" t="n">
        <v>0</v>
      </c>
      <c r="W20" s="7" t="n">
        <v>0</v>
      </c>
      <c r="X20" s="7" t="n">
        <v>0</v>
      </c>
      <c r="Y20" s="7" t="n">
        <v>1</v>
      </c>
      <c r="Z20" s="7" t="n">
        <v>0</v>
      </c>
      <c r="AA20" s="7" t="n">
        <v>1</v>
      </c>
      <c r="AB20" s="7" t="n">
        <v>0</v>
      </c>
      <c r="AC20" s="7" t="n">
        <v>0</v>
      </c>
      <c r="AD20" s="7" t="n">
        <v>1</v>
      </c>
      <c r="AE20" s="7" t="n">
        <v>0</v>
      </c>
      <c r="AF20" s="7" t="n">
        <v>0</v>
      </c>
      <c r="AG20" s="7" t="n">
        <v>1</v>
      </c>
      <c r="AH20" s="7" t="n">
        <v>0</v>
      </c>
      <c r="AI20" s="7" t="n">
        <v>1</v>
      </c>
      <c r="AJ20" s="7" t="n">
        <v>0</v>
      </c>
      <c r="AK20" s="7" t="n">
        <v>0</v>
      </c>
      <c r="AL20" s="7" t="n">
        <v>1</v>
      </c>
      <c r="AM20" s="7" t="n">
        <v>0</v>
      </c>
      <c r="AN20" s="7" t="n">
        <v>1</v>
      </c>
      <c r="AO20" s="7" t="n">
        <v>0</v>
      </c>
      <c r="AP20" s="7" t="n">
        <v>0</v>
      </c>
      <c r="AQ20" s="7" t="n">
        <v>0</v>
      </c>
      <c r="AR20" s="7" t="n">
        <v>0</v>
      </c>
      <c r="AS20" s="7" t="n">
        <v>1</v>
      </c>
      <c r="AT20" s="7" t="n">
        <v>0</v>
      </c>
      <c r="AU20" s="7" t="n">
        <v>1</v>
      </c>
      <c r="AV20" s="7" t="n">
        <v>0</v>
      </c>
      <c r="AW20" s="7" t="n">
        <v>0</v>
      </c>
      <c r="AX20" s="7" t="n">
        <v>0</v>
      </c>
      <c r="AY20" s="7" t="n">
        <v>0</v>
      </c>
      <c r="AZ20" s="7" t="n">
        <v>0</v>
      </c>
      <c r="BA20" s="7" t="n">
        <v>0</v>
      </c>
      <c r="BB20" s="7" t="n">
        <v>0</v>
      </c>
      <c r="BC20" s="7" t="n">
        <v>1</v>
      </c>
      <c r="BD20" s="7" t="n">
        <v>1</v>
      </c>
    </row>
    <row r="21" customFormat="false" ht="14.25" hidden="false" customHeight="false" outlineLevel="0" collapsed="false">
      <c r="A21" s="7" t="s">
        <v>193</v>
      </c>
      <c r="B21" s="7" t="n">
        <v>0</v>
      </c>
      <c r="C21" s="7" t="n">
        <v>140</v>
      </c>
      <c r="D21" s="7" t="n">
        <v>1</v>
      </c>
      <c r="E21" s="7" t="n">
        <v>1</v>
      </c>
      <c r="F21" s="7" t="n">
        <v>0</v>
      </c>
      <c r="G21" s="7" t="n">
        <v>11.67</v>
      </c>
      <c r="H21" s="7" t="n">
        <v>3</v>
      </c>
      <c r="I21" s="7" t="n">
        <v>2</v>
      </c>
      <c r="J21" s="7" t="n">
        <v>1</v>
      </c>
      <c r="K21" s="7" t="n">
        <v>0</v>
      </c>
      <c r="L21" s="7" t="n">
        <v>19</v>
      </c>
      <c r="M21" s="7" t="n">
        <v>6.55</v>
      </c>
      <c r="N21" s="7" t="n">
        <v>6.4</v>
      </c>
      <c r="O21" s="7" t="n">
        <v>54.4</v>
      </c>
      <c r="P21" s="7" t="n">
        <v>2.2455</v>
      </c>
      <c r="Q21" s="7" t="n">
        <v>0</v>
      </c>
      <c r="R21" s="7" t="n">
        <v>0</v>
      </c>
      <c r="S21" s="7" t="n">
        <v>1</v>
      </c>
      <c r="T21" s="7" t="n">
        <v>0</v>
      </c>
      <c r="U21" s="7" t="n">
        <v>0</v>
      </c>
      <c r="V21" s="7" t="n">
        <v>0</v>
      </c>
      <c r="W21" s="7" t="n">
        <v>0</v>
      </c>
      <c r="X21" s="7" t="n">
        <v>0</v>
      </c>
      <c r="Y21" s="7" t="n">
        <v>1</v>
      </c>
      <c r="Z21" s="7" t="n">
        <v>0</v>
      </c>
      <c r="AA21" s="7" t="n">
        <v>0</v>
      </c>
      <c r="AB21" s="7" t="n">
        <v>1</v>
      </c>
      <c r="AC21" s="7" t="n">
        <v>0</v>
      </c>
      <c r="AD21" s="7" t="n">
        <v>1</v>
      </c>
      <c r="AE21" s="7" t="n">
        <v>0</v>
      </c>
      <c r="AF21" s="7" t="n">
        <v>1</v>
      </c>
      <c r="AG21" s="7" t="n">
        <v>1</v>
      </c>
      <c r="AH21" s="7" t="n">
        <v>0</v>
      </c>
      <c r="AI21" s="7" t="n">
        <v>0</v>
      </c>
      <c r="AJ21" s="7" t="n">
        <v>0</v>
      </c>
      <c r="AK21" s="7" t="n">
        <v>0</v>
      </c>
      <c r="AL21" s="7" t="n">
        <v>1</v>
      </c>
      <c r="AM21" s="7" t="n">
        <v>0</v>
      </c>
      <c r="AN21" s="7" t="n">
        <v>0</v>
      </c>
      <c r="AO21" s="7" t="n">
        <v>0</v>
      </c>
      <c r="AP21" s="7" t="n">
        <v>0</v>
      </c>
      <c r="AQ21" s="7" t="n">
        <v>0</v>
      </c>
      <c r="AR21" s="7" t="n">
        <v>0</v>
      </c>
      <c r="AS21" s="7" t="n">
        <v>1</v>
      </c>
      <c r="AT21" s="7" t="n">
        <v>0</v>
      </c>
      <c r="AU21" s="7" t="n">
        <v>1</v>
      </c>
      <c r="AV21" s="7" t="n">
        <v>0</v>
      </c>
      <c r="AW21" s="7" t="n">
        <v>0</v>
      </c>
      <c r="AX21" s="7" t="n">
        <v>0</v>
      </c>
      <c r="AY21" s="7" t="n">
        <v>0</v>
      </c>
      <c r="AZ21" s="7" t="n">
        <v>0</v>
      </c>
      <c r="BA21" s="7" t="n">
        <v>0</v>
      </c>
      <c r="BB21" s="7" t="n">
        <v>0</v>
      </c>
      <c r="BC21" s="7" t="n">
        <v>1</v>
      </c>
      <c r="BD21" s="7" t="n">
        <v>1</v>
      </c>
    </row>
    <row r="22" customFormat="false" ht="14.25" hidden="false" customHeight="false" outlineLevel="0" collapsed="false">
      <c r="A22" s="7" t="s">
        <v>197</v>
      </c>
      <c r="B22" s="7" t="n">
        <v>0</v>
      </c>
      <c r="C22" s="7" t="n">
        <v>164</v>
      </c>
      <c r="D22" s="7" t="n">
        <v>1</v>
      </c>
      <c r="E22" s="7" t="n">
        <v>1</v>
      </c>
      <c r="F22" s="7" t="n">
        <v>0</v>
      </c>
      <c r="G22" s="7" t="n">
        <v>13.67</v>
      </c>
      <c r="H22" s="7" t="n">
        <v>3</v>
      </c>
      <c r="I22" s="7" t="n">
        <v>1</v>
      </c>
      <c r="J22" s="7" t="n">
        <v>3</v>
      </c>
      <c r="K22" s="7" t="n">
        <v>0.5</v>
      </c>
      <c r="L22" s="7" t="n">
        <v>10</v>
      </c>
      <c r="M22" s="7" t="n">
        <v>6.01</v>
      </c>
      <c r="N22" s="7" t="n">
        <v>7.53</v>
      </c>
      <c r="O22" s="7" t="n">
        <v>54.4</v>
      </c>
      <c r="P22" s="7" t="n">
        <v>2.1021</v>
      </c>
      <c r="Q22" s="7" t="n">
        <v>0</v>
      </c>
      <c r="R22" s="7" t="n">
        <v>0</v>
      </c>
      <c r="S22" s="7" t="n">
        <v>0</v>
      </c>
      <c r="T22" s="7" t="n">
        <v>0</v>
      </c>
      <c r="U22" s="7" t="n">
        <v>0</v>
      </c>
      <c r="V22" s="7" t="n">
        <v>0</v>
      </c>
      <c r="W22" s="7" t="n">
        <v>0</v>
      </c>
      <c r="X22" s="7" t="n">
        <v>0</v>
      </c>
      <c r="Y22" s="7" t="n">
        <v>1</v>
      </c>
      <c r="Z22" s="7" t="n">
        <v>1</v>
      </c>
      <c r="AA22" s="7" t="n">
        <v>1</v>
      </c>
      <c r="AB22" s="7" t="n">
        <v>0</v>
      </c>
      <c r="AC22" s="7" t="n">
        <v>0</v>
      </c>
      <c r="AD22" s="7" t="n">
        <v>1</v>
      </c>
      <c r="AE22" s="7" t="n">
        <v>1</v>
      </c>
      <c r="AF22" s="7" t="n">
        <v>0</v>
      </c>
      <c r="AG22" s="7" t="n">
        <v>0</v>
      </c>
      <c r="AH22" s="7" t="n">
        <v>0</v>
      </c>
      <c r="AI22" s="7" t="n">
        <v>1</v>
      </c>
      <c r="AJ22" s="7" t="n">
        <v>0</v>
      </c>
      <c r="AK22" s="7" t="n">
        <v>0</v>
      </c>
      <c r="AL22" s="7" t="n">
        <v>0</v>
      </c>
      <c r="AM22" s="7" t="n">
        <v>1</v>
      </c>
      <c r="AN22" s="7" t="n">
        <v>0</v>
      </c>
      <c r="AO22" s="7" t="n">
        <v>0</v>
      </c>
      <c r="AP22" s="7" t="n">
        <v>0</v>
      </c>
      <c r="AQ22" s="7" t="n">
        <v>0</v>
      </c>
      <c r="AR22" s="7" t="n">
        <v>0</v>
      </c>
      <c r="AS22" s="7" t="n">
        <v>1</v>
      </c>
      <c r="AT22" s="7" t="n">
        <v>0</v>
      </c>
      <c r="AU22" s="7" t="n">
        <v>1</v>
      </c>
      <c r="AV22" s="7" t="n">
        <v>0</v>
      </c>
      <c r="AW22" s="7" t="n">
        <v>0</v>
      </c>
      <c r="AX22" s="7" t="n">
        <v>0</v>
      </c>
      <c r="AY22" s="7" t="n">
        <v>0</v>
      </c>
      <c r="AZ22" s="7" t="n">
        <v>0</v>
      </c>
      <c r="BA22" s="7" t="n">
        <v>0</v>
      </c>
      <c r="BB22" s="7" t="n">
        <v>0</v>
      </c>
      <c r="BC22" s="7" t="n">
        <v>1</v>
      </c>
      <c r="BD22" s="7" t="n">
        <v>1</v>
      </c>
    </row>
    <row r="23" customFormat="false" ht="14.25" hidden="false" customHeight="false" outlineLevel="0" collapsed="false">
      <c r="A23" s="7" t="s">
        <v>203</v>
      </c>
      <c r="B23" s="7" t="n">
        <v>0</v>
      </c>
      <c r="C23" s="7" t="n">
        <v>140</v>
      </c>
      <c r="D23" s="7" t="n">
        <v>0</v>
      </c>
      <c r="E23" s="7" t="n">
        <v>0</v>
      </c>
      <c r="F23" s="7" t="n">
        <v>0</v>
      </c>
      <c r="G23" s="7" t="n">
        <v>11.67</v>
      </c>
      <c r="H23" s="7" t="n">
        <v>3</v>
      </c>
      <c r="I23" s="7" t="n">
        <v>2</v>
      </c>
      <c r="J23" s="7" t="n">
        <v>3</v>
      </c>
      <c r="K23" s="7" t="n">
        <v>0</v>
      </c>
      <c r="L23" s="7" t="n">
        <v>13</v>
      </c>
      <c r="M23" s="7" t="n">
        <v>6.55</v>
      </c>
      <c r="N23" s="7" t="n">
        <v>6.4</v>
      </c>
      <c r="O23" s="7" t="n">
        <v>54.4</v>
      </c>
      <c r="P23" s="7" t="n">
        <v>2.1021</v>
      </c>
      <c r="Q23" s="7" t="n">
        <v>0</v>
      </c>
      <c r="R23" s="7" t="n">
        <v>0</v>
      </c>
      <c r="S23" s="7" t="n">
        <v>0</v>
      </c>
      <c r="T23" s="7" t="n">
        <v>0</v>
      </c>
      <c r="U23" s="7" t="n">
        <v>0</v>
      </c>
      <c r="V23" s="7" t="n">
        <v>1</v>
      </c>
      <c r="W23" s="7" t="n">
        <v>0</v>
      </c>
      <c r="X23" s="7" t="n">
        <v>0</v>
      </c>
      <c r="Y23" s="7" t="n">
        <v>1</v>
      </c>
      <c r="Z23" s="7" t="n">
        <v>1</v>
      </c>
      <c r="AA23" s="7" t="n">
        <v>0</v>
      </c>
      <c r="AB23" s="7" t="n">
        <v>1</v>
      </c>
      <c r="AC23" s="7" t="n">
        <v>0</v>
      </c>
      <c r="AD23" s="7" t="n">
        <v>1</v>
      </c>
      <c r="AE23" s="7" t="n">
        <v>0</v>
      </c>
      <c r="AF23" s="7" t="n">
        <v>0</v>
      </c>
      <c r="AG23" s="7" t="n">
        <v>0</v>
      </c>
      <c r="AH23" s="7" t="n">
        <v>0</v>
      </c>
      <c r="AI23" s="7" t="n">
        <v>0</v>
      </c>
      <c r="AJ23" s="7" t="n">
        <v>0</v>
      </c>
      <c r="AK23" s="7" t="n">
        <v>0</v>
      </c>
      <c r="AL23" s="7" t="n">
        <v>0</v>
      </c>
      <c r="AM23" s="7" t="n">
        <v>1</v>
      </c>
      <c r="AN23" s="7" t="n">
        <v>0</v>
      </c>
      <c r="AO23" s="7" t="n">
        <v>0</v>
      </c>
      <c r="AP23" s="7" t="n">
        <v>0</v>
      </c>
      <c r="AQ23" s="7" t="n">
        <v>0</v>
      </c>
      <c r="AR23" s="7" t="n">
        <v>0</v>
      </c>
      <c r="AS23" s="7" t="n">
        <v>1</v>
      </c>
      <c r="AT23" s="7" t="n">
        <v>0</v>
      </c>
      <c r="AU23" s="7" t="n">
        <v>1</v>
      </c>
      <c r="AV23" s="7" t="n">
        <v>0</v>
      </c>
      <c r="AW23" s="7" t="n">
        <v>0</v>
      </c>
      <c r="AX23" s="7" t="n">
        <v>0</v>
      </c>
      <c r="AY23" s="7" t="n">
        <v>0</v>
      </c>
      <c r="AZ23" s="7" t="n">
        <v>0</v>
      </c>
      <c r="BA23" s="7" t="n">
        <v>0</v>
      </c>
      <c r="BB23" s="7" t="n">
        <v>0</v>
      </c>
      <c r="BC23" s="7" t="n">
        <v>1</v>
      </c>
      <c r="BD23" s="7" t="n">
        <v>1</v>
      </c>
    </row>
    <row r="24" customFormat="false" ht="14.25" hidden="false" customHeight="false" outlineLevel="0" collapsed="false">
      <c r="A24" s="7" t="s">
        <v>207</v>
      </c>
      <c r="B24" s="7" t="n">
        <v>0</v>
      </c>
      <c r="C24" s="7" t="n">
        <v>140</v>
      </c>
      <c r="D24" s="7" t="n">
        <v>1</v>
      </c>
      <c r="E24" s="7" t="n">
        <v>1</v>
      </c>
      <c r="F24" s="7" t="n">
        <v>0</v>
      </c>
      <c r="G24" s="7" t="n">
        <v>11.67</v>
      </c>
      <c r="H24" s="7" t="n">
        <v>3</v>
      </c>
      <c r="I24" s="7" t="n">
        <v>2</v>
      </c>
      <c r="J24" s="7" t="n">
        <v>3</v>
      </c>
      <c r="K24" s="7" t="n">
        <v>0</v>
      </c>
      <c r="L24" s="7" t="n">
        <v>4</v>
      </c>
      <c r="M24" s="7" t="n">
        <v>6.55</v>
      </c>
      <c r="N24" s="7" t="n">
        <v>6.4</v>
      </c>
      <c r="O24" s="7" t="n">
        <v>54.4</v>
      </c>
      <c r="P24" s="7" t="n">
        <v>2.1021</v>
      </c>
      <c r="Q24" s="7" t="n">
        <v>0</v>
      </c>
      <c r="R24" s="7" t="n">
        <v>0</v>
      </c>
      <c r="S24" s="7" t="n">
        <v>0</v>
      </c>
      <c r="T24" s="7" t="n">
        <v>0</v>
      </c>
      <c r="U24" s="7" t="n">
        <v>0</v>
      </c>
      <c r="V24" s="7" t="n">
        <v>0</v>
      </c>
      <c r="W24" s="7" t="n">
        <v>0</v>
      </c>
      <c r="X24" s="7" t="n">
        <v>0</v>
      </c>
      <c r="Y24" s="7" t="n">
        <v>1</v>
      </c>
      <c r="Z24" s="7" t="n">
        <v>1</v>
      </c>
      <c r="AA24" s="7" t="n">
        <v>0</v>
      </c>
      <c r="AB24" s="7" t="n">
        <v>1</v>
      </c>
      <c r="AC24" s="7" t="n">
        <v>0</v>
      </c>
      <c r="AD24" s="7" t="n">
        <v>1</v>
      </c>
      <c r="AE24" s="7" t="n">
        <v>1</v>
      </c>
      <c r="AF24" s="7" t="n">
        <v>0</v>
      </c>
      <c r="AG24" s="7" t="n">
        <v>1</v>
      </c>
      <c r="AH24" s="7" t="n">
        <v>0</v>
      </c>
      <c r="AI24" s="7" t="n">
        <v>0</v>
      </c>
      <c r="AJ24" s="7" t="n">
        <v>0</v>
      </c>
      <c r="AK24" s="7" t="n">
        <v>0</v>
      </c>
      <c r="AL24" s="7" t="n">
        <v>0</v>
      </c>
      <c r="AM24" s="7" t="n">
        <v>0</v>
      </c>
      <c r="AN24" s="7" t="n">
        <v>1</v>
      </c>
      <c r="AO24" s="7" t="n">
        <v>0</v>
      </c>
      <c r="AP24" s="7" t="n">
        <v>0</v>
      </c>
      <c r="AQ24" s="7" t="n">
        <v>0</v>
      </c>
      <c r="AR24" s="7" t="n">
        <v>0</v>
      </c>
      <c r="AS24" s="7" t="n">
        <v>1</v>
      </c>
      <c r="AT24" s="7" t="n">
        <v>0</v>
      </c>
      <c r="AU24" s="7" t="n">
        <v>0</v>
      </c>
      <c r="AV24" s="7" t="n">
        <v>0</v>
      </c>
      <c r="AW24" s="7" t="n">
        <v>0</v>
      </c>
      <c r="AX24" s="7" t="n">
        <v>0</v>
      </c>
      <c r="AY24" s="7" t="n">
        <v>0</v>
      </c>
      <c r="AZ24" s="7" t="n">
        <v>1</v>
      </c>
      <c r="BA24" s="7" t="n">
        <v>0</v>
      </c>
      <c r="BB24" s="7" t="n">
        <v>0</v>
      </c>
      <c r="BC24" s="7" t="n">
        <v>1</v>
      </c>
      <c r="BD24" s="7" t="n">
        <v>1</v>
      </c>
    </row>
    <row r="25" customFormat="false" ht="14.25" hidden="false" customHeight="false" outlineLevel="0" collapsed="false">
      <c r="A25" s="7" t="s">
        <v>212</v>
      </c>
      <c r="B25" s="7" t="n">
        <v>0</v>
      </c>
      <c r="C25" s="7" t="n">
        <v>152</v>
      </c>
      <c r="D25" s="7" t="n">
        <v>1</v>
      </c>
      <c r="E25" s="7" t="n">
        <v>1</v>
      </c>
      <c r="F25" s="7" t="n">
        <v>0</v>
      </c>
      <c r="G25" s="7" t="n">
        <v>12.67</v>
      </c>
      <c r="H25" s="7" t="n">
        <v>3</v>
      </c>
      <c r="I25" s="7" t="n">
        <v>2</v>
      </c>
      <c r="J25" s="7" t="n">
        <v>1</v>
      </c>
      <c r="K25" s="7" t="n">
        <v>1</v>
      </c>
      <c r="L25" s="7" t="n">
        <v>13.5</v>
      </c>
      <c r="M25" s="7" t="n">
        <v>6.06</v>
      </c>
      <c r="N25" s="7" t="n">
        <v>6.99</v>
      </c>
      <c r="O25" s="7" t="n">
        <v>54.4</v>
      </c>
      <c r="P25" s="7" t="n">
        <v>2.1021</v>
      </c>
      <c r="Q25" s="7" t="n">
        <v>0</v>
      </c>
      <c r="R25" s="7" t="n">
        <v>0</v>
      </c>
      <c r="S25" s="7" t="n">
        <v>0</v>
      </c>
      <c r="T25" s="7" t="n">
        <v>0</v>
      </c>
      <c r="U25" s="7" t="n">
        <v>0</v>
      </c>
      <c r="V25" s="7" t="n">
        <v>0</v>
      </c>
      <c r="W25" s="7" t="n">
        <v>0</v>
      </c>
      <c r="X25" s="7" t="n">
        <v>0</v>
      </c>
      <c r="Y25" s="7" t="n">
        <v>1</v>
      </c>
      <c r="Z25" s="7" t="n">
        <v>1</v>
      </c>
      <c r="AA25" s="7" t="n">
        <v>0</v>
      </c>
      <c r="AB25" s="7" t="n">
        <v>1</v>
      </c>
      <c r="AC25" s="7" t="n">
        <v>0</v>
      </c>
      <c r="AD25" s="7" t="n">
        <v>1</v>
      </c>
      <c r="AE25" s="7" t="n">
        <v>1</v>
      </c>
      <c r="AF25" s="7" t="n">
        <v>0</v>
      </c>
      <c r="AG25" s="7" t="n">
        <v>0</v>
      </c>
      <c r="AH25" s="7" t="n">
        <v>0</v>
      </c>
      <c r="AI25" s="7" t="n">
        <v>1</v>
      </c>
      <c r="AJ25" s="7" t="n">
        <v>0</v>
      </c>
      <c r="AK25" s="7" t="n">
        <v>0</v>
      </c>
      <c r="AL25" s="7" t="n">
        <v>0</v>
      </c>
      <c r="AM25" s="7" t="n">
        <v>1</v>
      </c>
      <c r="AN25" s="7" t="n">
        <v>1</v>
      </c>
      <c r="AO25" s="7" t="n">
        <v>0</v>
      </c>
      <c r="AP25" s="7" t="n">
        <v>0</v>
      </c>
      <c r="AQ25" s="7" t="n">
        <v>0</v>
      </c>
      <c r="AR25" s="7" t="n">
        <v>0</v>
      </c>
      <c r="AS25" s="7" t="n">
        <v>1</v>
      </c>
      <c r="AT25" s="7" t="n">
        <v>0</v>
      </c>
      <c r="AU25" s="7" t="n">
        <v>0</v>
      </c>
      <c r="AV25" s="7" t="n">
        <v>0</v>
      </c>
      <c r="AW25" s="7" t="n">
        <v>0</v>
      </c>
      <c r="AX25" s="7" t="n">
        <v>0</v>
      </c>
      <c r="AY25" s="7" t="n">
        <v>0</v>
      </c>
      <c r="AZ25" s="7" t="n">
        <v>1</v>
      </c>
      <c r="BA25" s="7" t="n">
        <v>0</v>
      </c>
      <c r="BB25" s="7" t="n">
        <v>0</v>
      </c>
      <c r="BC25" s="7" t="n">
        <v>1</v>
      </c>
      <c r="BD25" s="7" t="n">
        <v>1</v>
      </c>
    </row>
    <row r="26" customFormat="false" ht="14.25" hidden="false" customHeight="false" outlineLevel="0" collapsed="false">
      <c r="A26" s="7" t="s">
        <v>216</v>
      </c>
      <c r="B26" s="7" t="n">
        <v>0</v>
      </c>
      <c r="C26" s="7" t="n">
        <v>152</v>
      </c>
      <c r="D26" s="7" t="n">
        <v>1</v>
      </c>
      <c r="E26" s="7" t="n">
        <v>1</v>
      </c>
      <c r="F26" s="7" t="n">
        <v>0</v>
      </c>
      <c r="G26" s="7" t="n">
        <v>12.67</v>
      </c>
      <c r="H26" s="7" t="n">
        <v>3</v>
      </c>
      <c r="I26" s="7" t="n">
        <v>2</v>
      </c>
      <c r="J26" s="7" t="n">
        <v>1</v>
      </c>
      <c r="K26" s="7" t="n">
        <v>0</v>
      </c>
      <c r="L26" s="7" t="n">
        <v>6</v>
      </c>
      <c r="M26" s="7" t="n">
        <v>6.06</v>
      </c>
      <c r="N26" s="7" t="n">
        <v>6.99</v>
      </c>
      <c r="O26" s="7" t="n">
        <v>54.4</v>
      </c>
      <c r="P26" s="7" t="n">
        <v>2.1021</v>
      </c>
      <c r="Q26" s="7" t="n">
        <v>0</v>
      </c>
      <c r="R26" s="7" t="n">
        <v>0</v>
      </c>
      <c r="S26" s="7" t="n">
        <v>0</v>
      </c>
      <c r="T26" s="7" t="n">
        <v>0</v>
      </c>
      <c r="U26" s="7" t="n">
        <v>0</v>
      </c>
      <c r="V26" s="7" t="n">
        <v>0</v>
      </c>
      <c r="W26" s="7" t="n">
        <v>0</v>
      </c>
      <c r="X26" s="7" t="n">
        <v>0</v>
      </c>
      <c r="Y26" s="7" t="n">
        <v>1</v>
      </c>
      <c r="Z26" s="7" t="n">
        <v>1</v>
      </c>
      <c r="AA26" s="7" t="n">
        <v>0</v>
      </c>
      <c r="AB26" s="7" t="n">
        <v>1</v>
      </c>
      <c r="AC26" s="7" t="n">
        <v>0</v>
      </c>
      <c r="AD26" s="7" t="n">
        <v>1</v>
      </c>
      <c r="AE26" s="7" t="n">
        <v>1</v>
      </c>
      <c r="AF26" s="7" t="n">
        <v>0</v>
      </c>
      <c r="AG26" s="7" t="n">
        <v>1</v>
      </c>
      <c r="AH26" s="7" t="n">
        <v>0</v>
      </c>
      <c r="AI26" s="7" t="n">
        <v>0</v>
      </c>
      <c r="AJ26" s="7" t="n">
        <v>0</v>
      </c>
      <c r="AK26" s="7" t="n">
        <v>0</v>
      </c>
      <c r="AL26" s="7" t="n">
        <v>1</v>
      </c>
      <c r="AM26" s="7" t="n">
        <v>0</v>
      </c>
      <c r="AN26" s="7" t="n">
        <v>0</v>
      </c>
      <c r="AO26" s="7" t="n">
        <v>0</v>
      </c>
      <c r="AP26" s="7" t="n">
        <v>0</v>
      </c>
      <c r="AQ26" s="7" t="n">
        <v>0</v>
      </c>
      <c r="AR26" s="7" t="n">
        <v>0</v>
      </c>
      <c r="AS26" s="7" t="n">
        <v>1</v>
      </c>
      <c r="AT26" s="7" t="n">
        <v>0</v>
      </c>
      <c r="AU26" s="7" t="n">
        <v>0</v>
      </c>
      <c r="AV26" s="7" t="n">
        <v>0</v>
      </c>
      <c r="AW26" s="7" t="n">
        <v>0</v>
      </c>
      <c r="AX26" s="7" t="n">
        <v>0</v>
      </c>
      <c r="AY26" s="7" t="n">
        <v>0</v>
      </c>
      <c r="AZ26" s="7" t="n">
        <v>1</v>
      </c>
      <c r="BA26" s="7" t="n">
        <v>0</v>
      </c>
      <c r="BB26" s="7" t="n">
        <v>0</v>
      </c>
      <c r="BC26" s="7" t="n">
        <v>1</v>
      </c>
      <c r="BD26" s="7" t="n">
        <v>1</v>
      </c>
    </row>
    <row r="27" customFormat="false" ht="14.25" hidden="false" customHeight="false" outlineLevel="0" collapsed="false">
      <c r="A27" s="7" t="s">
        <v>220</v>
      </c>
      <c r="B27" s="7" t="n">
        <v>0</v>
      </c>
      <c r="C27" s="7" t="n">
        <v>116</v>
      </c>
      <c r="D27" s="7" t="n">
        <v>1</v>
      </c>
      <c r="E27" s="7" t="n">
        <v>1</v>
      </c>
      <c r="F27" s="7" t="n">
        <v>0</v>
      </c>
      <c r="G27" s="7" t="n">
        <v>9.67</v>
      </c>
      <c r="H27" s="7" t="n">
        <v>3</v>
      </c>
      <c r="I27" s="7" t="n">
        <v>1</v>
      </c>
      <c r="J27" s="7" t="n">
        <v>2</v>
      </c>
      <c r="K27" s="7" t="n">
        <v>0</v>
      </c>
      <c r="L27" s="7" t="n">
        <v>14</v>
      </c>
      <c r="M27" s="7" t="n">
        <v>6.59</v>
      </c>
      <c r="N27" s="7" t="n">
        <v>5.7</v>
      </c>
      <c r="O27" s="7" t="n">
        <v>54.4</v>
      </c>
      <c r="P27" s="7" t="n">
        <v>2.1021</v>
      </c>
      <c r="Q27" s="7" t="n">
        <v>0</v>
      </c>
      <c r="R27" s="7" t="n">
        <v>0</v>
      </c>
      <c r="S27" s="7" t="n">
        <v>0</v>
      </c>
      <c r="T27" s="7" t="n">
        <v>0</v>
      </c>
      <c r="U27" s="7" t="n">
        <v>0</v>
      </c>
      <c r="V27" s="7" t="n">
        <v>0</v>
      </c>
      <c r="W27" s="7" t="n">
        <v>0</v>
      </c>
      <c r="X27" s="7" t="n">
        <v>0</v>
      </c>
      <c r="Y27" s="7" t="n">
        <v>1</v>
      </c>
      <c r="Z27" s="7" t="n">
        <v>1</v>
      </c>
      <c r="AA27" s="7" t="n">
        <v>0</v>
      </c>
      <c r="AB27" s="7" t="n">
        <v>1</v>
      </c>
      <c r="AC27" s="7" t="n">
        <v>0</v>
      </c>
      <c r="AD27" s="7" t="n">
        <v>1</v>
      </c>
      <c r="AE27" s="7" t="n">
        <v>0</v>
      </c>
      <c r="AF27" s="7" t="n">
        <v>0</v>
      </c>
      <c r="AG27" s="7" t="n">
        <v>0</v>
      </c>
      <c r="AH27" s="7" t="n">
        <v>0</v>
      </c>
      <c r="AI27" s="7" t="n">
        <v>0</v>
      </c>
      <c r="AJ27" s="7" t="n">
        <v>0</v>
      </c>
      <c r="AK27" s="7" t="n">
        <v>0</v>
      </c>
      <c r="AL27" s="7" t="n">
        <v>1</v>
      </c>
      <c r="AM27" s="7" t="n">
        <v>1</v>
      </c>
      <c r="AN27" s="7" t="n">
        <v>1</v>
      </c>
      <c r="AO27" s="7" t="n">
        <v>0</v>
      </c>
      <c r="AP27" s="7" t="n">
        <v>0</v>
      </c>
      <c r="AQ27" s="7" t="n">
        <v>0</v>
      </c>
      <c r="AR27" s="7" t="n">
        <v>0</v>
      </c>
      <c r="AS27" s="7" t="n">
        <v>1</v>
      </c>
      <c r="AT27" s="7" t="n">
        <v>0</v>
      </c>
      <c r="AU27" s="7" t="n">
        <v>0</v>
      </c>
      <c r="AV27" s="7" t="n">
        <v>0</v>
      </c>
      <c r="AW27" s="7" t="n">
        <v>0</v>
      </c>
      <c r="AX27" s="7" t="n">
        <v>0</v>
      </c>
      <c r="AY27" s="7" t="n">
        <v>0</v>
      </c>
      <c r="AZ27" s="7" t="n">
        <v>1</v>
      </c>
      <c r="BA27" s="7" t="n">
        <v>0</v>
      </c>
      <c r="BB27" s="7" t="n">
        <v>0</v>
      </c>
      <c r="BC27" s="7" t="n">
        <v>1</v>
      </c>
      <c r="BD27" s="7" t="n">
        <v>1</v>
      </c>
    </row>
    <row r="28" customFormat="false" ht="14.25" hidden="false" customHeight="false" outlineLevel="0" collapsed="false">
      <c r="A28" s="7" t="s">
        <v>224</v>
      </c>
      <c r="B28" s="7" t="n">
        <v>0</v>
      </c>
      <c r="C28" s="7" t="n">
        <v>92</v>
      </c>
      <c r="D28" s="7" t="n">
        <v>1</v>
      </c>
      <c r="E28" s="7" t="n">
        <v>1</v>
      </c>
      <c r="F28" s="7" t="n">
        <v>0</v>
      </c>
      <c r="G28" s="7" t="n">
        <v>7.67</v>
      </c>
      <c r="H28" s="7" t="n">
        <v>3</v>
      </c>
      <c r="I28" s="7" t="n">
        <v>2</v>
      </c>
      <c r="J28" s="7" t="n">
        <v>3</v>
      </c>
      <c r="K28" s="7" t="n">
        <v>0</v>
      </c>
      <c r="L28" s="7" t="n">
        <v>13</v>
      </c>
      <c r="M28" s="7" t="n">
        <v>7.88</v>
      </c>
      <c r="N28" s="7" t="n">
        <v>5.5</v>
      </c>
      <c r="O28" s="7" t="n">
        <v>54.4</v>
      </c>
      <c r="P28" s="7" t="n">
        <v>2.1021</v>
      </c>
      <c r="Q28" s="7" t="n">
        <v>0</v>
      </c>
      <c r="R28" s="7" t="n">
        <v>0</v>
      </c>
      <c r="S28" s="7" t="n">
        <v>1</v>
      </c>
      <c r="T28" s="7" t="n">
        <v>0</v>
      </c>
      <c r="U28" s="7" t="n">
        <v>0</v>
      </c>
      <c r="V28" s="7" t="n">
        <v>1</v>
      </c>
      <c r="W28" s="7" t="n">
        <v>0</v>
      </c>
      <c r="X28" s="7" t="n">
        <v>0</v>
      </c>
      <c r="Y28" s="7" t="n">
        <v>1</v>
      </c>
      <c r="Z28" s="7" t="n">
        <v>1</v>
      </c>
      <c r="AA28" s="7" t="n">
        <v>0</v>
      </c>
      <c r="AB28" s="7" t="n">
        <v>1</v>
      </c>
      <c r="AC28" s="7" t="n">
        <v>0</v>
      </c>
      <c r="AD28" s="7" t="n">
        <v>1</v>
      </c>
      <c r="AE28" s="7" t="n">
        <v>0</v>
      </c>
      <c r="AF28" s="7" t="n">
        <v>1</v>
      </c>
      <c r="AG28" s="7" t="n">
        <v>0</v>
      </c>
      <c r="AH28" s="7" t="n">
        <v>0</v>
      </c>
      <c r="AI28" s="7" t="n">
        <v>0</v>
      </c>
      <c r="AJ28" s="7" t="n">
        <v>0</v>
      </c>
      <c r="AK28" s="7" t="n">
        <v>0</v>
      </c>
      <c r="AL28" s="7" t="n">
        <v>1</v>
      </c>
      <c r="AM28" s="7" t="n">
        <v>1</v>
      </c>
      <c r="AN28" s="7" t="n">
        <v>0</v>
      </c>
      <c r="AO28" s="7" t="n">
        <v>0</v>
      </c>
      <c r="AP28" s="7" t="n">
        <v>0</v>
      </c>
      <c r="AQ28" s="7" t="n">
        <v>0</v>
      </c>
      <c r="AR28" s="7" t="n">
        <v>0</v>
      </c>
      <c r="AS28" s="7" t="n">
        <v>1</v>
      </c>
      <c r="AT28" s="7" t="n">
        <v>0</v>
      </c>
      <c r="AU28" s="7" t="n">
        <v>0</v>
      </c>
      <c r="AV28" s="7" t="n">
        <v>0</v>
      </c>
      <c r="AW28" s="7" t="n">
        <v>0</v>
      </c>
      <c r="AX28" s="7" t="n">
        <v>0</v>
      </c>
      <c r="AY28" s="7" t="n">
        <v>0</v>
      </c>
      <c r="AZ28" s="7" t="n">
        <v>1</v>
      </c>
      <c r="BA28" s="7" t="n">
        <v>0</v>
      </c>
      <c r="BB28" s="7" t="n">
        <v>0</v>
      </c>
      <c r="BC28" s="7" t="n">
        <v>1</v>
      </c>
      <c r="BD28" s="7" t="n">
        <v>1</v>
      </c>
    </row>
    <row r="29" customFormat="false" ht="14.25" hidden="false" customHeight="false" outlineLevel="0" collapsed="false">
      <c r="A29" s="7" t="s">
        <v>228</v>
      </c>
      <c r="B29" s="7" t="n">
        <v>0</v>
      </c>
      <c r="C29" s="7" t="n">
        <v>104</v>
      </c>
      <c r="D29" s="7" t="n">
        <v>1</v>
      </c>
      <c r="E29" s="7" t="n">
        <v>1</v>
      </c>
      <c r="F29" s="7" t="n">
        <v>0</v>
      </c>
      <c r="G29" s="7" t="n">
        <v>8.67</v>
      </c>
      <c r="H29" s="7" t="n">
        <v>3</v>
      </c>
      <c r="I29" s="7" t="n">
        <v>1</v>
      </c>
      <c r="J29" s="7" t="n">
        <v>3</v>
      </c>
      <c r="K29" s="7" t="n">
        <v>0</v>
      </c>
      <c r="L29" s="7" t="n">
        <v>2</v>
      </c>
      <c r="M29" s="7" t="n">
        <v>7.32</v>
      </c>
      <c r="N29" s="7" t="n">
        <v>5.54</v>
      </c>
      <c r="O29" s="7" t="n">
        <v>54.4</v>
      </c>
      <c r="P29" s="7" t="n">
        <v>2.1021</v>
      </c>
      <c r="Q29" s="7" t="n">
        <v>0</v>
      </c>
      <c r="R29" s="7" t="n">
        <v>0</v>
      </c>
      <c r="S29" s="7" t="n">
        <v>0</v>
      </c>
      <c r="T29" s="7" t="n">
        <v>0</v>
      </c>
      <c r="U29" s="7" t="n">
        <v>0</v>
      </c>
      <c r="V29" s="7" t="n">
        <v>0</v>
      </c>
      <c r="W29" s="7" t="n">
        <v>0</v>
      </c>
      <c r="X29" s="7" t="n">
        <v>0</v>
      </c>
      <c r="Y29" s="7" t="n">
        <v>1</v>
      </c>
      <c r="Z29" s="7" t="n">
        <v>1</v>
      </c>
      <c r="AA29" s="7" t="n">
        <v>1</v>
      </c>
      <c r="AB29" s="7" t="n">
        <v>0</v>
      </c>
      <c r="AC29" s="7" t="n">
        <v>0</v>
      </c>
      <c r="AD29" s="7" t="n">
        <v>1</v>
      </c>
      <c r="AE29" s="7" t="n">
        <v>1</v>
      </c>
      <c r="AF29" s="7" t="n">
        <v>0</v>
      </c>
      <c r="AG29" s="7" t="n">
        <v>1</v>
      </c>
      <c r="AH29" s="7" t="n">
        <v>0</v>
      </c>
      <c r="AI29" s="7" t="n">
        <v>0</v>
      </c>
      <c r="AJ29" s="7" t="n">
        <v>0</v>
      </c>
      <c r="AK29" s="7" t="n">
        <v>0</v>
      </c>
      <c r="AL29" s="7" t="n">
        <v>0</v>
      </c>
      <c r="AM29" s="7" t="n">
        <v>0</v>
      </c>
      <c r="AN29" s="7" t="n">
        <v>1</v>
      </c>
      <c r="AO29" s="7" t="n">
        <v>0</v>
      </c>
      <c r="AP29" s="7" t="n">
        <v>0</v>
      </c>
      <c r="AQ29" s="7" t="n">
        <v>0</v>
      </c>
      <c r="AR29" s="7" t="n">
        <v>0</v>
      </c>
      <c r="AS29" s="7" t="n">
        <v>1</v>
      </c>
      <c r="AT29" s="7" t="n">
        <v>0</v>
      </c>
      <c r="AU29" s="7" t="n">
        <v>0</v>
      </c>
      <c r="AV29" s="7" t="n">
        <v>0</v>
      </c>
      <c r="AW29" s="7" t="n">
        <v>0</v>
      </c>
      <c r="AX29" s="7" t="n">
        <v>0</v>
      </c>
      <c r="AY29" s="7" t="n">
        <v>0</v>
      </c>
      <c r="AZ29" s="7" t="n">
        <v>1</v>
      </c>
      <c r="BA29" s="7" t="n">
        <v>0</v>
      </c>
      <c r="BB29" s="7" t="n">
        <v>0</v>
      </c>
      <c r="BC29" s="7" t="n">
        <v>1</v>
      </c>
      <c r="BD29" s="7" t="n">
        <v>1</v>
      </c>
    </row>
    <row r="30" customFormat="false" ht="14.25" hidden="false" customHeight="false" outlineLevel="0" collapsed="false">
      <c r="A30" s="7" t="s">
        <v>233</v>
      </c>
      <c r="B30" s="7" t="n">
        <v>0</v>
      </c>
      <c r="C30" s="7" t="n">
        <v>128</v>
      </c>
      <c r="D30" s="7" t="n">
        <v>1</v>
      </c>
      <c r="E30" s="7" t="n">
        <v>1</v>
      </c>
      <c r="F30" s="7" t="n">
        <v>0</v>
      </c>
      <c r="G30" s="7" t="n">
        <v>10.67</v>
      </c>
      <c r="H30" s="7" t="n">
        <v>3</v>
      </c>
      <c r="I30" s="7" t="n">
        <v>2</v>
      </c>
      <c r="J30" s="7" t="n">
        <v>4</v>
      </c>
      <c r="K30" s="7" t="n">
        <v>0</v>
      </c>
      <c r="L30" s="7" t="n">
        <v>13</v>
      </c>
      <c r="M30" s="7" t="n">
        <v>7.11</v>
      </c>
      <c r="N30" s="7" t="n">
        <v>5.51</v>
      </c>
      <c r="O30" s="7" t="n">
        <v>54.4</v>
      </c>
      <c r="P30" s="7" t="n">
        <v>2.1021</v>
      </c>
      <c r="Q30" s="7" t="n">
        <v>0</v>
      </c>
      <c r="R30" s="7" t="n">
        <v>0</v>
      </c>
      <c r="S30" s="7" t="n">
        <v>1</v>
      </c>
      <c r="T30" s="7" t="n">
        <v>0</v>
      </c>
      <c r="U30" s="7" t="n">
        <v>0</v>
      </c>
      <c r="V30" s="7" t="n">
        <v>1</v>
      </c>
      <c r="W30" s="7" t="n">
        <v>0</v>
      </c>
      <c r="X30" s="7" t="n">
        <v>0</v>
      </c>
      <c r="Y30" s="7" t="n">
        <v>1</v>
      </c>
      <c r="Z30" s="7" t="n">
        <v>1</v>
      </c>
      <c r="AA30" s="7" t="n">
        <v>0</v>
      </c>
      <c r="AB30" s="7" t="n">
        <v>1</v>
      </c>
      <c r="AC30" s="7" t="n">
        <v>0</v>
      </c>
      <c r="AD30" s="7" t="n">
        <v>1</v>
      </c>
      <c r="AE30" s="7" t="n">
        <v>0</v>
      </c>
      <c r="AF30" s="7" t="n">
        <v>1</v>
      </c>
      <c r="AG30" s="7" t="n">
        <v>0</v>
      </c>
      <c r="AH30" s="7" t="n">
        <v>1</v>
      </c>
      <c r="AI30" s="7" t="n">
        <v>0</v>
      </c>
      <c r="AJ30" s="7" t="n">
        <v>0</v>
      </c>
      <c r="AK30" s="7" t="n">
        <v>0</v>
      </c>
      <c r="AL30" s="7" t="n">
        <v>1</v>
      </c>
      <c r="AM30" s="7" t="n">
        <v>1</v>
      </c>
      <c r="AN30" s="7" t="n">
        <v>0</v>
      </c>
      <c r="AO30" s="7" t="n">
        <v>0</v>
      </c>
      <c r="AP30" s="7" t="n">
        <v>0</v>
      </c>
      <c r="AQ30" s="7" t="n">
        <v>0</v>
      </c>
      <c r="AR30" s="7" t="n">
        <v>0</v>
      </c>
      <c r="AS30" s="7" t="n">
        <v>1</v>
      </c>
      <c r="AT30" s="7" t="n">
        <v>0</v>
      </c>
      <c r="AU30" s="7" t="n">
        <v>0</v>
      </c>
      <c r="AV30" s="7" t="n">
        <v>0</v>
      </c>
      <c r="AW30" s="7" t="n">
        <v>0</v>
      </c>
      <c r="AX30" s="7" t="n">
        <v>0</v>
      </c>
      <c r="AY30" s="7" t="n">
        <v>0</v>
      </c>
      <c r="AZ30" s="7" t="n">
        <v>1</v>
      </c>
      <c r="BA30" s="7" t="n">
        <v>0</v>
      </c>
      <c r="BB30" s="7" t="n">
        <v>0</v>
      </c>
      <c r="BC30" s="7" t="n">
        <v>1</v>
      </c>
      <c r="BD30" s="7" t="n">
        <v>1</v>
      </c>
    </row>
    <row r="31" customFormat="false" ht="14.25" hidden="false" customHeight="false" outlineLevel="0" collapsed="false">
      <c r="A31" s="7" t="s">
        <v>237</v>
      </c>
      <c r="B31" s="7" t="n">
        <v>0</v>
      </c>
      <c r="C31" s="7" t="n">
        <v>116</v>
      </c>
      <c r="D31" s="7" t="n">
        <v>1</v>
      </c>
      <c r="E31" s="7" t="n">
        <v>1</v>
      </c>
      <c r="F31" s="7" t="n">
        <v>0</v>
      </c>
      <c r="G31" s="7" t="n">
        <v>9.67</v>
      </c>
      <c r="H31" s="7" t="n">
        <v>3</v>
      </c>
      <c r="I31" s="7" t="n">
        <v>2</v>
      </c>
      <c r="J31" s="7" t="n">
        <v>2</v>
      </c>
      <c r="K31" s="7" t="n">
        <v>0</v>
      </c>
      <c r="L31" s="7" t="n">
        <v>13</v>
      </c>
      <c r="M31" s="7" t="n">
        <v>6.59</v>
      </c>
      <c r="N31" s="7" t="n">
        <v>5.7</v>
      </c>
      <c r="O31" s="7" t="n">
        <v>54.4</v>
      </c>
      <c r="P31" s="7" t="n">
        <v>2.1021</v>
      </c>
      <c r="Q31" s="7" t="n">
        <v>0</v>
      </c>
      <c r="R31" s="7" t="n">
        <v>0</v>
      </c>
      <c r="S31" s="7" t="n">
        <v>1</v>
      </c>
      <c r="T31" s="7" t="n">
        <v>0</v>
      </c>
      <c r="U31" s="7" t="n">
        <v>0</v>
      </c>
      <c r="V31" s="7" t="n">
        <v>1</v>
      </c>
      <c r="W31" s="7" t="n">
        <v>0</v>
      </c>
      <c r="X31" s="7" t="n">
        <v>0</v>
      </c>
      <c r="Y31" s="7" t="n">
        <v>1</v>
      </c>
      <c r="Z31" s="7" t="n">
        <v>1</v>
      </c>
      <c r="AA31" s="7" t="n">
        <v>1</v>
      </c>
      <c r="AB31" s="7" t="n">
        <v>0</v>
      </c>
      <c r="AC31" s="7" t="n">
        <v>0</v>
      </c>
      <c r="AD31" s="7" t="n">
        <v>1</v>
      </c>
      <c r="AE31" s="7" t="n">
        <v>0</v>
      </c>
      <c r="AF31" s="7" t="n">
        <v>1</v>
      </c>
      <c r="AG31" s="7" t="n">
        <v>0</v>
      </c>
      <c r="AH31" s="7" t="n">
        <v>1</v>
      </c>
      <c r="AI31" s="7" t="n">
        <v>0</v>
      </c>
      <c r="AJ31" s="7" t="n">
        <v>0</v>
      </c>
      <c r="AK31" s="7" t="n">
        <v>0</v>
      </c>
      <c r="AL31" s="7" t="n">
        <v>0</v>
      </c>
      <c r="AM31" s="7" t="n">
        <v>0</v>
      </c>
      <c r="AN31" s="7" t="n">
        <v>1</v>
      </c>
      <c r="AO31" s="7" t="n">
        <v>0</v>
      </c>
      <c r="AP31" s="7" t="n">
        <v>0</v>
      </c>
      <c r="AQ31" s="7" t="n">
        <v>0</v>
      </c>
      <c r="AR31" s="7" t="n">
        <v>0</v>
      </c>
      <c r="AS31" s="7" t="n">
        <v>1</v>
      </c>
      <c r="AT31" s="7" t="n">
        <v>0</v>
      </c>
      <c r="AU31" s="7" t="n">
        <v>0</v>
      </c>
      <c r="AV31" s="7" t="n">
        <v>0</v>
      </c>
      <c r="AW31" s="7" t="n">
        <v>0</v>
      </c>
      <c r="AX31" s="7" t="n">
        <v>0</v>
      </c>
      <c r="AY31" s="7" t="n">
        <v>0</v>
      </c>
      <c r="AZ31" s="7" t="n">
        <v>1</v>
      </c>
      <c r="BA31" s="7" t="n">
        <v>0</v>
      </c>
      <c r="BB31" s="7" t="n">
        <v>0</v>
      </c>
      <c r="BC31" s="7" t="n">
        <v>1</v>
      </c>
      <c r="BD31" s="7" t="n">
        <v>1</v>
      </c>
    </row>
    <row r="32" customFormat="false" ht="14.25" hidden="false" customHeight="false" outlineLevel="0" collapsed="false">
      <c r="A32" s="7" t="s">
        <v>241</v>
      </c>
      <c r="B32" s="7" t="n">
        <v>1</v>
      </c>
      <c r="C32" s="7" t="n">
        <v>126</v>
      </c>
      <c r="D32" s="7" t="n">
        <v>0</v>
      </c>
      <c r="E32" s="7" t="n">
        <v>0</v>
      </c>
      <c r="F32" s="7" t="n">
        <v>1</v>
      </c>
      <c r="G32" s="7" t="n">
        <v>13.67</v>
      </c>
      <c r="H32" s="7" t="n">
        <v>3</v>
      </c>
      <c r="I32" s="7" t="n">
        <v>2</v>
      </c>
      <c r="J32" s="7" t="n">
        <v>3</v>
      </c>
      <c r="K32" s="7" t="n">
        <v>0</v>
      </c>
      <c r="L32" s="7" t="n">
        <v>13</v>
      </c>
      <c r="M32" s="7" t="n">
        <v>6.01</v>
      </c>
      <c r="N32" s="7" t="n">
        <v>7.53</v>
      </c>
      <c r="O32" s="7" t="n">
        <v>54.4</v>
      </c>
      <c r="P32" s="7" t="n">
        <v>2.1021</v>
      </c>
      <c r="Q32" s="7" t="n">
        <v>0</v>
      </c>
      <c r="R32" s="7" t="n">
        <v>0</v>
      </c>
      <c r="S32" s="7" t="n">
        <v>1</v>
      </c>
      <c r="T32" s="7" t="n">
        <v>0</v>
      </c>
      <c r="U32" s="7" t="n">
        <v>0</v>
      </c>
      <c r="V32" s="7" t="n">
        <v>1</v>
      </c>
      <c r="W32" s="7" t="n">
        <v>0</v>
      </c>
      <c r="X32" s="7" t="n">
        <v>0</v>
      </c>
      <c r="Y32" s="7" t="n">
        <v>1</v>
      </c>
      <c r="Z32" s="7" t="n">
        <v>1</v>
      </c>
      <c r="AA32" s="7" t="n">
        <v>0</v>
      </c>
      <c r="AB32" s="7" t="n">
        <v>1</v>
      </c>
      <c r="AC32" s="7" t="n">
        <v>0</v>
      </c>
      <c r="AD32" s="7" t="n">
        <v>1</v>
      </c>
      <c r="AE32" s="7" t="n">
        <v>0</v>
      </c>
      <c r="AF32" s="7" t="n">
        <v>1</v>
      </c>
      <c r="AG32" s="7" t="n">
        <v>0</v>
      </c>
      <c r="AH32" s="7" t="n">
        <v>1</v>
      </c>
      <c r="AI32" s="7" t="n">
        <v>0</v>
      </c>
      <c r="AJ32" s="7" t="n">
        <v>0</v>
      </c>
      <c r="AK32" s="7" t="n">
        <v>0</v>
      </c>
      <c r="AL32" s="7" t="n">
        <v>0</v>
      </c>
      <c r="AM32" s="7" t="n">
        <v>0</v>
      </c>
      <c r="AN32" s="7" t="n">
        <v>1</v>
      </c>
      <c r="AO32" s="7" t="n">
        <v>0</v>
      </c>
      <c r="AP32" s="7" t="n">
        <v>0</v>
      </c>
      <c r="AQ32" s="7" t="n">
        <v>0</v>
      </c>
      <c r="AR32" s="7" t="n">
        <v>0</v>
      </c>
      <c r="AS32" s="7" t="n">
        <v>1</v>
      </c>
      <c r="AT32" s="7" t="n">
        <v>0</v>
      </c>
      <c r="AU32" s="7" t="n">
        <v>0</v>
      </c>
      <c r="AV32" s="7" t="n">
        <v>0</v>
      </c>
      <c r="AW32" s="7" t="n">
        <v>0</v>
      </c>
      <c r="AX32" s="7" t="n">
        <v>0</v>
      </c>
      <c r="AY32" s="7" t="n">
        <v>0</v>
      </c>
      <c r="AZ32" s="7" t="n">
        <v>1</v>
      </c>
      <c r="BA32" s="7" t="n">
        <v>0</v>
      </c>
      <c r="BB32" s="7" t="n">
        <v>0</v>
      </c>
      <c r="BC32" s="7" t="n">
        <v>1</v>
      </c>
      <c r="BD32" s="7" t="n">
        <v>1</v>
      </c>
    </row>
    <row r="33" customFormat="false" ht="14.25" hidden="false" customHeight="false" outlineLevel="0" collapsed="false">
      <c r="A33" s="7" t="s">
        <v>247</v>
      </c>
      <c r="B33" s="7" t="n">
        <v>0</v>
      </c>
      <c r="C33" s="7" t="n">
        <v>164</v>
      </c>
      <c r="D33" s="7" t="n">
        <v>1</v>
      </c>
      <c r="E33" s="7"/>
      <c r="F33" s="7" t="n">
        <v>1</v>
      </c>
      <c r="G33" s="7" t="n">
        <v>13.67</v>
      </c>
      <c r="H33" s="7" t="n">
        <v>3</v>
      </c>
      <c r="I33" s="7" t="n">
        <v>2</v>
      </c>
      <c r="J33" s="7" t="n">
        <v>2</v>
      </c>
      <c r="K33" s="7" t="n">
        <v>0.5</v>
      </c>
      <c r="L33" s="7" t="n">
        <v>13</v>
      </c>
      <c r="M33" s="7" t="n">
        <v>6.01</v>
      </c>
      <c r="N33" s="7" t="n">
        <v>7.53</v>
      </c>
      <c r="O33" s="7" t="n">
        <v>54.4</v>
      </c>
      <c r="P33" s="7" t="n">
        <v>2.1021</v>
      </c>
      <c r="Q33" s="7" t="n">
        <v>0</v>
      </c>
      <c r="R33" s="7" t="n">
        <v>0</v>
      </c>
      <c r="S33" s="7" t="n">
        <v>1</v>
      </c>
      <c r="T33" s="7" t="n">
        <v>0</v>
      </c>
      <c r="U33" s="7" t="n">
        <v>0</v>
      </c>
      <c r="V33" s="7" t="n">
        <v>1</v>
      </c>
      <c r="W33" s="7" t="n">
        <v>0</v>
      </c>
      <c r="X33" s="7" t="n">
        <v>0</v>
      </c>
      <c r="Y33" s="7" t="n">
        <v>1</v>
      </c>
      <c r="Z33" s="7" t="n">
        <v>1</v>
      </c>
      <c r="AA33" s="7" t="n">
        <v>0</v>
      </c>
      <c r="AB33" s="7" t="n">
        <v>1</v>
      </c>
      <c r="AC33" s="7" t="n">
        <v>0</v>
      </c>
      <c r="AD33" s="7" t="n">
        <v>1</v>
      </c>
      <c r="AE33" s="7" t="n">
        <v>0</v>
      </c>
      <c r="AF33" s="7" t="n">
        <v>1</v>
      </c>
      <c r="AG33" s="7" t="n">
        <v>0</v>
      </c>
      <c r="AH33" s="7" t="n">
        <v>1</v>
      </c>
      <c r="AI33" s="7" t="n">
        <v>1</v>
      </c>
      <c r="AJ33" s="7" t="n">
        <v>0</v>
      </c>
      <c r="AK33" s="7" t="n">
        <v>0</v>
      </c>
      <c r="AL33" s="7" t="n">
        <v>0</v>
      </c>
      <c r="AM33" s="7" t="n">
        <v>0</v>
      </c>
      <c r="AN33" s="7" t="n">
        <v>1</v>
      </c>
      <c r="AO33" s="7" t="n">
        <v>0</v>
      </c>
      <c r="AP33" s="7" t="n">
        <v>0</v>
      </c>
      <c r="AQ33" s="7" t="n">
        <v>0</v>
      </c>
      <c r="AR33" s="7" t="n">
        <v>0</v>
      </c>
      <c r="AS33" s="7" t="n">
        <v>1</v>
      </c>
      <c r="AT33" s="7" t="n">
        <v>0</v>
      </c>
      <c r="AU33" s="7" t="n">
        <v>0</v>
      </c>
      <c r="AV33" s="7" t="n">
        <v>0</v>
      </c>
      <c r="AW33" s="7" t="n">
        <v>0</v>
      </c>
      <c r="AX33" s="7" t="n">
        <v>0</v>
      </c>
      <c r="AY33" s="7" t="n">
        <v>0</v>
      </c>
      <c r="AZ33" s="7" t="n">
        <v>1</v>
      </c>
      <c r="BA33" s="7" t="n">
        <v>0</v>
      </c>
      <c r="BB33" s="7" t="n">
        <v>0</v>
      </c>
      <c r="BC33" s="7" t="n">
        <v>1</v>
      </c>
      <c r="BD33" s="7" t="n">
        <v>1</v>
      </c>
    </row>
    <row r="34" customFormat="false" ht="14.25" hidden="false" customHeight="false" outlineLevel="0" collapsed="false">
      <c r="A34" s="7" t="s">
        <v>250</v>
      </c>
      <c r="B34" s="7" t="n">
        <v>0</v>
      </c>
      <c r="C34" s="7" t="n">
        <v>116</v>
      </c>
      <c r="D34" s="7" t="n">
        <v>1</v>
      </c>
      <c r="E34" s="7" t="n">
        <v>1</v>
      </c>
      <c r="F34" s="7" t="n">
        <v>0</v>
      </c>
      <c r="G34" s="7" t="n">
        <v>9.67</v>
      </c>
      <c r="H34" s="7" t="n">
        <v>3</v>
      </c>
      <c r="I34" s="7" t="n">
        <v>1</v>
      </c>
      <c r="J34" s="7" t="n">
        <v>1</v>
      </c>
      <c r="K34" s="7" t="n">
        <v>0</v>
      </c>
      <c r="L34" s="7" t="n">
        <v>9</v>
      </c>
      <c r="M34" s="7" t="n">
        <v>6.59</v>
      </c>
      <c r="N34" s="7" t="n">
        <v>5.7</v>
      </c>
      <c r="O34" s="7" t="n">
        <v>54.4</v>
      </c>
      <c r="P34" s="7" t="n">
        <v>2.1021</v>
      </c>
      <c r="Q34" s="7" t="n">
        <v>0</v>
      </c>
      <c r="R34" s="7" t="n">
        <v>0</v>
      </c>
      <c r="S34" s="7" t="n">
        <v>0</v>
      </c>
      <c r="T34" s="7" t="n">
        <v>0</v>
      </c>
      <c r="U34" s="7" t="n">
        <v>0</v>
      </c>
      <c r="V34" s="7" t="n">
        <v>0</v>
      </c>
      <c r="W34" s="7" t="n">
        <v>0</v>
      </c>
      <c r="X34" s="7" t="n">
        <v>0</v>
      </c>
      <c r="Y34" s="7" t="n">
        <v>1</v>
      </c>
      <c r="Z34" s="7" t="n">
        <v>1</v>
      </c>
      <c r="AA34" s="7" t="n">
        <v>0</v>
      </c>
      <c r="AB34" s="7" t="n">
        <v>1</v>
      </c>
      <c r="AC34" s="7" t="n">
        <v>0</v>
      </c>
      <c r="AD34" s="7" t="n">
        <v>1</v>
      </c>
      <c r="AE34" s="7" t="n">
        <v>1</v>
      </c>
      <c r="AF34" s="7" t="n">
        <v>0</v>
      </c>
      <c r="AG34" s="7" t="n">
        <v>1</v>
      </c>
      <c r="AH34" s="7" t="n">
        <v>0</v>
      </c>
      <c r="AI34" s="7" t="n">
        <v>0</v>
      </c>
      <c r="AJ34" s="7" t="n">
        <v>0</v>
      </c>
      <c r="AK34" s="7" t="n">
        <v>0</v>
      </c>
      <c r="AL34" s="7" t="n">
        <v>0</v>
      </c>
      <c r="AM34" s="7" t="n">
        <v>0</v>
      </c>
      <c r="AN34" s="7" t="n">
        <v>1</v>
      </c>
      <c r="AO34" s="7" t="n">
        <v>0</v>
      </c>
      <c r="AP34" s="7" t="n">
        <v>0</v>
      </c>
      <c r="AQ34" s="7" t="n">
        <v>0</v>
      </c>
      <c r="AR34" s="7" t="n">
        <v>0</v>
      </c>
      <c r="AS34" s="7" t="n">
        <v>1</v>
      </c>
      <c r="AT34" s="7" t="n">
        <v>0</v>
      </c>
      <c r="AU34" s="7" t="n">
        <v>0</v>
      </c>
      <c r="AV34" s="7" t="n">
        <v>0</v>
      </c>
      <c r="AW34" s="7" t="n">
        <v>0</v>
      </c>
      <c r="AX34" s="7" t="n">
        <v>0</v>
      </c>
      <c r="AY34" s="7" t="n">
        <v>0</v>
      </c>
      <c r="AZ34" s="7" t="n">
        <v>1</v>
      </c>
      <c r="BA34" s="7" t="n">
        <v>0</v>
      </c>
      <c r="BB34" s="7" t="n">
        <v>0</v>
      </c>
      <c r="BC34" s="7" t="n">
        <v>1</v>
      </c>
      <c r="BD34" s="7" t="n">
        <v>1</v>
      </c>
    </row>
    <row r="35" customFormat="false" ht="14.25" hidden="false" customHeight="false" outlineLevel="0" collapsed="false">
      <c r="A35" s="7" t="s">
        <v>254</v>
      </c>
      <c r="B35" s="7" t="n">
        <v>0</v>
      </c>
      <c r="C35" s="7" t="n">
        <v>152</v>
      </c>
      <c r="D35" s="7" t="n">
        <v>1</v>
      </c>
      <c r="E35" s="7" t="n">
        <v>1</v>
      </c>
      <c r="F35" s="7" t="n">
        <v>0</v>
      </c>
      <c r="G35" s="7" t="n">
        <v>12.67</v>
      </c>
      <c r="H35" s="7" t="n">
        <v>3</v>
      </c>
      <c r="I35" s="7" t="n">
        <v>1</v>
      </c>
      <c r="J35" s="7" t="n">
        <v>2</v>
      </c>
      <c r="K35" s="7" t="n">
        <v>0.5</v>
      </c>
      <c r="L35" s="7" t="n">
        <v>10</v>
      </c>
      <c r="M35" s="7" t="n">
        <v>6.06</v>
      </c>
      <c r="N35" s="7" t="n">
        <v>6.99</v>
      </c>
      <c r="O35" s="7" t="n">
        <v>54.4</v>
      </c>
      <c r="P35" s="7" t="n">
        <v>2.1021</v>
      </c>
      <c r="Q35" s="7" t="n">
        <v>0</v>
      </c>
      <c r="R35" s="7" t="n">
        <v>0</v>
      </c>
      <c r="S35" s="7" t="n">
        <v>0</v>
      </c>
      <c r="T35" s="7" t="n">
        <v>0</v>
      </c>
      <c r="U35" s="7" t="n">
        <v>0</v>
      </c>
      <c r="V35" s="7" t="n">
        <v>0</v>
      </c>
      <c r="W35" s="7" t="n">
        <v>0</v>
      </c>
      <c r="X35" s="7" t="n">
        <v>0</v>
      </c>
      <c r="Y35" s="7" t="n">
        <v>1</v>
      </c>
      <c r="Z35" s="7" t="n">
        <v>1</v>
      </c>
      <c r="AA35" s="7" t="n">
        <v>0</v>
      </c>
      <c r="AB35" s="7" t="n">
        <v>1</v>
      </c>
      <c r="AC35" s="7" t="n">
        <v>0</v>
      </c>
      <c r="AD35" s="7" t="n">
        <v>1</v>
      </c>
      <c r="AE35" s="7" t="n">
        <v>0</v>
      </c>
      <c r="AF35" s="7" t="n">
        <v>0</v>
      </c>
      <c r="AG35" s="7" t="n">
        <v>0</v>
      </c>
      <c r="AH35" s="7" t="n">
        <v>0</v>
      </c>
      <c r="AI35" s="7" t="n">
        <v>1</v>
      </c>
      <c r="AJ35" s="7" t="n">
        <v>0</v>
      </c>
      <c r="AK35" s="7" t="n">
        <v>0</v>
      </c>
      <c r="AL35" s="7" t="n">
        <v>0</v>
      </c>
      <c r="AM35" s="7" t="n">
        <v>0</v>
      </c>
      <c r="AN35" s="7" t="n">
        <v>1</v>
      </c>
      <c r="AO35" s="7" t="n">
        <v>0</v>
      </c>
      <c r="AP35" s="7" t="n">
        <v>0</v>
      </c>
      <c r="AQ35" s="7" t="n">
        <v>0</v>
      </c>
      <c r="AR35" s="7" t="n">
        <v>0</v>
      </c>
      <c r="AS35" s="7" t="n">
        <v>1</v>
      </c>
      <c r="AT35" s="7" t="n">
        <v>0</v>
      </c>
      <c r="AU35" s="7" t="n">
        <v>0</v>
      </c>
      <c r="AV35" s="7" t="n">
        <v>0</v>
      </c>
      <c r="AW35" s="7" t="n">
        <v>0</v>
      </c>
      <c r="AX35" s="7" t="n">
        <v>0</v>
      </c>
      <c r="AY35" s="7" t="n">
        <v>0</v>
      </c>
      <c r="AZ35" s="7" t="n">
        <v>1</v>
      </c>
      <c r="BA35" s="7" t="n">
        <v>0</v>
      </c>
      <c r="BB35" s="7" t="n">
        <v>0</v>
      </c>
      <c r="BC35" s="7" t="n">
        <v>1</v>
      </c>
      <c r="BD35" s="7" t="n">
        <v>1</v>
      </c>
    </row>
    <row r="36" customFormat="false" ht="14.25" hidden="false" customHeight="false" outlineLevel="0" collapsed="false">
      <c r="A36" s="7" t="s">
        <v>256</v>
      </c>
      <c r="B36" s="7"/>
      <c r="C36" s="7"/>
      <c r="D36" s="7" t="n">
        <v>1</v>
      </c>
      <c r="E36" s="7"/>
      <c r="F36" s="7" t="n">
        <v>1</v>
      </c>
      <c r="G36" s="7" t="n">
        <v>10.67</v>
      </c>
      <c r="H36" s="7" t="n">
        <v>3</v>
      </c>
      <c r="I36" s="7" t="n">
        <v>2</v>
      </c>
      <c r="J36" s="7" t="n">
        <v>1</v>
      </c>
      <c r="K36" s="7" t="n">
        <v>0</v>
      </c>
      <c r="L36" s="7" t="n">
        <v>13</v>
      </c>
      <c r="M36" s="7" t="n">
        <v>7.11</v>
      </c>
      <c r="N36" s="7" t="n">
        <v>5.51</v>
      </c>
      <c r="O36" s="7" t="n">
        <v>54.4</v>
      </c>
      <c r="P36" s="7" t="n">
        <v>2.1021</v>
      </c>
      <c r="Q36" s="7" t="n">
        <v>0</v>
      </c>
      <c r="R36" s="7" t="n">
        <v>1</v>
      </c>
      <c r="S36" s="7" t="n">
        <v>1</v>
      </c>
      <c r="T36" s="7" t="n">
        <v>0</v>
      </c>
      <c r="U36" s="7" t="n">
        <v>0</v>
      </c>
      <c r="V36" s="7" t="n">
        <v>1</v>
      </c>
      <c r="W36" s="7" t="n">
        <v>0</v>
      </c>
      <c r="X36" s="7" t="n">
        <v>0</v>
      </c>
      <c r="Y36" s="7" t="n">
        <v>1</v>
      </c>
      <c r="Z36" s="7" t="n">
        <v>1</v>
      </c>
      <c r="AA36" s="7" t="n">
        <v>0</v>
      </c>
      <c r="AB36" s="7" t="n">
        <v>1</v>
      </c>
      <c r="AC36" s="7" t="n">
        <v>0</v>
      </c>
      <c r="AD36" s="7" t="n">
        <v>1</v>
      </c>
      <c r="AE36" s="7" t="n">
        <v>0</v>
      </c>
      <c r="AF36" s="7" t="n">
        <v>1</v>
      </c>
      <c r="AG36" s="7" t="n">
        <v>0</v>
      </c>
      <c r="AH36" s="7" t="n">
        <v>1</v>
      </c>
      <c r="AI36" s="7" t="n">
        <v>0</v>
      </c>
      <c r="AJ36" s="7" t="n">
        <v>0</v>
      </c>
      <c r="AK36" s="7" t="n">
        <v>0</v>
      </c>
      <c r="AL36" s="7" t="n">
        <v>0</v>
      </c>
      <c r="AM36" s="7" t="n">
        <v>0</v>
      </c>
      <c r="AN36" s="7" t="n">
        <v>1</v>
      </c>
      <c r="AO36" s="7" t="n">
        <v>0</v>
      </c>
      <c r="AP36" s="7" t="n">
        <v>0</v>
      </c>
      <c r="AQ36" s="7" t="n">
        <v>0</v>
      </c>
      <c r="AR36" s="7" t="n">
        <v>0</v>
      </c>
      <c r="AS36" s="7" t="n">
        <v>1</v>
      </c>
      <c r="AT36" s="7" t="n">
        <v>0</v>
      </c>
      <c r="AU36" s="7" t="n">
        <v>0</v>
      </c>
      <c r="AV36" s="7" t="n">
        <v>0</v>
      </c>
      <c r="AW36" s="7" t="n">
        <v>0</v>
      </c>
      <c r="AX36" s="7" t="n">
        <v>0</v>
      </c>
      <c r="AY36" s="7" t="n">
        <v>0</v>
      </c>
      <c r="AZ36" s="7" t="n">
        <v>0</v>
      </c>
      <c r="BA36" s="7" t="n">
        <v>0</v>
      </c>
      <c r="BB36" s="7" t="n">
        <v>1</v>
      </c>
      <c r="BC36" s="7" t="n">
        <v>0</v>
      </c>
      <c r="BD36" s="7" t="n">
        <v>1</v>
      </c>
    </row>
    <row r="37" customFormat="false" ht="14.25" hidden="false" customHeight="false" outlineLevel="0" collapsed="false">
      <c r="A37" s="7" t="s">
        <v>265</v>
      </c>
      <c r="B37" s="7" t="n">
        <v>0</v>
      </c>
      <c r="C37" s="7" t="n">
        <v>140</v>
      </c>
      <c r="D37" s="7" t="n">
        <v>1</v>
      </c>
      <c r="E37" s="7" t="n">
        <v>1</v>
      </c>
      <c r="F37" s="7" t="n">
        <v>0</v>
      </c>
      <c r="G37" s="7" t="n">
        <v>11.67</v>
      </c>
      <c r="H37" s="7" t="n">
        <v>3</v>
      </c>
      <c r="I37" s="7" t="n">
        <v>1</v>
      </c>
      <c r="J37" s="7" t="n">
        <v>1</v>
      </c>
      <c r="K37" s="7" t="n">
        <v>0</v>
      </c>
      <c r="L37" s="7" t="n">
        <v>0</v>
      </c>
      <c r="M37" s="7" t="n">
        <v>6.55</v>
      </c>
      <c r="N37" s="7" t="n">
        <v>6.4</v>
      </c>
      <c r="O37" s="7" t="n">
        <v>54.4</v>
      </c>
      <c r="P37" s="7" t="n">
        <v>2.1021</v>
      </c>
      <c r="Q37" s="7" t="n">
        <v>0</v>
      </c>
      <c r="R37" s="7" t="n">
        <v>0</v>
      </c>
      <c r="S37" s="7" t="n">
        <v>0</v>
      </c>
      <c r="T37" s="7" t="n">
        <v>0</v>
      </c>
      <c r="U37" s="7" t="n">
        <v>0</v>
      </c>
      <c r="V37" s="7" t="n">
        <v>0</v>
      </c>
      <c r="W37" s="7" t="n">
        <v>0</v>
      </c>
      <c r="X37" s="7" t="n">
        <v>0</v>
      </c>
      <c r="Y37" s="7" t="n">
        <v>1</v>
      </c>
      <c r="Z37" s="7" t="n">
        <v>1</v>
      </c>
      <c r="AA37" s="7" t="n">
        <v>1</v>
      </c>
      <c r="AB37" s="7" t="n">
        <v>0</v>
      </c>
      <c r="AC37" s="7" t="n">
        <v>0</v>
      </c>
      <c r="AD37" s="7" t="n">
        <v>1</v>
      </c>
      <c r="AE37" s="7" t="n">
        <v>0</v>
      </c>
      <c r="AF37" s="7" t="n">
        <v>0</v>
      </c>
      <c r="AG37" s="7" t="n">
        <v>0</v>
      </c>
      <c r="AH37" s="7" t="n">
        <v>0</v>
      </c>
      <c r="AI37" s="7" t="n">
        <v>0</v>
      </c>
      <c r="AJ37" s="7" t="n">
        <v>0</v>
      </c>
      <c r="AK37" s="7" t="n">
        <v>0</v>
      </c>
      <c r="AL37" s="7" t="n">
        <v>0</v>
      </c>
      <c r="AM37" s="7" t="n">
        <v>1</v>
      </c>
      <c r="AN37" s="7" t="n">
        <v>0</v>
      </c>
      <c r="AO37" s="7" t="n">
        <v>1</v>
      </c>
      <c r="AP37" s="7" t="n">
        <v>0</v>
      </c>
      <c r="AQ37" s="7" t="n">
        <v>0</v>
      </c>
      <c r="AR37" s="7" t="n">
        <v>0</v>
      </c>
      <c r="AS37" s="7" t="n">
        <v>1</v>
      </c>
      <c r="AT37" s="7" t="n">
        <v>0</v>
      </c>
      <c r="AU37" s="7" t="n">
        <v>0</v>
      </c>
      <c r="AV37" s="7" t="n">
        <v>1</v>
      </c>
      <c r="AW37" s="7" t="n">
        <v>0</v>
      </c>
      <c r="AX37" s="7" t="n">
        <v>0</v>
      </c>
      <c r="AY37" s="7" t="n">
        <v>0</v>
      </c>
      <c r="AZ37" s="7" t="n">
        <v>0</v>
      </c>
      <c r="BA37" s="7" t="n">
        <v>0</v>
      </c>
      <c r="BB37" s="7" t="n">
        <v>0</v>
      </c>
      <c r="BC37" s="7" t="n">
        <v>1</v>
      </c>
      <c r="BD37" s="7" t="n">
        <v>1</v>
      </c>
    </row>
    <row r="38" customFormat="false" ht="14.25" hidden="false" customHeight="false" outlineLevel="0" collapsed="false">
      <c r="A38" s="7" t="s">
        <v>270</v>
      </c>
      <c r="B38" s="7" t="n">
        <v>0</v>
      </c>
      <c r="C38" s="7" t="n">
        <v>92</v>
      </c>
      <c r="D38" s="7" t="n">
        <v>1</v>
      </c>
      <c r="E38" s="7" t="n">
        <v>1</v>
      </c>
      <c r="F38" s="7" t="n">
        <v>0</v>
      </c>
      <c r="G38" s="7" t="n">
        <v>7.67</v>
      </c>
      <c r="H38" s="7" t="n">
        <v>3</v>
      </c>
      <c r="I38" s="7" t="n">
        <v>1</v>
      </c>
      <c r="J38" s="7" t="n">
        <v>2</v>
      </c>
      <c r="K38" s="7" t="n">
        <v>0</v>
      </c>
      <c r="L38" s="7" t="n">
        <v>10</v>
      </c>
      <c r="M38" s="7" t="n">
        <v>7.88</v>
      </c>
      <c r="N38" s="7" t="n">
        <v>5.5</v>
      </c>
      <c r="O38" s="7" t="n">
        <v>54.4</v>
      </c>
      <c r="P38" s="7" t="n">
        <v>2.1021</v>
      </c>
      <c r="Q38" s="7" t="n">
        <v>0</v>
      </c>
      <c r="R38" s="7" t="n">
        <v>0</v>
      </c>
      <c r="S38" s="7" t="n">
        <v>0</v>
      </c>
      <c r="T38" s="7" t="n">
        <v>0</v>
      </c>
      <c r="U38" s="7" t="n">
        <v>0</v>
      </c>
      <c r="V38" s="7" t="n">
        <v>0</v>
      </c>
      <c r="W38" s="7" t="n">
        <v>0</v>
      </c>
      <c r="X38" s="7" t="n">
        <v>0</v>
      </c>
      <c r="Y38" s="7" t="n">
        <v>1</v>
      </c>
      <c r="Z38" s="7" t="n">
        <v>1</v>
      </c>
      <c r="AA38" s="7" t="n">
        <v>0</v>
      </c>
      <c r="AB38" s="7" t="n">
        <v>1</v>
      </c>
      <c r="AC38" s="7" t="n">
        <v>0</v>
      </c>
      <c r="AD38" s="7" t="n">
        <v>1</v>
      </c>
      <c r="AE38" s="7" t="n">
        <v>0</v>
      </c>
      <c r="AF38" s="7" t="n">
        <v>0</v>
      </c>
      <c r="AG38" s="7" t="n">
        <v>0</v>
      </c>
      <c r="AH38" s="7" t="n">
        <v>0</v>
      </c>
      <c r="AI38" s="7" t="n">
        <v>0</v>
      </c>
      <c r="AJ38" s="7" t="n">
        <v>0</v>
      </c>
      <c r="AK38" s="7" t="n">
        <v>0</v>
      </c>
      <c r="AL38" s="7" t="n">
        <v>0</v>
      </c>
      <c r="AM38" s="7" t="n">
        <v>1</v>
      </c>
      <c r="AN38" s="7" t="n">
        <v>0</v>
      </c>
      <c r="AO38" s="7" t="n">
        <v>1</v>
      </c>
      <c r="AP38" s="7" t="n">
        <v>0</v>
      </c>
      <c r="AQ38" s="7" t="n">
        <v>0</v>
      </c>
      <c r="AR38" s="7" t="n">
        <v>0</v>
      </c>
      <c r="AS38" s="7" t="n">
        <v>1</v>
      </c>
      <c r="AT38" s="7" t="n">
        <v>0</v>
      </c>
      <c r="AU38" s="7" t="n">
        <v>0</v>
      </c>
      <c r="AV38" s="7" t="n">
        <v>1</v>
      </c>
      <c r="AW38" s="7" t="n">
        <v>0</v>
      </c>
      <c r="AX38" s="7" t="n">
        <v>0</v>
      </c>
      <c r="AY38" s="7" t="n">
        <v>0</v>
      </c>
      <c r="AZ38" s="7" t="n">
        <v>0</v>
      </c>
      <c r="BA38" s="7" t="n">
        <v>0</v>
      </c>
      <c r="BB38" s="7" t="n">
        <v>0</v>
      </c>
      <c r="BC38" s="7" t="n">
        <v>1</v>
      </c>
      <c r="BD38" s="7" t="n">
        <v>1</v>
      </c>
    </row>
    <row r="39" customFormat="false" ht="14.25" hidden="false" customHeight="false" outlineLevel="0" collapsed="false">
      <c r="A39" s="7" t="s">
        <v>272</v>
      </c>
      <c r="B39" s="7" t="n">
        <v>0</v>
      </c>
      <c r="C39" s="7" t="n">
        <v>128</v>
      </c>
      <c r="D39" s="7"/>
      <c r="E39" s="7"/>
      <c r="F39" s="7" t="n">
        <v>1</v>
      </c>
      <c r="G39" s="7" t="n">
        <v>10.67</v>
      </c>
      <c r="H39" s="7" t="n">
        <v>3</v>
      </c>
      <c r="I39" s="7" t="n">
        <v>2</v>
      </c>
      <c r="J39" s="7" t="n">
        <v>2</v>
      </c>
      <c r="K39" s="7" t="n">
        <v>0</v>
      </c>
      <c r="L39" s="7" t="n">
        <v>13</v>
      </c>
      <c r="M39" s="7" t="n">
        <v>7.11</v>
      </c>
      <c r="N39" s="7" t="n">
        <v>5.51</v>
      </c>
      <c r="O39" s="7" t="n">
        <v>54.4</v>
      </c>
      <c r="P39" s="7" t="n">
        <v>2.1021</v>
      </c>
      <c r="Q39" s="7" t="n">
        <v>0</v>
      </c>
      <c r="R39" s="7" t="n">
        <v>0</v>
      </c>
      <c r="S39" s="7" t="n">
        <v>1</v>
      </c>
      <c r="T39" s="7" t="n">
        <v>0</v>
      </c>
      <c r="U39" s="7" t="n">
        <v>0</v>
      </c>
      <c r="V39" s="7" t="n">
        <v>1</v>
      </c>
      <c r="W39" s="7" t="n">
        <v>0</v>
      </c>
      <c r="X39" s="7" t="n">
        <v>0</v>
      </c>
      <c r="Y39" s="7" t="n">
        <v>1</v>
      </c>
      <c r="Z39" s="7" t="n">
        <v>1</v>
      </c>
      <c r="AA39" s="7" t="n">
        <v>0</v>
      </c>
      <c r="AB39" s="7" t="n">
        <v>1</v>
      </c>
      <c r="AC39" s="7" t="n">
        <v>0</v>
      </c>
      <c r="AD39" s="7" t="n">
        <v>1</v>
      </c>
      <c r="AE39" s="7" t="n">
        <v>0</v>
      </c>
      <c r="AF39" s="7" t="n">
        <v>1</v>
      </c>
      <c r="AG39" s="7" t="n">
        <v>0</v>
      </c>
      <c r="AH39" s="7" t="n">
        <v>1</v>
      </c>
      <c r="AI39" s="7" t="n">
        <v>0</v>
      </c>
      <c r="AJ39" s="7" t="n">
        <v>0</v>
      </c>
      <c r="AK39" s="7" t="n">
        <v>0</v>
      </c>
      <c r="AL39" s="7" t="n">
        <v>0</v>
      </c>
      <c r="AM39" s="7" t="n">
        <v>1</v>
      </c>
      <c r="AN39" s="7" t="n">
        <v>1</v>
      </c>
      <c r="AO39" s="7" t="n">
        <v>0</v>
      </c>
      <c r="AP39" s="7" t="n">
        <v>0</v>
      </c>
      <c r="AQ39" s="7" t="n">
        <v>0</v>
      </c>
      <c r="AR39" s="7" t="n">
        <v>0</v>
      </c>
      <c r="AS39" s="7" t="n">
        <v>1</v>
      </c>
      <c r="AT39" s="7" t="n">
        <v>0</v>
      </c>
      <c r="AU39" s="7" t="n">
        <v>0</v>
      </c>
      <c r="AV39" s="7" t="n">
        <v>1</v>
      </c>
      <c r="AW39" s="7" t="n">
        <v>0</v>
      </c>
      <c r="AX39" s="7" t="n">
        <v>0</v>
      </c>
      <c r="AY39" s="7" t="n">
        <v>0</v>
      </c>
      <c r="AZ39" s="7" t="n">
        <v>0</v>
      </c>
      <c r="BA39" s="7" t="n">
        <v>0</v>
      </c>
      <c r="BB39" s="7" t="n">
        <v>0</v>
      </c>
      <c r="BC39" s="7" t="n">
        <v>1</v>
      </c>
      <c r="BD39" s="7" t="n">
        <v>0</v>
      </c>
    </row>
    <row r="40" customFormat="false" ht="14.25" hidden="false" customHeight="false" outlineLevel="0" collapsed="false">
      <c r="A40" s="7" t="s">
        <v>275</v>
      </c>
      <c r="B40" s="7" t="n">
        <v>0</v>
      </c>
      <c r="C40" s="7" t="n">
        <v>92</v>
      </c>
      <c r="D40" s="7" t="n">
        <v>1</v>
      </c>
      <c r="E40" s="7" t="n">
        <v>1</v>
      </c>
      <c r="F40" s="7" t="n">
        <v>0</v>
      </c>
      <c r="G40" s="7" t="n">
        <v>7.67</v>
      </c>
      <c r="H40" s="7" t="n">
        <v>3</v>
      </c>
      <c r="I40" s="7" t="n">
        <v>2</v>
      </c>
      <c r="J40" s="7" t="n">
        <v>1</v>
      </c>
      <c r="K40" s="7" t="n">
        <v>0</v>
      </c>
      <c r="L40" s="7" t="n">
        <v>13</v>
      </c>
      <c r="M40" s="7" t="n">
        <v>7.88</v>
      </c>
      <c r="N40" s="7" t="n">
        <v>5.5</v>
      </c>
      <c r="O40" s="7" t="n">
        <v>54.4</v>
      </c>
      <c r="P40" s="7" t="n">
        <v>2.1021</v>
      </c>
      <c r="Q40" s="7" t="n">
        <v>0</v>
      </c>
      <c r="R40" s="7" t="n">
        <v>0</v>
      </c>
      <c r="S40" s="7" t="n">
        <v>1</v>
      </c>
      <c r="T40" s="7" t="n">
        <v>0</v>
      </c>
      <c r="U40" s="7" t="n">
        <v>0</v>
      </c>
      <c r="V40" s="7" t="n">
        <v>1</v>
      </c>
      <c r="W40" s="7" t="n">
        <v>0</v>
      </c>
      <c r="X40" s="7" t="n">
        <v>0</v>
      </c>
      <c r="Y40" s="7" t="n">
        <v>1</v>
      </c>
      <c r="Z40" s="7" t="n">
        <v>1</v>
      </c>
      <c r="AA40" s="7" t="n">
        <v>1</v>
      </c>
      <c r="AB40" s="7" t="n">
        <v>0</v>
      </c>
      <c r="AC40" s="7" t="n">
        <v>0</v>
      </c>
      <c r="AD40" s="7" t="n">
        <v>1</v>
      </c>
      <c r="AE40" s="7" t="n">
        <v>0</v>
      </c>
      <c r="AF40" s="7" t="n">
        <v>1</v>
      </c>
      <c r="AG40" s="7" t="n">
        <v>0</v>
      </c>
      <c r="AH40" s="7" t="n">
        <v>1</v>
      </c>
      <c r="AI40" s="7" t="n">
        <v>0</v>
      </c>
      <c r="AJ40" s="7" t="n">
        <v>0</v>
      </c>
      <c r="AK40" s="7" t="n">
        <v>0</v>
      </c>
      <c r="AL40" s="7" t="n">
        <v>1</v>
      </c>
      <c r="AM40" s="7" t="n">
        <v>1</v>
      </c>
      <c r="AN40" s="7" t="n">
        <v>0</v>
      </c>
      <c r="AO40" s="7" t="n">
        <v>1</v>
      </c>
      <c r="AP40" s="7" t="n">
        <v>0</v>
      </c>
      <c r="AQ40" s="7" t="n">
        <v>0</v>
      </c>
      <c r="AR40" s="7" t="n">
        <v>0</v>
      </c>
      <c r="AS40" s="7" t="n">
        <v>1</v>
      </c>
      <c r="AT40" s="7" t="n">
        <v>0</v>
      </c>
      <c r="AU40" s="7" t="n">
        <v>0</v>
      </c>
      <c r="AV40" s="7" t="n">
        <v>1</v>
      </c>
      <c r="AW40" s="7" t="n">
        <v>0</v>
      </c>
      <c r="AX40" s="7" t="n">
        <v>0</v>
      </c>
      <c r="AY40" s="7" t="n">
        <v>0</v>
      </c>
      <c r="AZ40" s="7" t="n">
        <v>0</v>
      </c>
      <c r="BA40" s="7" t="n">
        <v>0</v>
      </c>
      <c r="BB40" s="7" t="n">
        <v>0</v>
      </c>
      <c r="BC40" s="7" t="n">
        <v>1</v>
      </c>
      <c r="BD40" s="7" t="n">
        <v>1</v>
      </c>
    </row>
    <row r="41" customFormat="false" ht="14.25" hidden="false" customHeight="false" outlineLevel="0" collapsed="false">
      <c r="A41" s="7" t="s">
        <v>279</v>
      </c>
      <c r="B41" s="7"/>
      <c r="C41" s="7"/>
      <c r="D41" s="7"/>
      <c r="E41" s="7"/>
      <c r="F41" s="7"/>
      <c r="G41" s="7" t="n">
        <v>9.71</v>
      </c>
      <c r="H41" s="7" t="n">
        <v>3</v>
      </c>
      <c r="I41" s="7" t="n">
        <v>2</v>
      </c>
      <c r="J41" s="7" t="n">
        <v>1</v>
      </c>
      <c r="K41" s="7" t="n">
        <v>0</v>
      </c>
      <c r="L41" s="7" t="n">
        <v>13</v>
      </c>
      <c r="M41" s="7" t="n">
        <v>6.55</v>
      </c>
      <c r="N41" s="7" t="n">
        <v>5.7</v>
      </c>
      <c r="O41" s="7" t="n">
        <v>54.4</v>
      </c>
      <c r="P41" s="7" t="n">
        <v>2.1021</v>
      </c>
      <c r="Q41" s="7" t="n">
        <v>1</v>
      </c>
      <c r="R41" s="7" t="n">
        <v>1</v>
      </c>
      <c r="S41" s="7" t="n">
        <v>1</v>
      </c>
      <c r="T41" s="7" t="n">
        <v>0</v>
      </c>
      <c r="U41" s="7" t="n">
        <v>0</v>
      </c>
      <c r="V41" s="7" t="n">
        <v>1</v>
      </c>
      <c r="W41" s="7" t="n">
        <v>1</v>
      </c>
      <c r="X41" s="7" t="n">
        <v>1</v>
      </c>
      <c r="Y41" s="7" t="n">
        <v>1</v>
      </c>
      <c r="Z41" s="7" t="n">
        <v>1</v>
      </c>
      <c r="AA41" s="7" t="n">
        <v>0</v>
      </c>
      <c r="AB41" s="7" t="n">
        <v>1</v>
      </c>
      <c r="AC41" s="7" t="n">
        <v>0</v>
      </c>
      <c r="AD41" s="7" t="n">
        <v>1</v>
      </c>
      <c r="AE41" s="7" t="n">
        <v>0</v>
      </c>
      <c r="AF41" s="7" t="n">
        <v>1</v>
      </c>
      <c r="AG41" s="7" t="n">
        <v>0</v>
      </c>
      <c r="AH41" s="7" t="n">
        <v>1</v>
      </c>
      <c r="AI41" s="7" t="n">
        <v>0</v>
      </c>
      <c r="AJ41" s="7" t="n">
        <v>0</v>
      </c>
      <c r="AK41" s="7" t="n">
        <v>0</v>
      </c>
      <c r="AL41" s="7" t="n">
        <v>0</v>
      </c>
      <c r="AM41" s="7" t="n">
        <v>1</v>
      </c>
      <c r="AN41" s="7" t="n">
        <v>0</v>
      </c>
      <c r="AO41" s="7" t="n">
        <v>0</v>
      </c>
      <c r="AP41" s="7" t="n">
        <v>0</v>
      </c>
      <c r="AQ41" s="7" t="n">
        <v>0</v>
      </c>
      <c r="AR41" s="7" t="n">
        <v>0</v>
      </c>
      <c r="AS41" s="7" t="n">
        <v>1</v>
      </c>
      <c r="AT41" s="7" t="n">
        <v>0</v>
      </c>
      <c r="AU41" s="7" t="n">
        <v>0</v>
      </c>
      <c r="AV41" s="7" t="n">
        <v>1</v>
      </c>
      <c r="AW41" s="7" t="n">
        <v>0</v>
      </c>
      <c r="AX41" s="7" t="n">
        <v>0</v>
      </c>
      <c r="AY41" s="7" t="n">
        <v>0</v>
      </c>
      <c r="AZ41" s="7" t="n">
        <v>0</v>
      </c>
      <c r="BA41" s="7" t="n">
        <v>0</v>
      </c>
      <c r="BB41" s="7" t="n">
        <v>0</v>
      </c>
      <c r="BC41" s="7" t="n">
        <v>0</v>
      </c>
      <c r="BD41" s="7" t="n">
        <v>0</v>
      </c>
    </row>
    <row r="42" customFormat="false" ht="14.25" hidden="false" customHeight="false" outlineLevel="0" collapsed="false">
      <c r="A42" s="7" t="s">
        <v>284</v>
      </c>
      <c r="B42" s="7" t="n">
        <v>0</v>
      </c>
      <c r="C42" s="7" t="n">
        <v>104</v>
      </c>
      <c r="D42" s="7" t="n">
        <v>1</v>
      </c>
      <c r="E42" s="7" t="n">
        <v>1</v>
      </c>
      <c r="F42" s="7" t="n">
        <v>0</v>
      </c>
      <c r="G42" s="7" t="n">
        <v>8.67</v>
      </c>
      <c r="H42" s="7" t="n">
        <v>3</v>
      </c>
      <c r="I42" s="7" t="n">
        <v>2</v>
      </c>
      <c r="J42" s="7" t="n">
        <v>3</v>
      </c>
      <c r="K42" s="7" t="n">
        <v>0</v>
      </c>
      <c r="L42" s="7" t="n">
        <v>13</v>
      </c>
      <c r="M42" s="7" t="n">
        <v>7.32</v>
      </c>
      <c r="N42" s="7" t="n">
        <v>5.54</v>
      </c>
      <c r="O42" s="7" t="n">
        <v>54.4</v>
      </c>
      <c r="P42" s="7" t="n">
        <v>2.1021</v>
      </c>
      <c r="Q42" s="7" t="n">
        <v>0</v>
      </c>
      <c r="R42" s="7" t="n">
        <v>0</v>
      </c>
      <c r="S42" s="7" t="n">
        <v>1</v>
      </c>
      <c r="T42" s="7" t="n">
        <v>0</v>
      </c>
      <c r="U42" s="7" t="n">
        <v>0</v>
      </c>
      <c r="V42" s="7" t="n">
        <v>1</v>
      </c>
      <c r="W42" s="7" t="n">
        <v>0</v>
      </c>
      <c r="X42" s="7" t="n">
        <v>0</v>
      </c>
      <c r="Y42" s="7" t="n">
        <v>1</v>
      </c>
      <c r="Z42" s="7" t="n">
        <v>1</v>
      </c>
      <c r="AA42" s="7" t="n">
        <v>1</v>
      </c>
      <c r="AB42" s="7" t="n">
        <v>0</v>
      </c>
      <c r="AC42" s="7" t="n">
        <v>0</v>
      </c>
      <c r="AD42" s="7" t="n">
        <v>1</v>
      </c>
      <c r="AE42" s="7" t="n">
        <v>0</v>
      </c>
      <c r="AF42" s="7" t="n">
        <v>1</v>
      </c>
      <c r="AG42" s="7" t="n">
        <v>0</v>
      </c>
      <c r="AH42" s="7" t="n">
        <v>1</v>
      </c>
      <c r="AI42" s="7" t="n">
        <v>0</v>
      </c>
      <c r="AJ42" s="7" t="n">
        <v>0</v>
      </c>
      <c r="AK42" s="7" t="n">
        <v>0</v>
      </c>
      <c r="AL42" s="7" t="n">
        <v>1</v>
      </c>
      <c r="AM42" s="7" t="n">
        <v>1</v>
      </c>
      <c r="AN42" s="7" t="n">
        <v>0</v>
      </c>
      <c r="AO42" s="7" t="n">
        <v>0</v>
      </c>
      <c r="AP42" s="7" t="n">
        <v>0</v>
      </c>
      <c r="AQ42" s="7" t="n">
        <v>0</v>
      </c>
      <c r="AR42" s="7" t="n">
        <v>0</v>
      </c>
      <c r="AS42" s="7" t="n">
        <v>1</v>
      </c>
      <c r="AT42" s="7" t="n">
        <v>0</v>
      </c>
      <c r="AU42" s="7" t="n">
        <v>0</v>
      </c>
      <c r="AV42" s="7" t="n">
        <v>1</v>
      </c>
      <c r="AW42" s="7" t="n">
        <v>0</v>
      </c>
      <c r="AX42" s="7" t="n">
        <v>0</v>
      </c>
      <c r="AY42" s="7" t="n">
        <v>0</v>
      </c>
      <c r="AZ42" s="7" t="n">
        <v>0</v>
      </c>
      <c r="BA42" s="7" t="n">
        <v>0</v>
      </c>
      <c r="BB42" s="7" t="n">
        <v>0</v>
      </c>
      <c r="BC42" s="7" t="n">
        <v>1</v>
      </c>
      <c r="BD42" s="7" t="n">
        <v>1</v>
      </c>
    </row>
    <row r="43" customFormat="false" ht="14.25" hidden="false" customHeight="false" outlineLevel="0" collapsed="false">
      <c r="A43" s="7" t="s">
        <v>289</v>
      </c>
      <c r="B43" s="7" t="n">
        <v>0</v>
      </c>
      <c r="C43" s="7" t="n">
        <v>80</v>
      </c>
      <c r="D43" s="7" t="n">
        <v>1</v>
      </c>
      <c r="E43" s="7" t="n">
        <v>1</v>
      </c>
      <c r="F43" s="7" t="n">
        <v>0</v>
      </c>
      <c r="G43" s="7" t="n">
        <v>6.67</v>
      </c>
      <c r="H43" s="7" t="n">
        <v>3</v>
      </c>
      <c r="I43" s="7" t="n">
        <v>2</v>
      </c>
      <c r="J43" s="7" t="n">
        <v>2</v>
      </c>
      <c r="K43" s="7" t="n">
        <v>0.5</v>
      </c>
      <c r="L43" s="7" t="n">
        <v>13</v>
      </c>
      <c r="M43" s="7" t="n">
        <v>3.45</v>
      </c>
      <c r="N43" s="7" t="n">
        <v>5.69</v>
      </c>
      <c r="O43" s="7" t="n">
        <v>54.4</v>
      </c>
      <c r="P43" s="7" t="n">
        <v>2.1021</v>
      </c>
      <c r="Q43" s="7" t="n">
        <v>0</v>
      </c>
      <c r="R43" s="7" t="n">
        <v>0</v>
      </c>
      <c r="S43" s="7" t="n">
        <v>1</v>
      </c>
      <c r="T43" s="7" t="n">
        <v>0</v>
      </c>
      <c r="U43" s="7" t="n">
        <v>0</v>
      </c>
      <c r="V43" s="7" t="n">
        <v>1</v>
      </c>
      <c r="W43" s="7" t="n">
        <v>0</v>
      </c>
      <c r="X43" s="7" t="n">
        <v>0</v>
      </c>
      <c r="Y43" s="7" t="n">
        <v>1</v>
      </c>
      <c r="Z43" s="7" t="n">
        <v>1</v>
      </c>
      <c r="AA43" s="7" t="n">
        <v>1</v>
      </c>
      <c r="AB43" s="7" t="n">
        <v>0</v>
      </c>
      <c r="AC43" s="7" t="n">
        <v>1</v>
      </c>
      <c r="AD43" s="7" t="n">
        <v>0</v>
      </c>
      <c r="AE43" s="7" t="n">
        <v>0</v>
      </c>
      <c r="AF43" s="7" t="n">
        <v>1</v>
      </c>
      <c r="AG43" s="7" t="n">
        <v>0</v>
      </c>
      <c r="AH43" s="7" t="n">
        <v>1</v>
      </c>
      <c r="AI43" s="7" t="n">
        <v>1</v>
      </c>
      <c r="AJ43" s="7" t="n">
        <v>0</v>
      </c>
      <c r="AK43" s="7" t="n">
        <v>11.5129354649202</v>
      </c>
      <c r="AL43" s="7" t="n">
        <v>0</v>
      </c>
      <c r="AM43" s="7" t="n">
        <v>1</v>
      </c>
      <c r="AN43" s="7" t="n">
        <v>0</v>
      </c>
      <c r="AO43" s="7" t="n">
        <v>1</v>
      </c>
      <c r="AP43" s="7" t="n">
        <v>0</v>
      </c>
      <c r="AQ43" s="7" t="n">
        <v>0</v>
      </c>
      <c r="AR43" s="7" t="n">
        <v>0</v>
      </c>
      <c r="AS43" s="7" t="n">
        <v>1</v>
      </c>
      <c r="AT43" s="7" t="n">
        <v>0</v>
      </c>
      <c r="AU43" s="7" t="n">
        <v>0</v>
      </c>
      <c r="AV43" s="7" t="n">
        <v>1</v>
      </c>
      <c r="AW43" s="7" t="n">
        <v>0</v>
      </c>
      <c r="AX43" s="7" t="n">
        <v>0</v>
      </c>
      <c r="AY43" s="7" t="n">
        <v>0</v>
      </c>
      <c r="AZ43" s="7" t="n">
        <v>0</v>
      </c>
      <c r="BA43" s="7" t="n">
        <v>0</v>
      </c>
      <c r="BB43" s="7" t="n">
        <v>0</v>
      </c>
      <c r="BC43" s="7" t="n">
        <v>1</v>
      </c>
      <c r="BD43" s="7" t="n">
        <v>1</v>
      </c>
    </row>
    <row r="44" customFormat="false" ht="14.25" hidden="false" customHeight="false" outlineLevel="0" collapsed="false">
      <c r="A44" s="7" t="s">
        <v>295</v>
      </c>
      <c r="B44" s="7" t="n">
        <v>0</v>
      </c>
      <c r="C44" s="7" t="n">
        <v>92</v>
      </c>
      <c r="D44" s="7" t="n">
        <v>1</v>
      </c>
      <c r="E44" s="7" t="n">
        <v>1</v>
      </c>
      <c r="F44" s="7" t="n">
        <v>0</v>
      </c>
      <c r="G44" s="7" t="n">
        <v>7.67</v>
      </c>
      <c r="H44" s="7" t="n">
        <v>3</v>
      </c>
      <c r="I44" s="7" t="n">
        <v>2</v>
      </c>
      <c r="J44" s="7" t="n">
        <v>1</v>
      </c>
      <c r="K44" s="7" t="n">
        <v>0</v>
      </c>
      <c r="L44" s="7" t="n">
        <v>13</v>
      </c>
      <c r="M44" s="7" t="n">
        <v>7.88</v>
      </c>
      <c r="N44" s="7" t="n">
        <v>5.5</v>
      </c>
      <c r="O44" s="7" t="n">
        <v>54.4</v>
      </c>
      <c r="P44" s="7" t="n">
        <v>2.1021</v>
      </c>
      <c r="Q44" s="7" t="n">
        <v>0</v>
      </c>
      <c r="R44" s="7" t="n">
        <v>0</v>
      </c>
      <c r="S44" s="7" t="n">
        <v>1</v>
      </c>
      <c r="T44" s="7" t="n">
        <v>0</v>
      </c>
      <c r="U44" s="7" t="n">
        <v>0</v>
      </c>
      <c r="V44" s="7" t="n">
        <v>1</v>
      </c>
      <c r="W44" s="7" t="n">
        <v>0</v>
      </c>
      <c r="X44" s="7" t="n">
        <v>0</v>
      </c>
      <c r="Y44" s="7" t="n">
        <v>1</v>
      </c>
      <c r="Z44" s="7" t="n">
        <v>1</v>
      </c>
      <c r="AA44" s="7" t="n">
        <v>1</v>
      </c>
      <c r="AB44" s="7" t="n">
        <v>0</v>
      </c>
      <c r="AC44" s="7" t="n">
        <v>0</v>
      </c>
      <c r="AD44" s="7" t="n">
        <v>1</v>
      </c>
      <c r="AE44" s="7" t="n">
        <v>0</v>
      </c>
      <c r="AF44" s="7" t="n">
        <v>1</v>
      </c>
      <c r="AG44" s="7" t="n">
        <v>0</v>
      </c>
      <c r="AH44" s="7" t="n">
        <v>1</v>
      </c>
      <c r="AI44" s="7" t="n">
        <v>0</v>
      </c>
      <c r="AJ44" s="7" t="n">
        <v>0</v>
      </c>
      <c r="AK44" s="7" t="n">
        <v>0</v>
      </c>
      <c r="AL44" s="7" t="n">
        <v>0</v>
      </c>
      <c r="AM44" s="7" t="n">
        <v>1</v>
      </c>
      <c r="AN44" s="7" t="n">
        <v>1</v>
      </c>
      <c r="AO44" s="7" t="n">
        <v>0</v>
      </c>
      <c r="AP44" s="7" t="n">
        <v>0</v>
      </c>
      <c r="AQ44" s="7" t="n">
        <v>0</v>
      </c>
      <c r="AR44" s="7" t="n">
        <v>0</v>
      </c>
      <c r="AS44" s="7" t="n">
        <v>1</v>
      </c>
      <c r="AT44" s="7" t="n">
        <v>0</v>
      </c>
      <c r="AU44" s="7" t="n">
        <v>0</v>
      </c>
      <c r="AV44" s="7" t="n">
        <v>1</v>
      </c>
      <c r="AW44" s="7" t="n">
        <v>0</v>
      </c>
      <c r="AX44" s="7" t="n">
        <v>0</v>
      </c>
      <c r="AY44" s="7" t="n">
        <v>0</v>
      </c>
      <c r="AZ44" s="7" t="n">
        <v>0</v>
      </c>
      <c r="BA44" s="7" t="n">
        <v>0</v>
      </c>
      <c r="BB44" s="7" t="n">
        <v>0</v>
      </c>
      <c r="BC44" s="7" t="n">
        <v>1</v>
      </c>
      <c r="BD44" s="7" t="n">
        <v>1</v>
      </c>
    </row>
    <row r="45" customFormat="false" ht="14.25" hidden="false" customHeight="false" outlineLevel="0" collapsed="false">
      <c r="A45" s="7" t="s">
        <v>299</v>
      </c>
      <c r="B45" s="7" t="n">
        <v>0</v>
      </c>
      <c r="C45" s="7" t="n">
        <v>92</v>
      </c>
      <c r="D45" s="7"/>
      <c r="E45" s="7"/>
      <c r="F45" s="7" t="n">
        <v>0</v>
      </c>
      <c r="G45" s="7" t="n">
        <v>7.67</v>
      </c>
      <c r="H45" s="7" t="n">
        <v>3</v>
      </c>
      <c r="I45" s="7" t="n">
        <v>2</v>
      </c>
      <c r="J45" s="7" t="n">
        <v>1</v>
      </c>
      <c r="K45" s="7" t="n">
        <v>0</v>
      </c>
      <c r="L45" s="7" t="n">
        <v>13</v>
      </c>
      <c r="M45" s="7" t="n">
        <v>7.88</v>
      </c>
      <c r="N45" s="7" t="n">
        <v>5.5</v>
      </c>
      <c r="O45" s="7" t="n">
        <v>54.4</v>
      </c>
      <c r="P45" s="7" t="n">
        <v>2.1021</v>
      </c>
      <c r="Q45" s="7" t="n">
        <v>0</v>
      </c>
      <c r="R45" s="7" t="n">
        <v>0</v>
      </c>
      <c r="S45" s="7" t="n">
        <v>0</v>
      </c>
      <c r="T45" s="7" t="n">
        <v>0</v>
      </c>
      <c r="U45" s="7" t="n">
        <v>0</v>
      </c>
      <c r="V45" s="7" t="n">
        <v>1</v>
      </c>
      <c r="W45" s="7" t="n">
        <v>0</v>
      </c>
      <c r="X45" s="7" t="n">
        <v>0</v>
      </c>
      <c r="Y45" s="7" t="n">
        <v>1</v>
      </c>
      <c r="Z45" s="7" t="n">
        <v>1</v>
      </c>
      <c r="AA45" s="7" t="n">
        <v>0</v>
      </c>
      <c r="AB45" s="7" t="n">
        <v>1</v>
      </c>
      <c r="AC45" s="7" t="n">
        <v>0</v>
      </c>
      <c r="AD45" s="7" t="n">
        <v>1</v>
      </c>
      <c r="AE45" s="7" t="n">
        <v>1</v>
      </c>
      <c r="AF45" s="7" t="n">
        <v>0</v>
      </c>
      <c r="AG45" s="7" t="n">
        <v>0</v>
      </c>
      <c r="AH45" s="7" t="n">
        <v>0</v>
      </c>
      <c r="AI45" s="7" t="n">
        <v>0</v>
      </c>
      <c r="AJ45" s="7" t="n">
        <v>0</v>
      </c>
      <c r="AK45" s="7" t="n">
        <v>0</v>
      </c>
      <c r="AL45" s="7" t="n">
        <v>0</v>
      </c>
      <c r="AM45" s="7" t="n">
        <v>1</v>
      </c>
      <c r="AN45" s="7" t="n">
        <v>0</v>
      </c>
      <c r="AO45" s="7" t="n">
        <v>1</v>
      </c>
      <c r="AP45" s="7" t="n">
        <v>0</v>
      </c>
      <c r="AQ45" s="7" t="n">
        <v>0</v>
      </c>
      <c r="AR45" s="7" t="n">
        <v>0</v>
      </c>
      <c r="AS45" s="7" t="n">
        <v>1</v>
      </c>
      <c r="AT45" s="7" t="n">
        <v>0</v>
      </c>
      <c r="AU45" s="7" t="n">
        <v>0</v>
      </c>
      <c r="AV45" s="7" t="n">
        <v>1</v>
      </c>
      <c r="AW45" s="7" t="n">
        <v>0</v>
      </c>
      <c r="AX45" s="7" t="n">
        <v>0</v>
      </c>
      <c r="AY45" s="7" t="n">
        <v>0</v>
      </c>
      <c r="AZ45" s="7" t="n">
        <v>0</v>
      </c>
      <c r="BA45" s="7" t="n">
        <v>0</v>
      </c>
      <c r="BB45" s="7" t="n">
        <v>0</v>
      </c>
      <c r="BC45" s="7" t="n">
        <v>1</v>
      </c>
      <c r="BD45" s="7" t="n">
        <v>0</v>
      </c>
    </row>
    <row r="46" customFormat="false" ht="14.25" hidden="false" customHeight="false" outlineLevel="0" collapsed="false">
      <c r="A46" s="7" t="s">
        <v>302</v>
      </c>
      <c r="B46" s="7" t="n">
        <v>0</v>
      </c>
      <c r="C46" s="7" t="n">
        <v>104</v>
      </c>
      <c r="D46" s="7" t="n">
        <v>1</v>
      </c>
      <c r="E46" s="7" t="n">
        <v>1</v>
      </c>
      <c r="F46" s="7" t="n">
        <v>0</v>
      </c>
      <c r="G46" s="7" t="n">
        <v>8.67</v>
      </c>
      <c r="H46" s="7" t="n">
        <v>3</v>
      </c>
      <c r="I46" s="7" t="n">
        <v>1</v>
      </c>
      <c r="J46" s="7" t="n">
        <v>1</v>
      </c>
      <c r="K46" s="7" t="n">
        <v>0</v>
      </c>
      <c r="L46" s="7" t="n">
        <v>13</v>
      </c>
      <c r="M46" s="7" t="n">
        <v>7.32</v>
      </c>
      <c r="N46" s="7" t="n">
        <v>5.54</v>
      </c>
      <c r="O46" s="7" t="n">
        <v>54.4</v>
      </c>
      <c r="P46" s="7" t="n">
        <v>2.1021</v>
      </c>
      <c r="Q46" s="7" t="n">
        <v>0</v>
      </c>
      <c r="R46" s="7" t="n">
        <v>0</v>
      </c>
      <c r="S46" s="7" t="n">
        <v>0</v>
      </c>
      <c r="T46" s="7" t="n">
        <v>0</v>
      </c>
      <c r="U46" s="7" t="n">
        <v>0</v>
      </c>
      <c r="V46" s="7" t="n">
        <v>1</v>
      </c>
      <c r="W46" s="7" t="n">
        <v>0</v>
      </c>
      <c r="X46" s="7" t="n">
        <v>0</v>
      </c>
      <c r="Y46" s="7" t="n">
        <v>1</v>
      </c>
      <c r="Z46" s="7" t="n">
        <v>1</v>
      </c>
      <c r="AA46" s="7" t="n">
        <v>1</v>
      </c>
      <c r="AB46" s="7" t="n">
        <v>0</v>
      </c>
      <c r="AC46" s="7" t="n">
        <v>1</v>
      </c>
      <c r="AD46" s="7" t="n">
        <v>0</v>
      </c>
      <c r="AE46" s="7" t="n">
        <v>1</v>
      </c>
      <c r="AF46" s="7" t="n">
        <v>0</v>
      </c>
      <c r="AG46" s="7" t="n">
        <v>0</v>
      </c>
      <c r="AH46" s="7" t="n">
        <v>0</v>
      </c>
      <c r="AI46" s="7" t="n">
        <v>0</v>
      </c>
      <c r="AJ46" s="7" t="n">
        <v>0</v>
      </c>
      <c r="AK46" s="7" t="n">
        <v>0</v>
      </c>
      <c r="AL46" s="7" t="n">
        <v>0</v>
      </c>
      <c r="AM46" s="7" t="n">
        <v>1</v>
      </c>
      <c r="AN46" s="7" t="n">
        <v>0</v>
      </c>
      <c r="AO46" s="7" t="n">
        <v>0</v>
      </c>
      <c r="AP46" s="7" t="n">
        <v>0</v>
      </c>
      <c r="AQ46" s="7" t="n">
        <v>0</v>
      </c>
      <c r="AR46" s="7" t="n">
        <v>0</v>
      </c>
      <c r="AS46" s="7" t="n">
        <v>1</v>
      </c>
      <c r="AT46" s="7" t="n">
        <v>0</v>
      </c>
      <c r="AU46" s="7" t="n">
        <v>0</v>
      </c>
      <c r="AV46" s="7" t="n">
        <v>1</v>
      </c>
      <c r="AW46" s="7" t="n">
        <v>0</v>
      </c>
      <c r="AX46" s="7" t="n">
        <v>0</v>
      </c>
      <c r="AY46" s="7" t="n">
        <v>0</v>
      </c>
      <c r="AZ46" s="7" t="n">
        <v>0</v>
      </c>
      <c r="BA46" s="7" t="n">
        <v>0</v>
      </c>
      <c r="BB46" s="7" t="n">
        <v>0</v>
      </c>
      <c r="BC46" s="7" t="n">
        <v>1</v>
      </c>
      <c r="BD46" s="7" t="n">
        <v>1</v>
      </c>
    </row>
    <row r="47" customFormat="false" ht="14.25" hidden="false" customHeight="false" outlineLevel="0" collapsed="false">
      <c r="A47" s="7" t="s">
        <v>307</v>
      </c>
      <c r="B47" s="7" t="n">
        <v>0</v>
      </c>
      <c r="C47" s="7" t="n">
        <v>152</v>
      </c>
      <c r="D47" s="7"/>
      <c r="E47" s="7"/>
      <c r="F47" s="7" t="n">
        <v>0</v>
      </c>
      <c r="G47" s="7" t="n">
        <v>12.67</v>
      </c>
      <c r="H47" s="7" t="n">
        <v>3</v>
      </c>
      <c r="I47" s="7" t="n">
        <v>2</v>
      </c>
      <c r="J47" s="7" t="n">
        <v>1</v>
      </c>
      <c r="K47" s="7" t="n">
        <v>0</v>
      </c>
      <c r="L47" s="7" t="n">
        <v>13</v>
      </c>
      <c r="M47" s="7" t="n">
        <v>6.06</v>
      </c>
      <c r="N47" s="7" t="n">
        <v>6.99</v>
      </c>
      <c r="O47" s="7" t="n">
        <v>54.4</v>
      </c>
      <c r="P47" s="7" t="n">
        <v>2.1021</v>
      </c>
      <c r="Q47" s="7" t="n">
        <v>0</v>
      </c>
      <c r="R47" s="7" t="n">
        <v>0</v>
      </c>
      <c r="S47" s="7" t="n">
        <v>1</v>
      </c>
      <c r="T47" s="7" t="n">
        <v>0</v>
      </c>
      <c r="U47" s="7" t="n">
        <v>0</v>
      </c>
      <c r="V47" s="7" t="n">
        <v>1</v>
      </c>
      <c r="W47" s="7" t="n">
        <v>0</v>
      </c>
      <c r="X47" s="7" t="n">
        <v>0</v>
      </c>
      <c r="Y47" s="7" t="n">
        <v>1</v>
      </c>
      <c r="Z47" s="7" t="n">
        <v>1</v>
      </c>
      <c r="AA47" s="7" t="n">
        <v>0</v>
      </c>
      <c r="AB47" s="7" t="n">
        <v>1</v>
      </c>
      <c r="AC47" s="7" t="n">
        <v>0</v>
      </c>
      <c r="AD47" s="7" t="n">
        <v>1</v>
      </c>
      <c r="AE47" s="7" t="n">
        <v>0</v>
      </c>
      <c r="AF47" s="7" t="n">
        <v>1</v>
      </c>
      <c r="AG47" s="7" t="n">
        <v>0</v>
      </c>
      <c r="AH47" s="7" t="n">
        <v>1</v>
      </c>
      <c r="AI47" s="7" t="n">
        <v>0</v>
      </c>
      <c r="AJ47" s="7" t="n">
        <v>0</v>
      </c>
      <c r="AK47" s="7" t="n">
        <v>0</v>
      </c>
      <c r="AL47" s="7" t="n">
        <v>0</v>
      </c>
      <c r="AM47" s="7" t="n">
        <v>1</v>
      </c>
      <c r="AN47" s="7" t="n">
        <v>0</v>
      </c>
      <c r="AO47" s="7" t="n">
        <v>0</v>
      </c>
      <c r="AP47" s="7" t="n">
        <v>0</v>
      </c>
      <c r="AQ47" s="7" t="n">
        <v>0</v>
      </c>
      <c r="AR47" s="7" t="n">
        <v>0</v>
      </c>
      <c r="AS47" s="7" t="n">
        <v>1</v>
      </c>
      <c r="AT47" s="7" t="n">
        <v>0</v>
      </c>
      <c r="AU47" s="7" t="n">
        <v>0</v>
      </c>
      <c r="AV47" s="7" t="n">
        <v>1</v>
      </c>
      <c r="AW47" s="7" t="n">
        <v>0</v>
      </c>
      <c r="AX47" s="7" t="n">
        <v>0</v>
      </c>
      <c r="AY47" s="7" t="n">
        <v>0</v>
      </c>
      <c r="AZ47" s="7" t="n">
        <v>0</v>
      </c>
      <c r="BA47" s="7" t="n">
        <v>0</v>
      </c>
      <c r="BB47" s="7" t="n">
        <v>0</v>
      </c>
      <c r="BC47" s="7" t="n">
        <v>1</v>
      </c>
      <c r="BD47" s="7" t="n">
        <v>0</v>
      </c>
    </row>
    <row r="48" customFormat="false" ht="14.25" hidden="false" customHeight="false" outlineLevel="0" collapsed="false">
      <c r="A48" s="7" t="s">
        <v>310</v>
      </c>
      <c r="B48" s="7" t="n">
        <v>0</v>
      </c>
      <c r="C48" s="7" t="n">
        <v>140</v>
      </c>
      <c r="D48" s="7" t="n">
        <v>1</v>
      </c>
      <c r="E48" s="7"/>
      <c r="F48" s="7" t="n">
        <v>0</v>
      </c>
      <c r="G48" s="7" t="n">
        <v>11.67</v>
      </c>
      <c r="H48" s="7" t="n">
        <v>3</v>
      </c>
      <c r="I48" s="7" t="n">
        <v>0</v>
      </c>
      <c r="J48" s="7" t="n">
        <v>1</v>
      </c>
      <c r="K48" s="7" t="n">
        <v>0</v>
      </c>
      <c r="L48" s="7" t="n">
        <v>13</v>
      </c>
      <c r="M48" s="7" t="n">
        <v>6.55</v>
      </c>
      <c r="N48" s="7" t="n">
        <v>6.4</v>
      </c>
      <c r="O48" s="7" t="n">
        <v>54.4</v>
      </c>
      <c r="P48" s="7" t="n">
        <v>2.1021</v>
      </c>
      <c r="Q48" s="7" t="n">
        <v>0</v>
      </c>
      <c r="R48" s="7" t="n">
        <v>0</v>
      </c>
      <c r="S48" s="7" t="n">
        <v>0</v>
      </c>
      <c r="T48" s="7" t="n">
        <v>0</v>
      </c>
      <c r="U48" s="7" t="n">
        <v>0</v>
      </c>
      <c r="V48" s="7" t="n">
        <v>1</v>
      </c>
      <c r="W48" s="7" t="n">
        <v>0</v>
      </c>
      <c r="X48" s="7" t="n">
        <v>0</v>
      </c>
      <c r="Y48" s="7" t="n">
        <v>1</v>
      </c>
      <c r="Z48" s="7" t="n">
        <v>1</v>
      </c>
      <c r="AA48" s="7" t="n">
        <v>1</v>
      </c>
      <c r="AB48" s="7" t="n">
        <v>0</v>
      </c>
      <c r="AC48" s="7" t="n">
        <v>0</v>
      </c>
      <c r="AD48" s="7" t="n">
        <v>1</v>
      </c>
      <c r="AE48" s="7" t="n">
        <v>1</v>
      </c>
      <c r="AF48" s="7" t="n">
        <v>0</v>
      </c>
      <c r="AG48" s="7" t="n">
        <v>0</v>
      </c>
      <c r="AH48" s="7" t="n">
        <v>0</v>
      </c>
      <c r="AI48" s="7" t="n">
        <v>0</v>
      </c>
      <c r="AJ48" s="7" t="n">
        <v>0</v>
      </c>
      <c r="AK48" s="7" t="n">
        <v>0</v>
      </c>
      <c r="AL48" s="7" t="n">
        <v>0</v>
      </c>
      <c r="AM48" s="7" t="n">
        <v>1</v>
      </c>
      <c r="AN48" s="7" t="n">
        <v>1</v>
      </c>
      <c r="AO48" s="7" t="n">
        <v>0</v>
      </c>
      <c r="AP48" s="7" t="n">
        <v>0</v>
      </c>
      <c r="AQ48" s="7" t="n">
        <v>0</v>
      </c>
      <c r="AR48" s="7" t="n">
        <v>0</v>
      </c>
      <c r="AS48" s="7" t="n">
        <v>1</v>
      </c>
      <c r="AT48" s="7" t="n">
        <v>0</v>
      </c>
      <c r="AU48" s="7" t="n">
        <v>0</v>
      </c>
      <c r="AV48" s="7" t="n">
        <v>1</v>
      </c>
      <c r="AW48" s="7" t="n">
        <v>0</v>
      </c>
      <c r="AX48" s="7" t="n">
        <v>0</v>
      </c>
      <c r="AY48" s="7" t="n">
        <v>0</v>
      </c>
      <c r="AZ48" s="7" t="n">
        <v>0</v>
      </c>
      <c r="BA48" s="7" t="n">
        <v>0</v>
      </c>
      <c r="BB48" s="7" t="n">
        <v>0</v>
      </c>
      <c r="BC48" s="7" t="n">
        <v>1</v>
      </c>
      <c r="BD48" s="7" t="n">
        <v>1</v>
      </c>
    </row>
    <row r="49" customFormat="false" ht="14.25" hidden="false" customHeight="false" outlineLevel="0" collapsed="false">
      <c r="A49" s="7" t="s">
        <v>314</v>
      </c>
      <c r="B49" s="7" t="n">
        <v>0</v>
      </c>
      <c r="C49" s="7" t="n">
        <v>80</v>
      </c>
      <c r="D49" s="7" t="n">
        <v>1</v>
      </c>
      <c r="E49" s="7" t="n">
        <v>1</v>
      </c>
      <c r="F49" s="7" t="n">
        <v>0</v>
      </c>
      <c r="G49" s="7" t="n">
        <v>6.67</v>
      </c>
      <c r="H49" s="7" t="n">
        <v>3</v>
      </c>
      <c r="I49" s="7" t="n">
        <v>1</v>
      </c>
      <c r="J49" s="7" t="n">
        <v>3</v>
      </c>
      <c r="K49" s="7" t="n">
        <v>0</v>
      </c>
      <c r="L49" s="7" t="n">
        <v>13</v>
      </c>
      <c r="M49" s="7" t="n">
        <v>3.45</v>
      </c>
      <c r="N49" s="7" t="n">
        <v>5.69</v>
      </c>
      <c r="O49" s="7" t="n">
        <v>54.4</v>
      </c>
      <c r="P49" s="7" t="n">
        <v>2.1021</v>
      </c>
      <c r="Q49" s="7" t="n">
        <v>0</v>
      </c>
      <c r="R49" s="7" t="n">
        <v>0</v>
      </c>
      <c r="S49" s="7" t="n">
        <v>0</v>
      </c>
      <c r="T49" s="7" t="n">
        <v>0</v>
      </c>
      <c r="U49" s="7" t="n">
        <v>0</v>
      </c>
      <c r="V49" s="7" t="n">
        <v>1</v>
      </c>
      <c r="W49" s="7" t="n">
        <v>0</v>
      </c>
      <c r="X49" s="7" t="n">
        <v>0</v>
      </c>
      <c r="Y49" s="7" t="n">
        <v>1</v>
      </c>
      <c r="Z49" s="7" t="n">
        <v>1</v>
      </c>
      <c r="AA49" s="7" t="n">
        <v>1</v>
      </c>
      <c r="AB49" s="7" t="n">
        <v>0</v>
      </c>
      <c r="AC49" s="7" t="n">
        <v>0</v>
      </c>
      <c r="AD49" s="7" t="n">
        <v>1</v>
      </c>
      <c r="AE49" s="7" t="n">
        <v>1</v>
      </c>
      <c r="AF49" s="7" t="n">
        <v>0</v>
      </c>
      <c r="AG49" s="7" t="n">
        <v>0</v>
      </c>
      <c r="AH49" s="7" t="n">
        <v>0</v>
      </c>
      <c r="AI49" s="7" t="n">
        <v>0</v>
      </c>
      <c r="AJ49" s="7" t="n">
        <v>0</v>
      </c>
      <c r="AK49" s="7" t="n">
        <v>0</v>
      </c>
      <c r="AL49" s="7" t="n">
        <v>0</v>
      </c>
      <c r="AM49" s="7" t="n">
        <v>1</v>
      </c>
      <c r="AN49" s="7" t="n">
        <v>0</v>
      </c>
      <c r="AO49" s="7" t="n">
        <v>0</v>
      </c>
      <c r="AP49" s="7" t="n">
        <v>0</v>
      </c>
      <c r="AQ49" s="7" t="n">
        <v>0</v>
      </c>
      <c r="AR49" s="7" t="n">
        <v>0</v>
      </c>
      <c r="AS49" s="7" t="n">
        <v>1</v>
      </c>
      <c r="AT49" s="7" t="n">
        <v>0</v>
      </c>
      <c r="AU49" s="7" t="n">
        <v>0</v>
      </c>
      <c r="AV49" s="7" t="n">
        <v>1</v>
      </c>
      <c r="AW49" s="7" t="n">
        <v>0</v>
      </c>
      <c r="AX49" s="7" t="n">
        <v>0</v>
      </c>
      <c r="AY49" s="7" t="n">
        <v>0</v>
      </c>
      <c r="AZ49" s="7" t="n">
        <v>0</v>
      </c>
      <c r="BA49" s="7" t="n">
        <v>0</v>
      </c>
      <c r="BB49" s="7" t="n">
        <v>0</v>
      </c>
      <c r="BC49" s="7" t="n">
        <v>1</v>
      </c>
      <c r="BD49" s="7" t="n">
        <v>1</v>
      </c>
    </row>
    <row r="50" customFormat="false" ht="14.25" hidden="false" customHeight="false" outlineLevel="0" collapsed="false">
      <c r="A50" s="7" t="s">
        <v>318</v>
      </c>
      <c r="B50" s="7" t="n">
        <v>0</v>
      </c>
      <c r="C50" s="7" t="n">
        <v>176</v>
      </c>
      <c r="D50" s="7"/>
      <c r="E50" s="7"/>
      <c r="F50" s="7" t="n">
        <v>0</v>
      </c>
      <c r="G50" s="7" t="n">
        <v>14.67</v>
      </c>
      <c r="H50" s="7" t="n">
        <v>3</v>
      </c>
      <c r="I50" s="7" t="n">
        <v>2</v>
      </c>
      <c r="J50" s="7" t="n">
        <v>1</v>
      </c>
      <c r="K50" s="7" t="n">
        <v>0</v>
      </c>
      <c r="L50" s="7" t="n">
        <v>13</v>
      </c>
      <c r="M50" s="7" t="n">
        <v>6.52</v>
      </c>
      <c r="N50" s="7" t="n">
        <v>6.22</v>
      </c>
      <c r="O50" s="7" t="n">
        <v>54.4</v>
      </c>
      <c r="P50" s="7" t="n">
        <v>2.1021</v>
      </c>
      <c r="Q50" s="7" t="n">
        <v>0</v>
      </c>
      <c r="R50" s="7" t="n">
        <v>0</v>
      </c>
      <c r="S50" s="7" t="n">
        <v>1</v>
      </c>
      <c r="T50" s="7" t="n">
        <v>0</v>
      </c>
      <c r="U50" s="7" t="n">
        <v>0</v>
      </c>
      <c r="V50" s="7" t="n">
        <v>1</v>
      </c>
      <c r="W50" s="7" t="n">
        <v>0</v>
      </c>
      <c r="X50" s="7" t="n">
        <v>0</v>
      </c>
      <c r="Y50" s="7" t="n">
        <v>1</v>
      </c>
      <c r="Z50" s="7" t="n">
        <v>1</v>
      </c>
      <c r="AA50" s="7" t="n">
        <v>0</v>
      </c>
      <c r="AB50" s="7" t="n">
        <v>1</v>
      </c>
      <c r="AC50" s="7" t="n">
        <v>0</v>
      </c>
      <c r="AD50" s="7" t="n">
        <v>1</v>
      </c>
      <c r="AE50" s="7" t="n">
        <v>0</v>
      </c>
      <c r="AF50" s="7" t="n">
        <v>1</v>
      </c>
      <c r="AG50" s="7" t="n">
        <v>1</v>
      </c>
      <c r="AH50" s="7" t="n">
        <v>0</v>
      </c>
      <c r="AI50" s="7" t="n">
        <v>0</v>
      </c>
      <c r="AJ50" s="7" t="n">
        <v>0</v>
      </c>
      <c r="AK50" s="7" t="n">
        <v>0</v>
      </c>
      <c r="AL50" s="7" t="n">
        <v>0</v>
      </c>
      <c r="AM50" s="7" t="n">
        <v>1</v>
      </c>
      <c r="AN50" s="7" t="n">
        <v>0</v>
      </c>
      <c r="AO50" s="7" t="n">
        <v>0</v>
      </c>
      <c r="AP50" s="7" t="n">
        <v>0</v>
      </c>
      <c r="AQ50" s="7" t="n">
        <v>0</v>
      </c>
      <c r="AR50" s="7" t="n">
        <v>0</v>
      </c>
      <c r="AS50" s="7" t="n">
        <v>1</v>
      </c>
      <c r="AT50" s="7" t="n">
        <v>0</v>
      </c>
      <c r="AU50" s="7" t="n">
        <v>0</v>
      </c>
      <c r="AV50" s="7" t="n">
        <v>1</v>
      </c>
      <c r="AW50" s="7" t="n">
        <v>0</v>
      </c>
      <c r="AX50" s="7" t="n">
        <v>0</v>
      </c>
      <c r="AY50" s="7" t="n">
        <v>0</v>
      </c>
      <c r="AZ50" s="7" t="n">
        <v>0</v>
      </c>
      <c r="BA50" s="7" t="n">
        <v>0</v>
      </c>
      <c r="BB50" s="7" t="n">
        <v>0</v>
      </c>
      <c r="BC50" s="7" t="n">
        <v>1</v>
      </c>
      <c r="BD50" s="7" t="n">
        <v>0</v>
      </c>
    </row>
    <row r="51" customFormat="false" ht="14.25" hidden="false" customHeight="false" outlineLevel="0" collapsed="false">
      <c r="A51" s="7" t="s">
        <v>321</v>
      </c>
      <c r="B51" s="7" t="n">
        <v>0</v>
      </c>
      <c r="C51" s="7" t="n">
        <v>152</v>
      </c>
      <c r="D51" s="7"/>
      <c r="E51" s="7"/>
      <c r="F51" s="7" t="n">
        <v>0</v>
      </c>
      <c r="G51" s="7" t="n">
        <v>12.67</v>
      </c>
      <c r="H51" s="7" t="n">
        <v>3</v>
      </c>
      <c r="I51" s="7" t="n">
        <v>2</v>
      </c>
      <c r="J51" s="7" t="n">
        <v>2</v>
      </c>
      <c r="K51" s="7" t="n">
        <v>0</v>
      </c>
      <c r="L51" s="7" t="n">
        <v>13</v>
      </c>
      <c r="M51" s="7" t="n">
        <v>6.06</v>
      </c>
      <c r="N51" s="7" t="n">
        <v>6.99</v>
      </c>
      <c r="O51" s="7" t="n">
        <v>54.4</v>
      </c>
      <c r="P51" s="7" t="n">
        <v>2.1021</v>
      </c>
      <c r="Q51" s="7" t="n">
        <v>0</v>
      </c>
      <c r="R51" s="7" t="n">
        <v>0</v>
      </c>
      <c r="S51" s="7" t="n">
        <v>1</v>
      </c>
      <c r="T51" s="7" t="n">
        <v>1</v>
      </c>
      <c r="U51" s="7" t="n">
        <v>1</v>
      </c>
      <c r="V51" s="7" t="n">
        <v>1</v>
      </c>
      <c r="W51" s="7" t="n">
        <v>0</v>
      </c>
      <c r="X51" s="7" t="n">
        <v>0</v>
      </c>
      <c r="Y51" s="7" t="n">
        <v>1</v>
      </c>
      <c r="Z51" s="7" t="n">
        <v>1</v>
      </c>
      <c r="AA51" s="7" t="n">
        <v>0</v>
      </c>
      <c r="AB51" s="7" t="n">
        <v>1</v>
      </c>
      <c r="AC51" s="7" t="n">
        <v>0</v>
      </c>
      <c r="AD51" s="7" t="n">
        <v>1</v>
      </c>
      <c r="AE51" s="7" t="n">
        <v>0</v>
      </c>
      <c r="AF51" s="7" t="n">
        <v>1</v>
      </c>
      <c r="AG51" s="7" t="n">
        <v>0</v>
      </c>
      <c r="AH51" s="7" t="n">
        <v>1</v>
      </c>
      <c r="AI51" s="7" t="n">
        <v>0</v>
      </c>
      <c r="AJ51" s="7" t="n">
        <v>1</v>
      </c>
      <c r="AK51" s="7" t="n">
        <v>0</v>
      </c>
      <c r="AL51" s="7" t="n">
        <v>0</v>
      </c>
      <c r="AM51" s="7" t="n">
        <v>1</v>
      </c>
      <c r="AN51" s="7" t="n">
        <v>0</v>
      </c>
      <c r="AO51" s="7" t="n">
        <v>0</v>
      </c>
      <c r="AP51" s="7" t="n">
        <v>0</v>
      </c>
      <c r="AQ51" s="7" t="n">
        <v>0</v>
      </c>
      <c r="AR51" s="7" t="n">
        <v>0</v>
      </c>
      <c r="AS51" s="7" t="n">
        <v>1</v>
      </c>
      <c r="AT51" s="7" t="n">
        <v>0</v>
      </c>
      <c r="AU51" s="7" t="n">
        <v>0</v>
      </c>
      <c r="AV51" s="7" t="n">
        <v>1</v>
      </c>
      <c r="AW51" s="7" t="n">
        <v>0</v>
      </c>
      <c r="AX51" s="7" t="n">
        <v>0</v>
      </c>
      <c r="AY51" s="7" t="n">
        <v>0</v>
      </c>
      <c r="AZ51" s="7" t="n">
        <v>0</v>
      </c>
      <c r="BA51" s="7" t="n">
        <v>0</v>
      </c>
      <c r="BB51" s="7" t="n">
        <v>0</v>
      </c>
      <c r="BC51" s="7" t="n">
        <v>1</v>
      </c>
      <c r="BD51" s="7" t="n">
        <v>0</v>
      </c>
    </row>
    <row r="52" customFormat="false" ht="14.25" hidden="false" customHeight="false" outlineLevel="0" collapsed="false">
      <c r="A52" s="7" t="s">
        <v>325</v>
      </c>
      <c r="B52" s="7" t="n">
        <v>0</v>
      </c>
      <c r="C52" s="7" t="n">
        <v>104</v>
      </c>
      <c r="D52" s="7" t="n">
        <v>1</v>
      </c>
      <c r="E52" s="7" t="n">
        <v>1</v>
      </c>
      <c r="F52" s="7" t="n">
        <v>0</v>
      </c>
      <c r="G52" s="7" t="n">
        <v>8.67</v>
      </c>
      <c r="H52" s="7" t="n">
        <v>3</v>
      </c>
      <c r="I52" s="7" t="n">
        <v>2</v>
      </c>
      <c r="J52" s="7" t="n">
        <v>1</v>
      </c>
      <c r="K52" s="7" t="n">
        <v>1</v>
      </c>
      <c r="L52" s="7" t="n">
        <v>20</v>
      </c>
      <c r="M52" s="7" t="n">
        <v>7.32</v>
      </c>
      <c r="N52" s="7" t="n">
        <v>5.54</v>
      </c>
      <c r="O52" s="7" t="n">
        <v>54.4</v>
      </c>
      <c r="P52" s="7" t="n">
        <v>2.1021</v>
      </c>
      <c r="Q52" s="7" t="n">
        <v>0</v>
      </c>
      <c r="R52" s="7" t="n">
        <v>0</v>
      </c>
      <c r="S52" s="7" t="n">
        <v>0</v>
      </c>
      <c r="T52" s="7" t="n">
        <v>0</v>
      </c>
      <c r="U52" s="7" t="n">
        <v>0</v>
      </c>
      <c r="V52" s="7" t="n">
        <v>0</v>
      </c>
      <c r="W52" s="7" t="n">
        <v>0</v>
      </c>
      <c r="X52" s="7" t="n">
        <v>0</v>
      </c>
      <c r="Y52" s="7" t="n">
        <v>1</v>
      </c>
      <c r="Z52" s="7" t="n">
        <v>1</v>
      </c>
      <c r="AA52" s="7" t="n">
        <v>0</v>
      </c>
      <c r="AB52" s="7" t="n">
        <v>0</v>
      </c>
      <c r="AC52" s="7" t="n">
        <v>0</v>
      </c>
      <c r="AD52" s="7" t="n">
        <v>1</v>
      </c>
      <c r="AE52" s="7" t="n">
        <v>0</v>
      </c>
      <c r="AF52" s="7" t="n">
        <v>0</v>
      </c>
      <c r="AG52" s="7" t="n">
        <v>0</v>
      </c>
      <c r="AH52" s="7" t="n">
        <v>0</v>
      </c>
      <c r="AI52" s="7" t="n">
        <v>1</v>
      </c>
      <c r="AJ52" s="7" t="n">
        <v>0</v>
      </c>
      <c r="AK52" s="7" t="n">
        <v>0</v>
      </c>
      <c r="AL52" s="7" t="n">
        <v>0</v>
      </c>
      <c r="AM52" s="7" t="n">
        <v>1</v>
      </c>
      <c r="AN52" s="7" t="n">
        <v>0</v>
      </c>
      <c r="AO52" s="7" t="n">
        <v>0</v>
      </c>
      <c r="AP52" s="7" t="n">
        <v>0</v>
      </c>
      <c r="AQ52" s="7" t="n">
        <v>0</v>
      </c>
      <c r="AR52" s="7" t="n">
        <v>0</v>
      </c>
      <c r="AS52" s="7" t="n">
        <v>1</v>
      </c>
      <c r="AT52" s="7" t="n">
        <v>0</v>
      </c>
      <c r="AU52" s="7" t="n">
        <v>0</v>
      </c>
      <c r="AV52" s="7" t="n">
        <v>0</v>
      </c>
      <c r="AW52" s="7" t="n">
        <v>0</v>
      </c>
      <c r="AX52" s="7" t="n">
        <v>1</v>
      </c>
      <c r="AY52" s="7" t="n">
        <v>0</v>
      </c>
      <c r="AZ52" s="7" t="n">
        <v>0</v>
      </c>
      <c r="BA52" s="7" t="n">
        <v>0</v>
      </c>
      <c r="BB52" s="7" t="n">
        <v>0</v>
      </c>
      <c r="BC52" s="7" t="n">
        <v>1</v>
      </c>
      <c r="BD52" s="7" t="n">
        <v>1</v>
      </c>
    </row>
    <row r="53" customFormat="false" ht="14.25" hidden="false" customHeight="false" outlineLevel="0" collapsed="false">
      <c r="A53" s="7" t="s">
        <v>330</v>
      </c>
      <c r="B53" s="7" t="n">
        <v>0</v>
      </c>
      <c r="C53" s="7" t="n">
        <v>80</v>
      </c>
      <c r="D53" s="7" t="n">
        <v>1</v>
      </c>
      <c r="E53" s="7"/>
      <c r="F53" s="7" t="n">
        <v>0</v>
      </c>
      <c r="G53" s="7" t="n">
        <v>6.67</v>
      </c>
      <c r="H53" s="7" t="n">
        <v>3</v>
      </c>
      <c r="I53" s="7" t="n">
        <v>2</v>
      </c>
      <c r="J53" s="7" t="n">
        <v>2</v>
      </c>
      <c r="K53" s="7" t="n">
        <v>0</v>
      </c>
      <c r="L53" s="7" t="n">
        <v>13</v>
      </c>
      <c r="M53" s="7" t="n">
        <v>3.45</v>
      </c>
      <c r="N53" s="7" t="n">
        <v>5.69</v>
      </c>
      <c r="O53" s="7" t="n">
        <v>54.4</v>
      </c>
      <c r="P53" s="7" t="n">
        <v>0.8451</v>
      </c>
      <c r="Q53" s="7" t="n">
        <v>0</v>
      </c>
      <c r="R53" s="7" t="n">
        <v>0</v>
      </c>
      <c r="S53" s="7" t="n">
        <v>1</v>
      </c>
      <c r="T53" s="7" t="n">
        <v>0</v>
      </c>
      <c r="U53" s="7" t="n">
        <v>0</v>
      </c>
      <c r="V53" s="7" t="n">
        <v>1</v>
      </c>
      <c r="W53" s="7" t="n">
        <v>0</v>
      </c>
      <c r="X53" s="7" t="n">
        <v>0</v>
      </c>
      <c r="Y53" s="7" t="n">
        <v>1</v>
      </c>
      <c r="Z53" s="7" t="n">
        <v>0</v>
      </c>
      <c r="AA53" s="7" t="n">
        <v>1</v>
      </c>
      <c r="AB53" s="7" t="n">
        <v>0</v>
      </c>
      <c r="AC53" s="7" t="n">
        <v>0</v>
      </c>
      <c r="AD53" s="7" t="n">
        <v>1</v>
      </c>
      <c r="AE53" s="7" t="n">
        <v>0</v>
      </c>
      <c r="AF53" s="7" t="n">
        <v>1</v>
      </c>
      <c r="AG53" s="7" t="n">
        <v>1</v>
      </c>
      <c r="AH53" s="7" t="n">
        <v>0</v>
      </c>
      <c r="AI53" s="7" t="n">
        <v>0</v>
      </c>
      <c r="AJ53" s="7" t="n">
        <v>0</v>
      </c>
      <c r="AK53" s="7" t="n">
        <v>0</v>
      </c>
      <c r="AL53" s="7" t="n">
        <v>1</v>
      </c>
      <c r="AM53" s="7" t="n">
        <v>1</v>
      </c>
      <c r="AN53" s="7" t="n">
        <v>0</v>
      </c>
      <c r="AO53" s="7" t="n">
        <v>0</v>
      </c>
      <c r="AP53" s="7" t="n">
        <v>0</v>
      </c>
      <c r="AQ53" s="7" t="n">
        <v>0</v>
      </c>
      <c r="AR53" s="7" t="n">
        <v>0</v>
      </c>
      <c r="AS53" s="7" t="n">
        <v>1</v>
      </c>
      <c r="AT53" s="7" t="n">
        <v>0</v>
      </c>
      <c r="AU53" s="7" t="n">
        <v>0</v>
      </c>
      <c r="AV53" s="7" t="n">
        <v>0</v>
      </c>
      <c r="AW53" s="7" t="n">
        <v>0</v>
      </c>
      <c r="AX53" s="7" t="n">
        <v>1</v>
      </c>
      <c r="AY53" s="7" t="n">
        <v>0</v>
      </c>
      <c r="AZ53" s="7" t="n">
        <v>0</v>
      </c>
      <c r="BA53" s="7" t="n">
        <v>0</v>
      </c>
      <c r="BB53" s="7" t="n">
        <v>0</v>
      </c>
      <c r="BC53" s="7" t="n">
        <v>1</v>
      </c>
      <c r="BD53" s="7" t="n">
        <v>1</v>
      </c>
    </row>
    <row r="54" customFormat="false" ht="14.25" hidden="false" customHeight="false" outlineLevel="0" collapsed="false">
      <c r="A54" s="7" t="s">
        <v>334</v>
      </c>
      <c r="B54" s="7" t="n">
        <v>0</v>
      </c>
      <c r="C54" s="7" t="n">
        <v>80</v>
      </c>
      <c r="D54" s="7" t="n">
        <v>1</v>
      </c>
      <c r="E54" s="7" t="n">
        <v>1</v>
      </c>
      <c r="F54" s="7" t="n">
        <v>0</v>
      </c>
      <c r="G54" s="7" t="n">
        <v>6.67</v>
      </c>
      <c r="H54" s="7" t="n">
        <v>3</v>
      </c>
      <c r="I54" s="7" t="n">
        <v>2</v>
      </c>
      <c r="J54" s="7" t="n">
        <v>4</v>
      </c>
      <c r="K54" s="7" t="n">
        <v>0.25</v>
      </c>
      <c r="L54" s="7" t="n">
        <v>10</v>
      </c>
      <c r="M54" s="7" t="n">
        <v>3.45</v>
      </c>
      <c r="N54" s="7" t="n">
        <v>5.69</v>
      </c>
      <c r="O54" s="7" t="n">
        <v>54.4</v>
      </c>
      <c r="P54" s="7" t="n">
        <v>2.1021</v>
      </c>
      <c r="Q54" s="7" t="n">
        <v>0</v>
      </c>
      <c r="R54" s="7" t="n">
        <v>0</v>
      </c>
      <c r="S54" s="7" t="n">
        <v>1</v>
      </c>
      <c r="T54" s="7" t="n">
        <v>0</v>
      </c>
      <c r="U54" s="7" t="n">
        <v>0</v>
      </c>
      <c r="V54" s="7" t="n">
        <v>0</v>
      </c>
      <c r="W54" s="7" t="n">
        <v>0</v>
      </c>
      <c r="X54" s="7" t="n">
        <v>0</v>
      </c>
      <c r="Y54" s="7" t="n">
        <v>1</v>
      </c>
      <c r="Z54" s="7" t="n">
        <v>1</v>
      </c>
      <c r="AA54" s="7" t="n">
        <v>1</v>
      </c>
      <c r="AB54" s="7" t="n">
        <v>0</v>
      </c>
      <c r="AC54" s="7" t="n">
        <v>0</v>
      </c>
      <c r="AD54" s="7" t="n">
        <v>1</v>
      </c>
      <c r="AE54" s="7" t="n">
        <v>0</v>
      </c>
      <c r="AF54" s="7" t="n">
        <v>0</v>
      </c>
      <c r="AG54" s="7" t="n">
        <v>1</v>
      </c>
      <c r="AH54" s="7" t="n">
        <v>0</v>
      </c>
      <c r="AI54" s="7" t="n">
        <v>1</v>
      </c>
      <c r="AJ54" s="7" t="n">
        <v>0</v>
      </c>
      <c r="AK54" s="7" t="n">
        <v>0</v>
      </c>
      <c r="AL54" s="7" t="n">
        <v>0</v>
      </c>
      <c r="AM54" s="7" t="n">
        <v>1</v>
      </c>
      <c r="AN54" s="7" t="n">
        <v>0</v>
      </c>
      <c r="AO54" s="7" t="n">
        <v>0</v>
      </c>
      <c r="AP54" s="7" t="n">
        <v>0</v>
      </c>
      <c r="AQ54" s="7" t="n">
        <v>0</v>
      </c>
      <c r="AR54" s="7" t="n">
        <v>0</v>
      </c>
      <c r="AS54" s="7" t="n">
        <v>1</v>
      </c>
      <c r="AT54" s="7" t="n">
        <v>0</v>
      </c>
      <c r="AU54" s="7" t="n">
        <v>0</v>
      </c>
      <c r="AV54" s="7" t="n">
        <v>0</v>
      </c>
      <c r="AW54" s="7" t="n">
        <v>0</v>
      </c>
      <c r="AX54" s="7" t="n">
        <v>1</v>
      </c>
      <c r="AY54" s="7" t="n">
        <v>0</v>
      </c>
      <c r="AZ54" s="7" t="n">
        <v>0</v>
      </c>
      <c r="BA54" s="7" t="n">
        <v>0</v>
      </c>
      <c r="BB54" s="7" t="n">
        <v>0</v>
      </c>
      <c r="BC54" s="7" t="n">
        <v>1</v>
      </c>
      <c r="BD54" s="7" t="n">
        <v>1</v>
      </c>
    </row>
    <row r="55" customFormat="false" ht="14.25" hidden="false" customHeight="false" outlineLevel="0" collapsed="false">
      <c r="A55" s="7" t="s">
        <v>339</v>
      </c>
      <c r="B55" s="7" t="n">
        <v>0</v>
      </c>
      <c r="C55" s="7" t="n">
        <v>128</v>
      </c>
      <c r="D55" s="7" t="n">
        <v>1</v>
      </c>
      <c r="E55" s="7" t="n">
        <v>1</v>
      </c>
      <c r="F55" s="7" t="n">
        <v>0</v>
      </c>
      <c r="G55" s="7" t="n">
        <v>10.67</v>
      </c>
      <c r="H55" s="7" t="n">
        <v>3</v>
      </c>
      <c r="I55" s="7" t="n">
        <v>2</v>
      </c>
      <c r="J55" s="7" t="n">
        <v>1</v>
      </c>
      <c r="K55" s="7" t="n">
        <v>1</v>
      </c>
      <c r="L55" s="7" t="n">
        <v>13</v>
      </c>
      <c r="M55" s="7" t="n">
        <v>7.11</v>
      </c>
      <c r="N55" s="7" t="n">
        <v>5.51</v>
      </c>
      <c r="O55" s="7" t="n">
        <v>54.4</v>
      </c>
      <c r="P55" s="7" t="n">
        <v>1.4983</v>
      </c>
      <c r="Q55" s="7" t="n">
        <v>0</v>
      </c>
      <c r="R55" s="7" t="n">
        <v>0</v>
      </c>
      <c r="S55" s="7" t="n">
        <v>0</v>
      </c>
      <c r="T55" s="7" t="n">
        <v>0</v>
      </c>
      <c r="U55" s="7" t="n">
        <v>0</v>
      </c>
      <c r="V55" s="7" t="n">
        <v>0</v>
      </c>
      <c r="W55" s="7" t="n">
        <v>0</v>
      </c>
      <c r="X55" s="7" t="n">
        <v>0</v>
      </c>
      <c r="Y55" s="7" t="n">
        <v>1</v>
      </c>
      <c r="Z55" s="7" t="n">
        <v>0</v>
      </c>
      <c r="AA55" s="7" t="n">
        <v>1</v>
      </c>
      <c r="AB55" s="7" t="n">
        <v>0</v>
      </c>
      <c r="AC55" s="7" t="n">
        <v>1</v>
      </c>
      <c r="AD55" s="7" t="n">
        <v>0</v>
      </c>
      <c r="AE55" s="7" t="n">
        <v>0</v>
      </c>
      <c r="AF55" s="7" t="n">
        <v>0</v>
      </c>
      <c r="AG55" s="7" t="n">
        <v>0</v>
      </c>
      <c r="AH55" s="7" t="n">
        <v>0</v>
      </c>
      <c r="AI55" s="7" t="n">
        <v>1</v>
      </c>
      <c r="AJ55" s="7" t="n">
        <v>0</v>
      </c>
      <c r="AK55" s="7" t="n">
        <v>11.5898957653228</v>
      </c>
      <c r="AL55" s="7" t="n">
        <v>1</v>
      </c>
      <c r="AM55" s="7" t="n">
        <v>1</v>
      </c>
      <c r="AN55" s="7" t="n">
        <v>0</v>
      </c>
      <c r="AO55" s="7" t="n">
        <v>0</v>
      </c>
      <c r="AP55" s="7" t="n">
        <v>0</v>
      </c>
      <c r="AQ55" s="7" t="n">
        <v>0</v>
      </c>
      <c r="AR55" s="7" t="n">
        <v>0</v>
      </c>
      <c r="AS55" s="7" t="n">
        <v>1</v>
      </c>
      <c r="AT55" s="7" t="n">
        <v>0</v>
      </c>
      <c r="AU55" s="7" t="n">
        <v>0</v>
      </c>
      <c r="AV55" s="7" t="n">
        <v>0</v>
      </c>
      <c r="AW55" s="7" t="n">
        <v>0</v>
      </c>
      <c r="AX55" s="7" t="n">
        <v>1</v>
      </c>
      <c r="AY55" s="7" t="n">
        <v>0</v>
      </c>
      <c r="AZ55" s="7" t="n">
        <v>0</v>
      </c>
      <c r="BA55" s="7" t="n">
        <v>0</v>
      </c>
      <c r="BB55" s="7" t="n">
        <v>0</v>
      </c>
      <c r="BC55" s="7" t="n">
        <v>1</v>
      </c>
      <c r="BD55" s="7" t="n">
        <v>1</v>
      </c>
    </row>
    <row r="56" customFormat="false" ht="14.25" hidden="false" customHeight="false" outlineLevel="0" collapsed="false">
      <c r="A56" s="7" t="s">
        <v>344</v>
      </c>
      <c r="B56" s="7" t="n">
        <v>0</v>
      </c>
      <c r="C56" s="7" t="n">
        <v>140</v>
      </c>
      <c r="D56" s="7" t="n">
        <v>1</v>
      </c>
      <c r="E56" s="7" t="n">
        <v>1</v>
      </c>
      <c r="F56" s="7" t="n">
        <v>0</v>
      </c>
      <c r="G56" s="7" t="n">
        <v>11.67</v>
      </c>
      <c r="H56" s="7" t="n">
        <v>3</v>
      </c>
      <c r="I56" s="7" t="n">
        <v>1</v>
      </c>
      <c r="J56" s="7" t="n">
        <v>1</v>
      </c>
      <c r="K56" s="7" t="n">
        <v>1</v>
      </c>
      <c r="L56" s="7" t="n">
        <v>13</v>
      </c>
      <c r="M56" s="7" t="n">
        <v>6.55</v>
      </c>
      <c r="N56" s="7" t="n">
        <v>6.4</v>
      </c>
      <c r="O56" s="7" t="n">
        <v>54.4</v>
      </c>
      <c r="P56" s="7" t="n">
        <v>2.1021</v>
      </c>
      <c r="Q56" s="7" t="n">
        <v>0</v>
      </c>
      <c r="R56" s="7" t="n">
        <v>0</v>
      </c>
      <c r="S56" s="7" t="n">
        <v>0</v>
      </c>
      <c r="T56" s="7" t="n">
        <v>0</v>
      </c>
      <c r="U56" s="7" t="n">
        <v>0</v>
      </c>
      <c r="V56" s="7" t="n">
        <v>1</v>
      </c>
      <c r="W56" s="7" t="n">
        <v>0</v>
      </c>
      <c r="X56" s="7" t="n">
        <v>0</v>
      </c>
      <c r="Y56" s="7" t="n">
        <v>1</v>
      </c>
      <c r="Z56" s="7" t="n">
        <v>1</v>
      </c>
      <c r="AA56" s="7" t="n">
        <v>1</v>
      </c>
      <c r="AB56" s="7" t="n">
        <v>0</v>
      </c>
      <c r="AC56" s="7" t="n">
        <v>1</v>
      </c>
      <c r="AD56" s="7" t="n">
        <v>0</v>
      </c>
      <c r="AE56" s="7" t="n">
        <v>0</v>
      </c>
      <c r="AF56" s="7" t="n">
        <v>0</v>
      </c>
      <c r="AG56" s="7" t="n">
        <v>0</v>
      </c>
      <c r="AH56" s="7" t="n">
        <v>0</v>
      </c>
      <c r="AI56" s="7" t="n">
        <v>1</v>
      </c>
      <c r="AJ56" s="7" t="n">
        <v>0</v>
      </c>
      <c r="AK56" s="7" t="n">
        <v>0</v>
      </c>
      <c r="AL56" s="7" t="n">
        <v>1</v>
      </c>
      <c r="AM56" s="7" t="n">
        <v>1</v>
      </c>
      <c r="AN56" s="7" t="n">
        <v>0</v>
      </c>
      <c r="AO56" s="7" t="n">
        <v>0</v>
      </c>
      <c r="AP56" s="7" t="n">
        <v>0</v>
      </c>
      <c r="AQ56" s="7" t="n">
        <v>0</v>
      </c>
      <c r="AR56" s="7" t="n">
        <v>0</v>
      </c>
      <c r="AS56" s="7" t="n">
        <v>1</v>
      </c>
      <c r="AT56" s="7" t="n">
        <v>0</v>
      </c>
      <c r="AU56" s="7" t="n">
        <v>0</v>
      </c>
      <c r="AV56" s="7" t="n">
        <v>0</v>
      </c>
      <c r="AW56" s="7" t="n">
        <v>0</v>
      </c>
      <c r="AX56" s="7" t="n">
        <v>1</v>
      </c>
      <c r="AY56" s="7" t="n">
        <v>0</v>
      </c>
      <c r="AZ56" s="7" t="n">
        <v>0</v>
      </c>
      <c r="BA56" s="7" t="n">
        <v>0</v>
      </c>
      <c r="BB56" s="7" t="n">
        <v>0</v>
      </c>
      <c r="BC56" s="7" t="n">
        <v>1</v>
      </c>
      <c r="BD56" s="7" t="n">
        <v>1</v>
      </c>
    </row>
    <row r="57" customFormat="false" ht="14.25" hidden="false" customHeight="false" outlineLevel="0" collapsed="false">
      <c r="A57" s="7" t="s">
        <v>349</v>
      </c>
      <c r="B57" s="7" t="n">
        <v>0</v>
      </c>
      <c r="C57" s="7" t="n">
        <v>152</v>
      </c>
      <c r="D57" s="7" t="n">
        <v>1</v>
      </c>
      <c r="E57" s="7" t="n">
        <v>1</v>
      </c>
      <c r="F57" s="7" t="n">
        <v>0</v>
      </c>
      <c r="G57" s="7" t="n">
        <v>12.67</v>
      </c>
      <c r="H57" s="7" t="n">
        <v>3</v>
      </c>
      <c r="I57" s="7" t="n">
        <v>2</v>
      </c>
      <c r="J57" s="7" t="n">
        <v>1</v>
      </c>
      <c r="K57" s="7" t="n">
        <v>0</v>
      </c>
      <c r="L57" s="7" t="n">
        <v>6.5</v>
      </c>
      <c r="M57" s="7" t="n">
        <v>6.06</v>
      </c>
      <c r="N57" s="7" t="n">
        <v>6.99</v>
      </c>
      <c r="O57" s="7" t="n">
        <v>54.4</v>
      </c>
      <c r="P57" s="7" t="n">
        <v>0.8451</v>
      </c>
      <c r="Q57" s="7" t="n">
        <v>0</v>
      </c>
      <c r="R57" s="7" t="n">
        <v>0</v>
      </c>
      <c r="S57" s="7" t="n">
        <v>0</v>
      </c>
      <c r="T57" s="7" t="n">
        <v>0</v>
      </c>
      <c r="U57" s="7" t="n">
        <v>0</v>
      </c>
      <c r="V57" s="7" t="n">
        <v>0</v>
      </c>
      <c r="W57" s="7" t="n">
        <v>0</v>
      </c>
      <c r="X57" s="7" t="n">
        <v>0</v>
      </c>
      <c r="Y57" s="7" t="n">
        <v>1</v>
      </c>
      <c r="Z57" s="7" t="n">
        <v>0</v>
      </c>
      <c r="AA57" s="7" t="n">
        <v>1</v>
      </c>
      <c r="AB57" s="7" t="n">
        <v>0</v>
      </c>
      <c r="AC57" s="7" t="n">
        <v>1</v>
      </c>
      <c r="AD57" s="7" t="n">
        <v>0</v>
      </c>
      <c r="AE57" s="7" t="n">
        <v>1</v>
      </c>
      <c r="AF57" s="7" t="n">
        <v>0</v>
      </c>
      <c r="AG57" s="7" t="n">
        <v>1</v>
      </c>
      <c r="AH57" s="7" t="n">
        <v>0</v>
      </c>
      <c r="AI57" s="7" t="n">
        <v>0</v>
      </c>
      <c r="AJ57" s="7" t="n">
        <v>0</v>
      </c>
      <c r="AK57" s="7" t="n">
        <v>0</v>
      </c>
      <c r="AL57" s="7" t="n">
        <v>1</v>
      </c>
      <c r="AM57" s="7" t="n">
        <v>0</v>
      </c>
      <c r="AN57" s="7" t="n">
        <v>1</v>
      </c>
      <c r="AO57" s="7" t="n">
        <v>0</v>
      </c>
      <c r="AP57" s="7" t="n">
        <v>0</v>
      </c>
      <c r="AQ57" s="7" t="n">
        <v>0</v>
      </c>
      <c r="AR57" s="7" t="n">
        <v>0</v>
      </c>
      <c r="AS57" s="7" t="n">
        <v>1</v>
      </c>
      <c r="AT57" s="7" t="n">
        <v>0</v>
      </c>
      <c r="AU57" s="7" t="n">
        <v>0</v>
      </c>
      <c r="AV57" s="7" t="n">
        <v>0</v>
      </c>
      <c r="AW57" s="7" t="n">
        <v>0</v>
      </c>
      <c r="AX57" s="7" t="n">
        <v>1</v>
      </c>
      <c r="AY57" s="7" t="n">
        <v>0</v>
      </c>
      <c r="AZ57" s="7" t="n">
        <v>0</v>
      </c>
      <c r="BA57" s="7" t="n">
        <v>0</v>
      </c>
      <c r="BB57" s="7" t="n">
        <v>0</v>
      </c>
      <c r="BC57" s="7" t="n">
        <v>1</v>
      </c>
      <c r="BD57" s="7" t="n">
        <v>1</v>
      </c>
    </row>
    <row r="58" customFormat="false" ht="14.25" hidden="false" customHeight="false" outlineLevel="0" collapsed="false">
      <c r="A58" s="7" t="s">
        <v>354</v>
      </c>
      <c r="B58" s="7" t="n">
        <v>0</v>
      </c>
      <c r="C58" s="7" t="n">
        <v>80</v>
      </c>
      <c r="D58" s="7" t="n">
        <v>1</v>
      </c>
      <c r="E58" s="7" t="n">
        <v>1</v>
      </c>
      <c r="F58" s="7" t="n">
        <v>0</v>
      </c>
      <c r="G58" s="7" t="n">
        <v>6.67</v>
      </c>
      <c r="H58" s="7" t="n">
        <v>3</v>
      </c>
      <c r="I58" s="7" t="n">
        <v>2</v>
      </c>
      <c r="J58" s="7" t="n">
        <v>1</v>
      </c>
      <c r="K58" s="7" t="n">
        <v>0</v>
      </c>
      <c r="L58" s="7" t="n">
        <v>13</v>
      </c>
      <c r="M58" s="7" t="n">
        <v>3.45</v>
      </c>
      <c r="N58" s="7" t="n">
        <v>5.69</v>
      </c>
      <c r="O58" s="7" t="n">
        <v>54.4</v>
      </c>
      <c r="P58" s="7" t="n">
        <v>2.1021</v>
      </c>
      <c r="Q58" s="7" t="n">
        <v>0</v>
      </c>
      <c r="R58" s="7" t="n">
        <v>0</v>
      </c>
      <c r="S58" s="7" t="n">
        <v>1</v>
      </c>
      <c r="T58" s="7" t="n">
        <v>0</v>
      </c>
      <c r="U58" s="7" t="n">
        <v>0</v>
      </c>
      <c r="V58" s="7" t="n">
        <v>1</v>
      </c>
      <c r="W58" s="7" t="n">
        <v>0</v>
      </c>
      <c r="X58" s="7" t="n">
        <v>0</v>
      </c>
      <c r="Y58" s="7" t="n">
        <v>1</v>
      </c>
      <c r="Z58" s="7" t="n">
        <v>1</v>
      </c>
      <c r="AA58" s="7" t="n">
        <v>1</v>
      </c>
      <c r="AB58" s="7" t="n">
        <v>0</v>
      </c>
      <c r="AC58" s="7" t="n">
        <v>1</v>
      </c>
      <c r="AD58" s="7" t="n">
        <v>0</v>
      </c>
      <c r="AE58" s="7" t="n">
        <v>0</v>
      </c>
      <c r="AF58" s="7" t="n">
        <v>1</v>
      </c>
      <c r="AG58" s="7" t="n">
        <v>0</v>
      </c>
      <c r="AH58" s="7" t="n">
        <v>1</v>
      </c>
      <c r="AI58" s="7" t="n">
        <v>0</v>
      </c>
      <c r="AJ58" s="7" t="n">
        <v>0</v>
      </c>
      <c r="AK58" s="7" t="n">
        <v>0</v>
      </c>
      <c r="AL58" s="7" t="n">
        <v>0</v>
      </c>
      <c r="AM58" s="7" t="n">
        <v>1</v>
      </c>
      <c r="AN58" s="7" t="n">
        <v>0</v>
      </c>
      <c r="AO58" s="7" t="n">
        <v>0</v>
      </c>
      <c r="AP58" s="7" t="n">
        <v>0</v>
      </c>
      <c r="AQ58" s="7" t="n">
        <v>0</v>
      </c>
      <c r="AR58" s="7" t="n">
        <v>0</v>
      </c>
      <c r="AS58" s="7" t="n">
        <v>1</v>
      </c>
      <c r="AT58" s="7" t="n">
        <v>0</v>
      </c>
      <c r="AU58" s="7" t="n">
        <v>0</v>
      </c>
      <c r="AV58" s="7" t="n">
        <v>0</v>
      </c>
      <c r="AW58" s="7" t="n">
        <v>0</v>
      </c>
      <c r="AX58" s="7" t="n">
        <v>1</v>
      </c>
      <c r="AY58" s="7" t="n">
        <v>0</v>
      </c>
      <c r="AZ58" s="7" t="n">
        <v>0</v>
      </c>
      <c r="BA58" s="7" t="n">
        <v>0</v>
      </c>
      <c r="BB58" s="7" t="n">
        <v>0</v>
      </c>
      <c r="BC58" s="7" t="n">
        <v>1</v>
      </c>
      <c r="BD58" s="7" t="n">
        <v>1</v>
      </c>
    </row>
    <row r="59" customFormat="false" ht="14.25" hidden="false" customHeight="false" outlineLevel="0" collapsed="false">
      <c r="A59" s="7" t="s">
        <v>359</v>
      </c>
      <c r="B59" s="7" t="n">
        <v>0</v>
      </c>
      <c r="C59" s="7" t="n">
        <v>140</v>
      </c>
      <c r="D59" s="7" t="n">
        <v>1</v>
      </c>
      <c r="E59" s="7" t="n">
        <v>1</v>
      </c>
      <c r="F59" s="7" t="n">
        <v>0</v>
      </c>
      <c r="G59" s="7" t="n">
        <v>11.67</v>
      </c>
      <c r="H59" s="7" t="n">
        <v>3</v>
      </c>
      <c r="I59" s="7" t="n">
        <v>2</v>
      </c>
      <c r="J59" s="7" t="n">
        <v>1</v>
      </c>
      <c r="K59" s="7" t="n">
        <v>0</v>
      </c>
      <c r="L59" s="7" t="n">
        <v>13</v>
      </c>
      <c r="M59" s="7" t="n">
        <v>6.55</v>
      </c>
      <c r="N59" s="7" t="n">
        <v>6.4</v>
      </c>
      <c r="O59" s="7" t="n">
        <v>54.4</v>
      </c>
      <c r="P59" s="7" t="n">
        <v>2.1021</v>
      </c>
      <c r="Q59" s="7" t="n">
        <v>0</v>
      </c>
      <c r="R59" s="7" t="n">
        <v>0</v>
      </c>
      <c r="S59" s="7" t="n">
        <v>1</v>
      </c>
      <c r="T59" s="7" t="n">
        <v>0</v>
      </c>
      <c r="U59" s="7" t="n">
        <v>0</v>
      </c>
      <c r="V59" s="7" t="n">
        <v>1</v>
      </c>
      <c r="W59" s="7" t="n">
        <v>0</v>
      </c>
      <c r="X59" s="7" t="n">
        <v>0</v>
      </c>
      <c r="Y59" s="7" t="n">
        <v>1</v>
      </c>
      <c r="Z59" s="7" t="n">
        <v>1</v>
      </c>
      <c r="AA59" s="7" t="n">
        <v>0</v>
      </c>
      <c r="AB59" s="7" t="n">
        <v>1</v>
      </c>
      <c r="AC59" s="7" t="n">
        <v>0</v>
      </c>
      <c r="AD59" s="7" t="n">
        <v>1</v>
      </c>
      <c r="AE59" s="7" t="n">
        <v>1</v>
      </c>
      <c r="AF59" s="7" t="n">
        <v>0</v>
      </c>
      <c r="AG59" s="7" t="n">
        <v>1</v>
      </c>
      <c r="AH59" s="7" t="n">
        <v>0</v>
      </c>
      <c r="AI59" s="7" t="n">
        <v>0</v>
      </c>
      <c r="AJ59" s="7" t="n">
        <v>0</v>
      </c>
      <c r="AK59" s="7" t="n">
        <v>0</v>
      </c>
      <c r="AL59" s="7" t="n">
        <v>0</v>
      </c>
      <c r="AM59" s="7" t="n">
        <v>1</v>
      </c>
      <c r="AN59" s="7" t="n">
        <v>1</v>
      </c>
      <c r="AO59" s="7" t="n">
        <v>0</v>
      </c>
      <c r="AP59" s="7" t="n">
        <v>0</v>
      </c>
      <c r="AQ59" s="7" t="n">
        <v>0</v>
      </c>
      <c r="AR59" s="7" t="n">
        <v>0</v>
      </c>
      <c r="AS59" s="7" t="n">
        <v>1</v>
      </c>
      <c r="AT59" s="7" t="n">
        <v>0</v>
      </c>
      <c r="AU59" s="7" t="n">
        <v>0</v>
      </c>
      <c r="AV59" s="7" t="n">
        <v>0</v>
      </c>
      <c r="AW59" s="7" t="n">
        <v>0</v>
      </c>
      <c r="AX59" s="7" t="n">
        <v>1</v>
      </c>
      <c r="AY59" s="7" t="n">
        <v>0</v>
      </c>
      <c r="AZ59" s="7" t="n">
        <v>0</v>
      </c>
      <c r="BA59" s="7" t="n">
        <v>0</v>
      </c>
      <c r="BB59" s="7" t="n">
        <v>0</v>
      </c>
      <c r="BC59" s="7" t="n">
        <v>1</v>
      </c>
      <c r="BD59" s="7" t="n">
        <v>1</v>
      </c>
    </row>
    <row r="60" customFormat="false" ht="14.25" hidden="false" customHeight="false" outlineLevel="0" collapsed="false">
      <c r="A60" s="7" t="s">
        <v>362</v>
      </c>
      <c r="B60" s="7" t="n">
        <v>0</v>
      </c>
      <c r="C60" s="7" t="n">
        <v>116</v>
      </c>
      <c r="D60" s="7" t="n">
        <v>1</v>
      </c>
      <c r="E60" s="7" t="n">
        <v>1</v>
      </c>
      <c r="F60" s="7" t="n">
        <v>0</v>
      </c>
      <c r="G60" s="7" t="n">
        <v>9.67</v>
      </c>
      <c r="H60" s="7" t="n">
        <v>3</v>
      </c>
      <c r="I60" s="7" t="n">
        <v>2</v>
      </c>
      <c r="J60" s="7" t="n">
        <v>2</v>
      </c>
      <c r="K60" s="7" t="n">
        <v>0</v>
      </c>
      <c r="L60" s="7" t="n">
        <v>13</v>
      </c>
      <c r="M60" s="7" t="n">
        <v>6.59</v>
      </c>
      <c r="N60" s="7" t="n">
        <v>5.7</v>
      </c>
      <c r="O60" s="7" t="n">
        <v>54.4</v>
      </c>
      <c r="P60" s="7" t="n">
        <v>2.1021</v>
      </c>
      <c r="Q60" s="7" t="n">
        <v>0</v>
      </c>
      <c r="R60" s="7" t="n">
        <v>0</v>
      </c>
      <c r="S60" s="7" t="n">
        <v>1</v>
      </c>
      <c r="T60" s="7" t="n">
        <v>0</v>
      </c>
      <c r="U60" s="7" t="n">
        <v>0</v>
      </c>
      <c r="V60" s="7" t="n">
        <v>1</v>
      </c>
      <c r="W60" s="7" t="n">
        <v>0</v>
      </c>
      <c r="X60" s="7" t="n">
        <v>0</v>
      </c>
      <c r="Y60" s="7" t="n">
        <v>1</v>
      </c>
      <c r="Z60" s="7" t="n">
        <v>1</v>
      </c>
      <c r="AA60" s="7" t="n">
        <v>1</v>
      </c>
      <c r="AB60" s="7" t="n">
        <v>0</v>
      </c>
      <c r="AC60" s="7" t="n">
        <v>0</v>
      </c>
      <c r="AD60" s="7" t="n">
        <v>1</v>
      </c>
      <c r="AE60" s="7" t="n">
        <v>0</v>
      </c>
      <c r="AF60" s="7" t="n">
        <v>1</v>
      </c>
      <c r="AG60" s="7" t="n">
        <v>0</v>
      </c>
      <c r="AH60" s="7" t="n">
        <v>1</v>
      </c>
      <c r="AI60" s="7" t="n">
        <v>0</v>
      </c>
      <c r="AJ60" s="7" t="n">
        <v>0</v>
      </c>
      <c r="AK60" s="7" t="n">
        <v>0</v>
      </c>
      <c r="AL60" s="7" t="n">
        <v>1</v>
      </c>
      <c r="AM60" s="7" t="n">
        <v>1</v>
      </c>
      <c r="AN60" s="7" t="n">
        <v>0</v>
      </c>
      <c r="AO60" s="7" t="n">
        <v>0</v>
      </c>
      <c r="AP60" s="7" t="n">
        <v>0</v>
      </c>
      <c r="AQ60" s="7" t="n">
        <v>0</v>
      </c>
      <c r="AR60" s="7" t="n">
        <v>0</v>
      </c>
      <c r="AS60" s="7" t="n">
        <v>1</v>
      </c>
      <c r="AT60" s="7" t="n">
        <v>0</v>
      </c>
      <c r="AU60" s="7" t="n">
        <v>0</v>
      </c>
      <c r="AV60" s="7" t="n">
        <v>0</v>
      </c>
      <c r="AW60" s="7" t="n">
        <v>0</v>
      </c>
      <c r="AX60" s="7" t="n">
        <v>1</v>
      </c>
      <c r="AY60" s="7" t="n">
        <v>0</v>
      </c>
      <c r="AZ60" s="7" t="n">
        <v>0</v>
      </c>
      <c r="BA60" s="7" t="n">
        <v>0</v>
      </c>
      <c r="BB60" s="7" t="n">
        <v>0</v>
      </c>
      <c r="BC60" s="7" t="n">
        <v>1</v>
      </c>
      <c r="BD60" s="7" t="n">
        <v>1</v>
      </c>
    </row>
    <row r="61" customFormat="false" ht="14.25" hidden="false" customHeight="false" outlineLevel="0" collapsed="false">
      <c r="A61" s="7" t="s">
        <v>365</v>
      </c>
      <c r="B61" s="7" t="n">
        <v>0</v>
      </c>
      <c r="C61" s="7" t="n">
        <v>104</v>
      </c>
      <c r="D61" s="7"/>
      <c r="E61" s="7"/>
      <c r="F61" s="7" t="n">
        <v>0</v>
      </c>
      <c r="G61" s="7" t="n">
        <v>8.67</v>
      </c>
      <c r="H61" s="7" t="n">
        <v>3</v>
      </c>
      <c r="I61" s="7" t="n">
        <v>2</v>
      </c>
      <c r="J61" s="7" t="n">
        <v>2</v>
      </c>
      <c r="K61" s="7" t="n">
        <v>0</v>
      </c>
      <c r="L61" s="7" t="n">
        <v>13</v>
      </c>
      <c r="M61" s="7" t="n">
        <v>7.32</v>
      </c>
      <c r="N61" s="7" t="n">
        <v>5.54</v>
      </c>
      <c r="O61" s="7" t="n">
        <v>54.4</v>
      </c>
      <c r="P61" s="7" t="n">
        <v>2.1021</v>
      </c>
      <c r="Q61" s="7" t="n">
        <v>0</v>
      </c>
      <c r="R61" s="7" t="n">
        <v>0</v>
      </c>
      <c r="S61" s="7" t="n">
        <v>1</v>
      </c>
      <c r="T61" s="7" t="n">
        <v>1</v>
      </c>
      <c r="U61" s="7" t="n">
        <v>1</v>
      </c>
      <c r="V61" s="7" t="n">
        <v>1</v>
      </c>
      <c r="W61" s="7" t="n">
        <v>0</v>
      </c>
      <c r="X61" s="7" t="n">
        <v>0</v>
      </c>
      <c r="Y61" s="7" t="n">
        <v>1</v>
      </c>
      <c r="Z61" s="7" t="n">
        <v>1</v>
      </c>
      <c r="AA61" s="7" t="n">
        <v>0</v>
      </c>
      <c r="AB61" s="7" t="n">
        <v>1</v>
      </c>
      <c r="AC61" s="7" t="n">
        <v>0</v>
      </c>
      <c r="AD61" s="7" t="n">
        <v>1</v>
      </c>
      <c r="AE61" s="7" t="n">
        <v>0</v>
      </c>
      <c r="AF61" s="7" t="n">
        <v>1</v>
      </c>
      <c r="AG61" s="7" t="n">
        <v>0</v>
      </c>
      <c r="AH61" s="7" t="n">
        <v>1</v>
      </c>
      <c r="AI61" s="7" t="n">
        <v>0</v>
      </c>
      <c r="AJ61" s="7" t="n">
        <v>1</v>
      </c>
      <c r="AK61" s="7" t="n">
        <v>0</v>
      </c>
      <c r="AL61" s="7" t="n">
        <v>1</v>
      </c>
      <c r="AM61" s="7" t="n">
        <v>1</v>
      </c>
      <c r="AN61" s="7" t="n">
        <v>0</v>
      </c>
      <c r="AO61" s="7" t="n">
        <v>0</v>
      </c>
      <c r="AP61" s="7" t="n">
        <v>0</v>
      </c>
      <c r="AQ61" s="7" t="n">
        <v>0</v>
      </c>
      <c r="AR61" s="7" t="n">
        <v>0</v>
      </c>
      <c r="AS61" s="7" t="n">
        <v>1</v>
      </c>
      <c r="AT61" s="7" t="n">
        <v>0</v>
      </c>
      <c r="AU61" s="7" t="n">
        <v>0</v>
      </c>
      <c r="AV61" s="7" t="n">
        <v>0</v>
      </c>
      <c r="AW61" s="7" t="n">
        <v>0</v>
      </c>
      <c r="AX61" s="7" t="n">
        <v>1</v>
      </c>
      <c r="AY61" s="7" t="n">
        <v>0</v>
      </c>
      <c r="AZ61" s="7" t="n">
        <v>0</v>
      </c>
      <c r="BA61" s="7" t="n">
        <v>0</v>
      </c>
      <c r="BB61" s="7" t="n">
        <v>0</v>
      </c>
      <c r="BC61" s="7" t="n">
        <v>1</v>
      </c>
      <c r="BD61" s="7" t="n">
        <v>0</v>
      </c>
    </row>
    <row r="62" customFormat="false" ht="14.25" hidden="false" customHeight="false" outlineLevel="0" collapsed="false">
      <c r="A62" s="7" t="s">
        <v>367</v>
      </c>
      <c r="B62" s="7" t="n">
        <v>1</v>
      </c>
      <c r="C62" s="7" t="n">
        <v>29</v>
      </c>
      <c r="D62" s="7" t="n">
        <v>1</v>
      </c>
      <c r="E62" s="7" t="n">
        <v>1</v>
      </c>
      <c r="F62" s="7" t="n">
        <v>0</v>
      </c>
      <c r="G62" s="7" t="n">
        <v>2.58</v>
      </c>
      <c r="H62" s="7" t="n">
        <v>2</v>
      </c>
      <c r="I62" s="7" t="n">
        <v>1</v>
      </c>
      <c r="J62" s="7" t="n">
        <v>1</v>
      </c>
      <c r="K62" s="7" t="n">
        <v>1</v>
      </c>
      <c r="L62" s="7" t="n">
        <v>7</v>
      </c>
      <c r="M62" s="7" t="n">
        <v>4.22</v>
      </c>
      <c r="N62" s="7" t="n">
        <v>9.7</v>
      </c>
      <c r="O62" s="7" t="n">
        <v>26.8</v>
      </c>
      <c r="P62" s="7" t="n">
        <v>2.1021</v>
      </c>
      <c r="Q62" s="7" t="n">
        <v>0</v>
      </c>
      <c r="R62" s="7" t="n">
        <v>0</v>
      </c>
      <c r="S62" s="7" t="n">
        <v>0</v>
      </c>
      <c r="T62" s="7" t="n">
        <v>0</v>
      </c>
      <c r="U62" s="7" t="n">
        <v>0</v>
      </c>
      <c r="V62" s="7" t="n">
        <v>0</v>
      </c>
      <c r="W62" s="7" t="n">
        <v>0</v>
      </c>
      <c r="X62" s="7" t="n">
        <v>0</v>
      </c>
      <c r="Y62" s="7" t="n">
        <v>0</v>
      </c>
      <c r="Z62" s="7" t="n">
        <v>1</v>
      </c>
      <c r="AA62" s="7" t="n">
        <v>1</v>
      </c>
      <c r="AB62" s="7" t="n">
        <v>0</v>
      </c>
      <c r="AC62" s="7" t="n">
        <v>0</v>
      </c>
      <c r="AD62" s="7" t="n">
        <v>1</v>
      </c>
      <c r="AE62" s="7" t="n">
        <v>1</v>
      </c>
      <c r="AF62" s="7" t="n">
        <v>0</v>
      </c>
      <c r="AG62" s="7" t="n">
        <v>1</v>
      </c>
      <c r="AH62" s="7" t="n">
        <v>0</v>
      </c>
      <c r="AI62" s="7" t="n">
        <v>1</v>
      </c>
      <c r="AJ62" s="7" t="n">
        <v>0</v>
      </c>
      <c r="AK62" s="7" t="n">
        <v>0</v>
      </c>
      <c r="AL62" s="7" t="n">
        <v>0</v>
      </c>
      <c r="AM62" s="7" t="n">
        <v>1</v>
      </c>
      <c r="AN62" s="7" t="n">
        <v>1</v>
      </c>
      <c r="AO62" s="7" t="n">
        <v>0</v>
      </c>
      <c r="AP62" s="7" t="n">
        <v>0</v>
      </c>
      <c r="AQ62" s="7" t="n">
        <v>0</v>
      </c>
      <c r="AR62" s="7" t="n">
        <v>0</v>
      </c>
      <c r="AS62" s="7" t="n">
        <v>1</v>
      </c>
      <c r="AT62" s="7" t="n">
        <v>0</v>
      </c>
      <c r="AU62" s="7" t="n">
        <v>0</v>
      </c>
      <c r="AV62" s="7" t="n">
        <v>0</v>
      </c>
      <c r="AW62" s="7" t="n">
        <v>0</v>
      </c>
      <c r="AX62" s="7" t="n">
        <v>1</v>
      </c>
      <c r="AY62" s="7" t="n">
        <v>0</v>
      </c>
      <c r="AZ62" s="7" t="n">
        <v>0</v>
      </c>
      <c r="BA62" s="7" t="n">
        <v>0</v>
      </c>
      <c r="BB62" s="7" t="n">
        <v>0</v>
      </c>
      <c r="BC62" s="7" t="n">
        <v>1</v>
      </c>
      <c r="BD62" s="7" t="n">
        <v>1</v>
      </c>
    </row>
    <row r="63" customFormat="false" ht="14.25" hidden="false" customHeight="false" outlineLevel="0" collapsed="false">
      <c r="A63" s="7" t="s">
        <v>373</v>
      </c>
      <c r="B63" s="7" t="n">
        <v>0</v>
      </c>
      <c r="C63" s="7" t="n">
        <v>38</v>
      </c>
      <c r="D63" s="7" t="n">
        <v>0</v>
      </c>
      <c r="E63" s="7" t="n">
        <v>0</v>
      </c>
      <c r="F63" s="7" t="n">
        <v>0</v>
      </c>
      <c r="G63" s="7" t="n">
        <v>3.17</v>
      </c>
      <c r="H63" s="7" t="n">
        <v>1</v>
      </c>
      <c r="I63" s="7" t="n">
        <v>2</v>
      </c>
      <c r="J63" s="7" t="n">
        <v>1</v>
      </c>
      <c r="K63" s="7" t="n">
        <v>0</v>
      </c>
      <c r="L63" s="7" t="n">
        <v>5</v>
      </c>
      <c r="M63" s="7" t="n">
        <v>5.78</v>
      </c>
      <c r="N63" s="7" t="n">
        <v>9.02</v>
      </c>
      <c r="O63" s="7" t="n">
        <v>47.5</v>
      </c>
      <c r="P63" s="7" t="n">
        <v>2.1021</v>
      </c>
      <c r="Q63" s="7" t="n">
        <v>0</v>
      </c>
      <c r="R63" s="7" t="n">
        <v>0</v>
      </c>
      <c r="S63" s="7" t="n">
        <v>0</v>
      </c>
      <c r="T63" s="7" t="n">
        <v>0</v>
      </c>
      <c r="U63" s="7" t="n">
        <v>0</v>
      </c>
      <c r="V63" s="7" t="n">
        <v>0</v>
      </c>
      <c r="W63" s="7" t="n">
        <v>0</v>
      </c>
      <c r="X63" s="7" t="n">
        <v>0</v>
      </c>
      <c r="Y63" s="7" t="n">
        <v>0</v>
      </c>
      <c r="Z63" s="7" t="n">
        <v>1</v>
      </c>
      <c r="AA63" s="7" t="n">
        <v>1</v>
      </c>
      <c r="AB63" s="7" t="n">
        <v>0</v>
      </c>
      <c r="AC63" s="7" t="n">
        <v>0</v>
      </c>
      <c r="AD63" s="7" t="n">
        <v>1</v>
      </c>
      <c r="AE63" s="7" t="n">
        <v>1</v>
      </c>
      <c r="AF63" s="7" t="n">
        <v>0</v>
      </c>
      <c r="AG63" s="7" t="n">
        <v>1</v>
      </c>
      <c r="AH63" s="7" t="n">
        <v>0</v>
      </c>
      <c r="AI63" s="7" t="n">
        <v>0</v>
      </c>
      <c r="AJ63" s="7" t="n">
        <v>0</v>
      </c>
      <c r="AK63" s="7" t="n">
        <v>0</v>
      </c>
      <c r="AL63" s="7" t="n">
        <v>0</v>
      </c>
      <c r="AM63" s="7" t="n">
        <v>1</v>
      </c>
      <c r="AN63" s="7" t="n">
        <v>0</v>
      </c>
      <c r="AO63" s="7" t="n">
        <v>0</v>
      </c>
      <c r="AP63" s="7" t="n">
        <v>0</v>
      </c>
      <c r="AQ63" s="7" t="n">
        <v>0</v>
      </c>
      <c r="AR63" s="7" t="n">
        <v>0</v>
      </c>
      <c r="AS63" s="7" t="n">
        <v>1</v>
      </c>
      <c r="AT63" s="7" t="n">
        <v>0</v>
      </c>
      <c r="AU63" s="7" t="n">
        <v>0</v>
      </c>
      <c r="AV63" s="7" t="n">
        <v>0</v>
      </c>
      <c r="AW63" s="7" t="n">
        <v>0</v>
      </c>
      <c r="AX63" s="7" t="n">
        <v>1</v>
      </c>
      <c r="AY63" s="7" t="n">
        <v>0</v>
      </c>
      <c r="AZ63" s="7" t="n">
        <v>0</v>
      </c>
      <c r="BA63" s="7" t="n">
        <v>0</v>
      </c>
      <c r="BB63" s="7" t="n">
        <v>0</v>
      </c>
      <c r="BC63" s="7" t="n">
        <v>1</v>
      </c>
      <c r="BD63" s="7" t="n">
        <v>1</v>
      </c>
    </row>
    <row r="64" customFormat="false" ht="14.25" hidden="false" customHeight="false" outlineLevel="0" collapsed="false">
      <c r="A64" s="7" t="s">
        <v>379</v>
      </c>
      <c r="B64" s="7" t="n">
        <v>0</v>
      </c>
      <c r="C64" s="7" t="n">
        <v>104</v>
      </c>
      <c r="D64" s="7" t="n">
        <v>1</v>
      </c>
      <c r="E64" s="7" t="n">
        <v>1</v>
      </c>
      <c r="F64" s="7" t="n">
        <v>0</v>
      </c>
      <c r="G64" s="7" t="n">
        <v>8.67</v>
      </c>
      <c r="H64" s="7" t="n">
        <v>3</v>
      </c>
      <c r="I64" s="7" t="n">
        <v>2</v>
      </c>
      <c r="J64" s="7" t="n">
        <v>2</v>
      </c>
      <c r="K64" s="7" t="n">
        <v>1</v>
      </c>
      <c r="L64" s="7" t="n">
        <v>30</v>
      </c>
      <c r="M64" s="7" t="n">
        <v>7.32</v>
      </c>
      <c r="N64" s="7" t="n">
        <v>5.54</v>
      </c>
      <c r="O64" s="7" t="n">
        <v>33.3</v>
      </c>
      <c r="P64" s="7" t="n">
        <v>1.4983</v>
      </c>
      <c r="Q64" s="7" t="n">
        <v>0</v>
      </c>
      <c r="R64" s="7" t="n">
        <v>0</v>
      </c>
      <c r="S64" s="7" t="n">
        <v>0</v>
      </c>
      <c r="T64" s="7" t="n">
        <v>0</v>
      </c>
      <c r="U64" s="7" t="n">
        <v>0</v>
      </c>
      <c r="V64" s="7" t="n">
        <v>0</v>
      </c>
      <c r="W64" s="7" t="n">
        <v>0</v>
      </c>
      <c r="X64" s="7" t="n">
        <v>0</v>
      </c>
      <c r="Y64" s="7" t="n">
        <v>0</v>
      </c>
      <c r="Z64" s="7" t="n">
        <v>0</v>
      </c>
      <c r="AA64" s="7" t="n">
        <v>0</v>
      </c>
      <c r="AB64" s="7" t="n">
        <v>1</v>
      </c>
      <c r="AC64" s="7" t="n">
        <v>0</v>
      </c>
      <c r="AD64" s="7" t="n">
        <v>1</v>
      </c>
      <c r="AE64" s="7" t="n">
        <v>1</v>
      </c>
      <c r="AF64" s="7" t="n">
        <v>0</v>
      </c>
      <c r="AG64" s="7" t="n">
        <v>1</v>
      </c>
      <c r="AH64" s="7" t="n">
        <v>0</v>
      </c>
      <c r="AI64" s="7" t="n">
        <v>1</v>
      </c>
      <c r="AJ64" s="7" t="n">
        <v>0</v>
      </c>
      <c r="AK64" s="7" t="n">
        <v>0</v>
      </c>
      <c r="AL64" s="7" t="n">
        <v>1</v>
      </c>
      <c r="AM64" s="7" t="n">
        <v>1</v>
      </c>
      <c r="AN64" s="7" t="n">
        <v>0</v>
      </c>
      <c r="AO64" s="7" t="n">
        <v>1</v>
      </c>
      <c r="AP64" s="7" t="n">
        <v>0</v>
      </c>
      <c r="AQ64" s="7" t="n">
        <v>0</v>
      </c>
      <c r="AR64" s="7" t="n">
        <v>0</v>
      </c>
      <c r="AS64" s="7" t="n">
        <v>1</v>
      </c>
      <c r="AT64" s="7" t="n">
        <v>0</v>
      </c>
      <c r="AU64" s="7" t="n">
        <v>0</v>
      </c>
      <c r="AV64" s="7" t="n">
        <v>0</v>
      </c>
      <c r="AW64" s="7" t="n">
        <v>0</v>
      </c>
      <c r="AX64" s="7" t="n">
        <v>1</v>
      </c>
      <c r="AY64" s="7" t="n">
        <v>0</v>
      </c>
      <c r="AZ64" s="7" t="n">
        <v>0</v>
      </c>
      <c r="BA64" s="7" t="n">
        <v>0</v>
      </c>
      <c r="BB64" s="7" t="n">
        <v>0</v>
      </c>
      <c r="BC64" s="7" t="n">
        <v>1</v>
      </c>
      <c r="BD64" s="7" t="n">
        <v>1</v>
      </c>
    </row>
    <row r="65" customFormat="false" ht="14.25" hidden="false" customHeight="false" outlineLevel="0" collapsed="false">
      <c r="A65" s="7" t="s">
        <v>383</v>
      </c>
      <c r="B65" s="7"/>
      <c r="C65" s="7"/>
      <c r="D65" s="7"/>
      <c r="E65" s="7"/>
      <c r="F65" s="7"/>
      <c r="G65" s="7" t="n">
        <v>9.75</v>
      </c>
      <c r="H65" s="7" t="n">
        <v>3</v>
      </c>
      <c r="I65" s="7" t="n">
        <v>2</v>
      </c>
      <c r="J65" s="7" t="n">
        <v>1</v>
      </c>
      <c r="K65" s="7" t="n">
        <v>0</v>
      </c>
      <c r="L65" s="7" t="n">
        <v>15</v>
      </c>
      <c r="M65" s="7" t="n">
        <v>7.11</v>
      </c>
      <c r="N65" s="7" t="n">
        <v>5.51</v>
      </c>
      <c r="O65" s="7" t="n">
        <v>10</v>
      </c>
      <c r="P65" s="7" t="n">
        <v>2.1021</v>
      </c>
      <c r="Q65" s="7" t="n">
        <v>0</v>
      </c>
      <c r="R65" s="7" t="n">
        <v>0</v>
      </c>
      <c r="S65" s="7" t="n">
        <v>0</v>
      </c>
      <c r="T65" s="7" t="n">
        <v>0</v>
      </c>
      <c r="U65" s="7" t="n">
        <v>0</v>
      </c>
      <c r="V65" s="7" t="n">
        <v>0</v>
      </c>
      <c r="W65" s="7" t="n">
        <v>0</v>
      </c>
      <c r="X65" s="7" t="n">
        <v>0</v>
      </c>
      <c r="Y65" s="7" t="n">
        <v>0</v>
      </c>
      <c r="Z65" s="7" t="n">
        <v>1</v>
      </c>
      <c r="AA65" s="7" t="n">
        <v>0</v>
      </c>
      <c r="AB65" s="7" t="n">
        <v>0</v>
      </c>
      <c r="AC65" s="7" t="n">
        <v>0</v>
      </c>
      <c r="AD65" s="7" t="n">
        <v>1</v>
      </c>
      <c r="AE65" s="7" t="n">
        <v>0</v>
      </c>
      <c r="AF65" s="7" t="n">
        <v>0</v>
      </c>
      <c r="AG65" s="7" t="n">
        <v>1</v>
      </c>
      <c r="AH65" s="7" t="n">
        <v>0</v>
      </c>
      <c r="AI65" s="7" t="n">
        <v>0</v>
      </c>
      <c r="AJ65" s="7" t="n">
        <v>0</v>
      </c>
      <c r="AK65" s="7" t="n">
        <v>0</v>
      </c>
      <c r="AL65" s="7" t="n">
        <v>0</v>
      </c>
      <c r="AM65" s="7" t="n">
        <v>1</v>
      </c>
      <c r="AN65" s="7" t="n">
        <v>1</v>
      </c>
      <c r="AO65" s="7" t="n">
        <v>0</v>
      </c>
      <c r="AP65" s="7" t="n">
        <v>0</v>
      </c>
      <c r="AQ65" s="7" t="n">
        <v>1</v>
      </c>
      <c r="AR65" s="7" t="n">
        <v>0</v>
      </c>
      <c r="AS65" s="7" t="n">
        <v>1</v>
      </c>
      <c r="AT65" s="7" t="n">
        <v>0</v>
      </c>
      <c r="AU65" s="7" t="n">
        <v>0</v>
      </c>
      <c r="AV65" s="7" t="n">
        <v>0</v>
      </c>
      <c r="AW65" s="7" t="n">
        <v>0</v>
      </c>
      <c r="AX65" s="7" t="n">
        <v>1</v>
      </c>
      <c r="AY65" s="7" t="n">
        <v>0</v>
      </c>
      <c r="AZ65" s="7" t="n">
        <v>0</v>
      </c>
      <c r="BA65" s="7" t="n">
        <v>0</v>
      </c>
      <c r="BB65" s="7" t="n">
        <v>0</v>
      </c>
      <c r="BC65" s="7" t="n">
        <v>0</v>
      </c>
      <c r="BD65" s="7" t="n">
        <v>0</v>
      </c>
    </row>
    <row r="66" customFormat="false" ht="14.25" hidden="false" customHeight="false" outlineLevel="0" collapsed="false">
      <c r="A66" s="7" t="s">
        <v>389</v>
      </c>
      <c r="B66" s="7" t="n">
        <v>0</v>
      </c>
      <c r="C66" s="7" t="n">
        <v>116</v>
      </c>
      <c r="D66" s="7" t="n">
        <v>1</v>
      </c>
      <c r="E66" s="7" t="n">
        <v>1</v>
      </c>
      <c r="F66" s="7" t="n">
        <v>0</v>
      </c>
      <c r="G66" s="7" t="n">
        <v>9.67</v>
      </c>
      <c r="H66" s="7" t="n">
        <v>3</v>
      </c>
      <c r="I66" s="7" t="n">
        <v>2</v>
      </c>
      <c r="J66" s="7" t="n">
        <v>2</v>
      </c>
      <c r="K66" s="7" t="n">
        <v>0</v>
      </c>
      <c r="L66" s="7" t="n">
        <v>20</v>
      </c>
      <c r="M66" s="7" t="n">
        <v>6.59</v>
      </c>
      <c r="N66" s="7" t="n">
        <v>5.7</v>
      </c>
      <c r="O66" s="7" t="n">
        <v>57.4</v>
      </c>
      <c r="P66" s="7" t="n">
        <v>1.4983</v>
      </c>
      <c r="Q66" s="7" t="n">
        <v>0</v>
      </c>
      <c r="R66" s="7" t="n">
        <v>0</v>
      </c>
      <c r="S66" s="7" t="n">
        <v>0</v>
      </c>
      <c r="T66" s="7" t="n">
        <v>0</v>
      </c>
      <c r="U66" s="7" t="n">
        <v>0</v>
      </c>
      <c r="V66" s="7" t="n">
        <v>0</v>
      </c>
      <c r="W66" s="7" t="n">
        <v>0</v>
      </c>
      <c r="X66" s="7" t="n">
        <v>0</v>
      </c>
      <c r="Y66" s="7" t="n">
        <v>0</v>
      </c>
      <c r="Z66" s="7" t="n">
        <v>0</v>
      </c>
      <c r="AA66" s="7" t="n">
        <v>1</v>
      </c>
      <c r="AB66" s="7" t="n">
        <v>0</v>
      </c>
      <c r="AC66" s="7" t="n">
        <v>1</v>
      </c>
      <c r="AD66" s="7" t="n">
        <v>0</v>
      </c>
      <c r="AE66" s="7" t="n">
        <v>1</v>
      </c>
      <c r="AF66" s="7" t="n">
        <v>0</v>
      </c>
      <c r="AG66" s="7" t="n">
        <v>1</v>
      </c>
      <c r="AH66" s="7" t="n">
        <v>0</v>
      </c>
      <c r="AI66" s="7" t="n">
        <v>0</v>
      </c>
      <c r="AJ66" s="7" t="n">
        <v>0</v>
      </c>
      <c r="AK66" s="7" t="n">
        <v>11.5129354649202</v>
      </c>
      <c r="AL66" s="7" t="n">
        <v>1</v>
      </c>
      <c r="AM66" s="7" t="n">
        <v>1</v>
      </c>
      <c r="AN66" s="7" t="n">
        <v>0</v>
      </c>
      <c r="AO66" s="7" t="n">
        <v>0</v>
      </c>
      <c r="AP66" s="7" t="n">
        <v>0</v>
      </c>
      <c r="AQ66" s="7" t="n">
        <v>0</v>
      </c>
      <c r="AR66" s="7" t="n">
        <v>0</v>
      </c>
      <c r="AS66" s="7" t="n">
        <v>1</v>
      </c>
      <c r="AT66" s="7" t="n">
        <v>0</v>
      </c>
      <c r="AU66" s="7" t="n">
        <v>0</v>
      </c>
      <c r="AV66" s="7" t="n">
        <v>0</v>
      </c>
      <c r="AW66" s="7" t="n">
        <v>0</v>
      </c>
      <c r="AX66" s="7" t="n">
        <v>1</v>
      </c>
      <c r="AY66" s="7" t="n">
        <v>0</v>
      </c>
      <c r="AZ66" s="7" t="n">
        <v>0</v>
      </c>
      <c r="BA66" s="7" t="n">
        <v>0</v>
      </c>
      <c r="BB66" s="7" t="n">
        <v>0</v>
      </c>
      <c r="BC66" s="7" t="n">
        <v>1</v>
      </c>
      <c r="BD66" s="7" t="n">
        <v>1</v>
      </c>
    </row>
    <row r="67" customFormat="false" ht="14.25" hidden="false" customHeight="false" outlineLevel="0" collapsed="false">
      <c r="A67" s="7" t="s">
        <v>393</v>
      </c>
      <c r="B67" s="7" t="n">
        <v>0</v>
      </c>
      <c r="C67" s="7" t="n">
        <v>120</v>
      </c>
      <c r="D67" s="7" t="n">
        <v>1</v>
      </c>
      <c r="E67" s="7" t="n">
        <v>1</v>
      </c>
      <c r="F67" s="7" t="n">
        <v>0</v>
      </c>
      <c r="G67" s="7" t="n">
        <v>10</v>
      </c>
      <c r="H67" s="7" t="n">
        <v>3</v>
      </c>
      <c r="I67" s="7" t="n">
        <v>3</v>
      </c>
      <c r="J67" s="7" t="n">
        <v>1</v>
      </c>
      <c r="K67" s="7" t="n">
        <v>0</v>
      </c>
      <c r="L67" s="7" t="n">
        <v>16</v>
      </c>
      <c r="M67" s="7" t="n">
        <v>7.11</v>
      </c>
      <c r="N67" s="7" t="n">
        <v>5.51</v>
      </c>
      <c r="O67" s="7" t="n">
        <v>69.1</v>
      </c>
      <c r="P67" s="7" t="n">
        <v>2.1021</v>
      </c>
      <c r="Q67" s="7" t="n">
        <v>0</v>
      </c>
      <c r="R67" s="7" t="n">
        <v>0</v>
      </c>
      <c r="S67" s="7" t="n">
        <v>0</v>
      </c>
      <c r="T67" s="7" t="n">
        <v>0</v>
      </c>
      <c r="U67" s="7" t="n">
        <v>0</v>
      </c>
      <c r="V67" s="7" t="n">
        <v>0</v>
      </c>
      <c r="W67" s="7" t="n">
        <v>0</v>
      </c>
      <c r="X67" s="7" t="n">
        <v>0</v>
      </c>
      <c r="Y67" s="7" t="n">
        <v>0</v>
      </c>
      <c r="Z67" s="7" t="n">
        <v>0</v>
      </c>
      <c r="AA67" s="7" t="n">
        <v>1</v>
      </c>
      <c r="AB67" s="7" t="n">
        <v>0</v>
      </c>
      <c r="AC67" s="7" t="n">
        <v>1</v>
      </c>
      <c r="AD67" s="7" t="n">
        <v>0</v>
      </c>
      <c r="AE67" s="7" t="n">
        <v>1</v>
      </c>
      <c r="AF67" s="7" t="n">
        <v>0</v>
      </c>
      <c r="AG67" s="7" t="n">
        <v>1</v>
      </c>
      <c r="AH67" s="7" t="n">
        <v>0</v>
      </c>
      <c r="AI67" s="7" t="n">
        <v>0</v>
      </c>
      <c r="AJ67" s="7" t="n">
        <v>0</v>
      </c>
      <c r="AK67" s="7" t="n">
        <v>9.58884529850156</v>
      </c>
      <c r="AL67" s="7" t="n">
        <v>1</v>
      </c>
      <c r="AM67" s="7" t="n">
        <v>0</v>
      </c>
      <c r="AN67" s="7" t="n">
        <v>0</v>
      </c>
      <c r="AO67" s="7" t="n">
        <v>1</v>
      </c>
      <c r="AP67" s="7" t="n">
        <v>1</v>
      </c>
      <c r="AQ67" s="7" t="n">
        <v>0</v>
      </c>
      <c r="AR67" s="7" t="n">
        <v>0</v>
      </c>
      <c r="AS67" s="7" t="n">
        <v>1</v>
      </c>
      <c r="AT67" s="7" t="n">
        <v>0</v>
      </c>
      <c r="AU67" s="7" t="n">
        <v>0</v>
      </c>
      <c r="AV67" s="7" t="n">
        <v>0</v>
      </c>
      <c r="AW67" s="7" t="n">
        <v>0</v>
      </c>
      <c r="AX67" s="7" t="n">
        <v>1</v>
      </c>
      <c r="AY67" s="7" t="n">
        <v>0</v>
      </c>
      <c r="AZ67" s="7" t="n">
        <v>0</v>
      </c>
      <c r="BA67" s="7" t="n">
        <v>0</v>
      </c>
      <c r="BB67" s="7" t="n">
        <v>0</v>
      </c>
      <c r="BC67" s="7" t="n">
        <v>1</v>
      </c>
      <c r="BD67" s="7" t="n">
        <v>1</v>
      </c>
    </row>
    <row r="68" customFormat="false" ht="14.25" hidden="false" customHeight="false" outlineLevel="0" collapsed="false">
      <c r="A68" s="7" t="s">
        <v>397</v>
      </c>
      <c r="B68" s="7" t="n">
        <v>0</v>
      </c>
      <c r="C68" s="7" t="n">
        <v>80</v>
      </c>
      <c r="D68" s="7" t="n">
        <v>0</v>
      </c>
      <c r="E68" s="7" t="n">
        <v>0</v>
      </c>
      <c r="F68" s="7" t="n">
        <v>0</v>
      </c>
      <c r="G68" s="7" t="n">
        <v>6.67</v>
      </c>
      <c r="H68" s="7" t="n">
        <v>3</v>
      </c>
      <c r="I68" s="7" t="n">
        <v>2</v>
      </c>
      <c r="J68" s="7" t="n">
        <v>2</v>
      </c>
      <c r="K68" s="7" t="n">
        <v>0</v>
      </c>
      <c r="L68" s="7" t="n">
        <v>30</v>
      </c>
      <c r="M68" s="7" t="n">
        <v>3.45</v>
      </c>
      <c r="N68" s="7" t="n">
        <v>5.69</v>
      </c>
      <c r="O68" s="7" t="n">
        <v>65.2</v>
      </c>
      <c r="P68" s="7" t="n">
        <v>1.4983</v>
      </c>
      <c r="Q68" s="7" t="n">
        <v>0</v>
      </c>
      <c r="R68" s="7" t="n">
        <v>0</v>
      </c>
      <c r="S68" s="7" t="n">
        <v>0</v>
      </c>
      <c r="T68" s="7" t="n">
        <v>0</v>
      </c>
      <c r="U68" s="7" t="n">
        <v>0</v>
      </c>
      <c r="V68" s="7" t="n">
        <v>0</v>
      </c>
      <c r="W68" s="7" t="n">
        <v>0</v>
      </c>
      <c r="X68" s="7" t="n">
        <v>0</v>
      </c>
      <c r="Y68" s="7" t="n">
        <v>0</v>
      </c>
      <c r="Z68" s="7" t="n">
        <v>0</v>
      </c>
      <c r="AA68" s="7" t="n">
        <v>0</v>
      </c>
      <c r="AB68" s="7" t="n">
        <v>0</v>
      </c>
      <c r="AC68" s="7" t="n">
        <v>0</v>
      </c>
      <c r="AD68" s="7" t="n">
        <v>1</v>
      </c>
      <c r="AE68" s="7" t="n">
        <v>1</v>
      </c>
      <c r="AF68" s="7" t="n">
        <v>0</v>
      </c>
      <c r="AG68" s="7" t="n">
        <v>1</v>
      </c>
      <c r="AH68" s="7" t="n">
        <v>0</v>
      </c>
      <c r="AI68" s="7" t="n">
        <v>0</v>
      </c>
      <c r="AJ68" s="7" t="n">
        <v>0</v>
      </c>
      <c r="AK68" s="7" t="n">
        <v>0</v>
      </c>
      <c r="AL68" s="7" t="n">
        <v>1</v>
      </c>
      <c r="AM68" s="7" t="n">
        <v>1</v>
      </c>
      <c r="AN68" s="7" t="n">
        <v>0</v>
      </c>
      <c r="AO68" s="7" t="n">
        <v>1</v>
      </c>
      <c r="AP68" s="7" t="n">
        <v>0</v>
      </c>
      <c r="AQ68" s="7" t="n">
        <v>0</v>
      </c>
      <c r="AR68" s="7" t="n">
        <v>0</v>
      </c>
      <c r="AS68" s="7" t="n">
        <v>1</v>
      </c>
      <c r="AT68" s="7" t="n">
        <v>0</v>
      </c>
      <c r="AU68" s="7" t="n">
        <v>0</v>
      </c>
      <c r="AV68" s="7" t="n">
        <v>0</v>
      </c>
      <c r="AW68" s="7" t="n">
        <v>0</v>
      </c>
      <c r="AX68" s="7" t="n">
        <v>1</v>
      </c>
      <c r="AY68" s="7" t="n">
        <v>0</v>
      </c>
      <c r="AZ68" s="7" t="n">
        <v>0</v>
      </c>
      <c r="BA68" s="7" t="n">
        <v>0</v>
      </c>
      <c r="BB68" s="7" t="n">
        <v>0</v>
      </c>
      <c r="BC68" s="7" t="n">
        <v>1</v>
      </c>
      <c r="BD68" s="7" t="n">
        <v>1</v>
      </c>
    </row>
    <row r="69" customFormat="false" ht="14.25" hidden="false" customHeight="false" outlineLevel="0" collapsed="false">
      <c r="A69" s="7" t="s">
        <v>402</v>
      </c>
      <c r="B69" s="7" t="n">
        <v>0</v>
      </c>
      <c r="C69" s="7" t="n">
        <v>92</v>
      </c>
      <c r="D69" s="7" t="n">
        <v>1</v>
      </c>
      <c r="E69" s="7" t="n">
        <v>1</v>
      </c>
      <c r="F69" s="7" t="n">
        <v>0</v>
      </c>
      <c r="G69" s="7" t="n">
        <v>7.67</v>
      </c>
      <c r="H69" s="7" t="n">
        <v>3</v>
      </c>
      <c r="I69" s="7" t="n">
        <v>2</v>
      </c>
      <c r="J69" s="7" t="n">
        <v>2</v>
      </c>
      <c r="K69" s="7" t="n">
        <v>0</v>
      </c>
      <c r="L69" s="7" t="n">
        <v>15</v>
      </c>
      <c r="M69" s="7" t="n">
        <v>7.88</v>
      </c>
      <c r="N69" s="7" t="n">
        <v>5.5</v>
      </c>
      <c r="O69" s="7" t="n">
        <v>80.2</v>
      </c>
      <c r="P69" s="7" t="n">
        <v>2.5459</v>
      </c>
      <c r="Q69" s="7" t="n">
        <v>0</v>
      </c>
      <c r="R69" s="7" t="n">
        <v>0</v>
      </c>
      <c r="S69" s="7" t="n">
        <v>0</v>
      </c>
      <c r="T69" s="7" t="n">
        <v>0</v>
      </c>
      <c r="U69" s="7" t="n">
        <v>0</v>
      </c>
      <c r="V69" s="7" t="n">
        <v>0</v>
      </c>
      <c r="W69" s="7" t="n">
        <v>0</v>
      </c>
      <c r="X69" s="7" t="n">
        <v>0</v>
      </c>
      <c r="Y69" s="7" t="n">
        <v>0</v>
      </c>
      <c r="Z69" s="7" t="n">
        <v>0</v>
      </c>
      <c r="AA69" s="7" t="n">
        <v>1</v>
      </c>
      <c r="AB69" s="7" t="n">
        <v>0</v>
      </c>
      <c r="AC69" s="7" t="n">
        <v>1</v>
      </c>
      <c r="AD69" s="7" t="n">
        <v>0</v>
      </c>
      <c r="AE69" s="7" t="n">
        <v>1</v>
      </c>
      <c r="AF69" s="7" t="n">
        <v>0</v>
      </c>
      <c r="AG69" s="7" t="n">
        <v>1</v>
      </c>
      <c r="AH69" s="7" t="n">
        <v>0</v>
      </c>
      <c r="AI69" s="7" t="n">
        <v>0</v>
      </c>
      <c r="AJ69" s="7" t="n">
        <v>0</v>
      </c>
      <c r="AK69" s="7" t="n">
        <v>10.8197982842103</v>
      </c>
      <c r="AL69" s="7" t="n">
        <v>0</v>
      </c>
      <c r="AM69" s="7" t="n">
        <v>0</v>
      </c>
      <c r="AN69" s="7" t="n">
        <v>0</v>
      </c>
      <c r="AO69" s="7" t="n">
        <v>0</v>
      </c>
      <c r="AP69" s="7" t="n">
        <v>0</v>
      </c>
      <c r="AQ69" s="7" t="n">
        <v>1</v>
      </c>
      <c r="AR69" s="7" t="n">
        <v>0</v>
      </c>
      <c r="AS69" s="7" t="n">
        <v>1</v>
      </c>
      <c r="AT69" s="7" t="n">
        <v>0</v>
      </c>
      <c r="AU69" s="7" t="n">
        <v>0</v>
      </c>
      <c r="AV69" s="7" t="n">
        <v>0</v>
      </c>
      <c r="AW69" s="7" t="n">
        <v>1</v>
      </c>
      <c r="AX69" s="7" t="n">
        <v>0</v>
      </c>
      <c r="AY69" s="7" t="n">
        <v>0</v>
      </c>
      <c r="AZ69" s="7" t="n">
        <v>0</v>
      </c>
      <c r="BA69" s="7" t="n">
        <v>0</v>
      </c>
      <c r="BB69" s="7" t="n">
        <v>0</v>
      </c>
      <c r="BC69" s="7" t="n">
        <v>1</v>
      </c>
      <c r="BD69" s="7" t="n">
        <v>1</v>
      </c>
    </row>
    <row r="70" customFormat="false" ht="14.25" hidden="false" customHeight="false" outlineLevel="0" collapsed="false">
      <c r="A70" s="7" t="s">
        <v>406</v>
      </c>
      <c r="B70" s="7" t="n">
        <v>0</v>
      </c>
      <c r="C70" s="7" t="n">
        <v>92</v>
      </c>
      <c r="D70" s="7" t="n">
        <v>1</v>
      </c>
      <c r="E70" s="7" t="n">
        <v>1</v>
      </c>
      <c r="F70" s="7" t="n">
        <v>0</v>
      </c>
      <c r="G70" s="7" t="n">
        <v>7.67</v>
      </c>
      <c r="H70" s="7" t="n">
        <v>3</v>
      </c>
      <c r="I70" s="7" t="n">
        <v>2</v>
      </c>
      <c r="J70" s="7" t="n">
        <v>3</v>
      </c>
      <c r="K70" s="7" t="n">
        <v>0</v>
      </c>
      <c r="L70" s="7" t="n">
        <v>18</v>
      </c>
      <c r="M70" s="7" t="n">
        <v>7.88</v>
      </c>
      <c r="N70" s="7" t="n">
        <v>5.5</v>
      </c>
      <c r="O70" s="7" t="n">
        <v>62.2</v>
      </c>
      <c r="P70" s="7" t="n">
        <v>2.1021</v>
      </c>
      <c r="Q70" s="7" t="n">
        <v>0</v>
      </c>
      <c r="R70" s="7" t="n">
        <v>0</v>
      </c>
      <c r="S70" s="7" t="n">
        <v>0</v>
      </c>
      <c r="T70" s="7" t="n">
        <v>0</v>
      </c>
      <c r="U70" s="7" t="n">
        <v>0</v>
      </c>
      <c r="V70" s="7" t="n">
        <v>0</v>
      </c>
      <c r="W70" s="7" t="n">
        <v>0</v>
      </c>
      <c r="X70" s="7" t="n">
        <v>0</v>
      </c>
      <c r="Y70" s="7" t="n">
        <v>0</v>
      </c>
      <c r="Z70" s="7" t="n">
        <v>0</v>
      </c>
      <c r="AA70" s="7" t="n">
        <v>1</v>
      </c>
      <c r="AB70" s="7" t="n">
        <v>0</v>
      </c>
      <c r="AC70" s="7" t="n">
        <v>0</v>
      </c>
      <c r="AD70" s="7" t="n">
        <v>1</v>
      </c>
      <c r="AE70" s="7" t="n">
        <v>0</v>
      </c>
      <c r="AF70" s="7" t="n">
        <v>0</v>
      </c>
      <c r="AG70" s="7" t="n">
        <v>0</v>
      </c>
      <c r="AH70" s="7" t="n">
        <v>0</v>
      </c>
      <c r="AI70" s="7" t="n">
        <v>0</v>
      </c>
      <c r="AJ70" s="7" t="n">
        <v>0</v>
      </c>
      <c r="AK70" s="7" t="n">
        <v>0</v>
      </c>
      <c r="AL70" s="7" t="n">
        <v>1</v>
      </c>
      <c r="AM70" s="7" t="n">
        <v>0</v>
      </c>
      <c r="AN70" s="7" t="n">
        <v>0</v>
      </c>
      <c r="AO70" s="7" t="n">
        <v>0</v>
      </c>
      <c r="AP70" s="7" t="n">
        <v>0</v>
      </c>
      <c r="AQ70" s="7" t="n">
        <v>0</v>
      </c>
      <c r="AR70" s="7" t="n">
        <v>0</v>
      </c>
      <c r="AS70" s="7" t="n">
        <v>1</v>
      </c>
      <c r="AT70" s="7" t="n">
        <v>1</v>
      </c>
      <c r="AU70" s="7" t="n">
        <v>0</v>
      </c>
      <c r="AV70" s="7" t="n">
        <v>0</v>
      </c>
      <c r="AW70" s="7" t="n">
        <v>0</v>
      </c>
      <c r="AX70" s="7" t="n">
        <v>0</v>
      </c>
      <c r="AY70" s="7" t="n">
        <v>0</v>
      </c>
      <c r="AZ70" s="7" t="n">
        <v>0</v>
      </c>
      <c r="BA70" s="7" t="n">
        <v>0</v>
      </c>
      <c r="BB70" s="7" t="n">
        <v>0</v>
      </c>
      <c r="BC70" s="7" t="n">
        <v>1</v>
      </c>
      <c r="BD70" s="7" t="n">
        <v>1</v>
      </c>
    </row>
    <row r="71" customFormat="false" ht="14.25" hidden="false" customHeight="false" outlineLevel="0" collapsed="false">
      <c r="A71" s="7" t="s">
        <v>412</v>
      </c>
      <c r="B71" s="7" t="n">
        <v>0</v>
      </c>
      <c r="C71" s="7" t="n">
        <v>80</v>
      </c>
      <c r="D71" s="7" t="n">
        <v>0</v>
      </c>
      <c r="E71" s="7" t="n">
        <v>0</v>
      </c>
      <c r="F71" s="7" t="n">
        <v>0</v>
      </c>
      <c r="G71" s="7" t="n">
        <v>6.67</v>
      </c>
      <c r="H71" s="7" t="n">
        <v>3</v>
      </c>
      <c r="I71" s="7" t="n">
        <v>1</v>
      </c>
      <c r="J71" s="7" t="n">
        <v>1</v>
      </c>
      <c r="K71" s="7" t="n">
        <v>1</v>
      </c>
      <c r="L71" s="7" t="n">
        <v>7</v>
      </c>
      <c r="M71" s="7" t="n">
        <v>3.45</v>
      </c>
      <c r="N71" s="7" t="n">
        <v>5.69</v>
      </c>
      <c r="O71" s="7" t="n">
        <v>57.1</v>
      </c>
      <c r="P71" s="7" t="n">
        <v>0.8451</v>
      </c>
      <c r="Q71" s="7" t="n">
        <v>0</v>
      </c>
      <c r="R71" s="7" t="n">
        <v>0</v>
      </c>
      <c r="S71" s="7" t="n">
        <v>0</v>
      </c>
      <c r="T71" s="7" t="n">
        <v>0</v>
      </c>
      <c r="U71" s="7" t="n">
        <v>0</v>
      </c>
      <c r="V71" s="7" t="n">
        <v>0</v>
      </c>
      <c r="W71" s="7" t="n">
        <v>0</v>
      </c>
      <c r="X71" s="7" t="n">
        <v>0</v>
      </c>
      <c r="Y71" s="7" t="n">
        <v>0</v>
      </c>
      <c r="Z71" s="7" t="n">
        <v>0</v>
      </c>
      <c r="AA71" s="7" t="n">
        <v>0</v>
      </c>
      <c r="AB71" s="7" t="n">
        <v>0</v>
      </c>
      <c r="AC71" s="7" t="n">
        <v>0</v>
      </c>
      <c r="AD71" s="7" t="n">
        <v>1</v>
      </c>
      <c r="AE71" s="7" t="n">
        <v>1</v>
      </c>
      <c r="AF71" s="7" t="n">
        <v>0</v>
      </c>
      <c r="AG71" s="7" t="n">
        <v>1</v>
      </c>
      <c r="AH71" s="7" t="n">
        <v>0</v>
      </c>
      <c r="AI71" s="7" t="n">
        <v>1</v>
      </c>
      <c r="AJ71" s="7" t="n">
        <v>0</v>
      </c>
      <c r="AK71" s="7" t="n">
        <v>0</v>
      </c>
      <c r="AL71" s="7" t="n">
        <v>1</v>
      </c>
      <c r="AM71" s="7" t="n">
        <v>0</v>
      </c>
      <c r="AN71" s="7" t="n">
        <v>1</v>
      </c>
      <c r="AO71" s="7" t="n">
        <v>0</v>
      </c>
      <c r="AP71" s="7" t="n">
        <v>0</v>
      </c>
      <c r="AQ71" s="7" t="n">
        <v>0</v>
      </c>
      <c r="AR71" s="7" t="n">
        <v>0</v>
      </c>
      <c r="AS71" s="7" t="n">
        <v>1</v>
      </c>
      <c r="AT71" s="7" t="n">
        <v>1</v>
      </c>
      <c r="AU71" s="7" t="n">
        <v>0</v>
      </c>
      <c r="AV71" s="7" t="n">
        <v>0</v>
      </c>
      <c r="AW71" s="7" t="n">
        <v>0</v>
      </c>
      <c r="AX71" s="7" t="n">
        <v>0</v>
      </c>
      <c r="AY71" s="7" t="n">
        <v>0</v>
      </c>
      <c r="AZ71" s="7" t="n">
        <v>0</v>
      </c>
      <c r="BA71" s="7" t="n">
        <v>0</v>
      </c>
      <c r="BB71" s="7" t="n">
        <v>0</v>
      </c>
      <c r="BC71" s="7" t="n">
        <v>1</v>
      </c>
      <c r="BD71" s="7" t="n">
        <v>1</v>
      </c>
    </row>
    <row r="72" customFormat="false" ht="14.25" hidden="false" customHeight="false" outlineLevel="0" collapsed="false">
      <c r="A72" s="7" t="s">
        <v>416</v>
      </c>
      <c r="B72" s="7" t="n">
        <v>0</v>
      </c>
      <c r="C72" s="7" t="n">
        <v>54</v>
      </c>
      <c r="D72" s="7" t="n">
        <v>1</v>
      </c>
      <c r="E72" s="7" t="n">
        <v>1</v>
      </c>
      <c r="F72" s="7" t="n">
        <v>0</v>
      </c>
      <c r="G72" s="7" t="n">
        <v>4.5</v>
      </c>
      <c r="H72" s="7" t="n">
        <v>3</v>
      </c>
      <c r="I72" s="7" t="n">
        <v>3</v>
      </c>
      <c r="J72" s="7" t="n">
        <v>3</v>
      </c>
      <c r="K72" s="7" t="n">
        <v>0</v>
      </c>
      <c r="L72" s="7" t="n">
        <v>7</v>
      </c>
      <c r="M72" s="7" t="n">
        <v>7.1</v>
      </c>
      <c r="N72" s="7" t="n">
        <v>7.7</v>
      </c>
      <c r="O72" s="7" t="n">
        <v>38.8</v>
      </c>
      <c r="P72" s="7" t="n">
        <v>1.4983</v>
      </c>
      <c r="Q72" s="7" t="n">
        <v>0</v>
      </c>
      <c r="R72" s="7" t="n">
        <v>0</v>
      </c>
      <c r="S72" s="7" t="n">
        <v>0</v>
      </c>
      <c r="T72" s="7" t="n">
        <v>0</v>
      </c>
      <c r="U72" s="7" t="n">
        <v>0</v>
      </c>
      <c r="V72" s="7" t="n">
        <v>0</v>
      </c>
      <c r="W72" s="7" t="n">
        <v>0</v>
      </c>
      <c r="X72" s="7" t="n">
        <v>0</v>
      </c>
      <c r="Y72" s="7" t="n">
        <v>0</v>
      </c>
      <c r="Z72" s="7" t="n">
        <v>0</v>
      </c>
      <c r="AA72" s="7" t="n">
        <v>1</v>
      </c>
      <c r="AB72" s="7" t="n">
        <v>0</v>
      </c>
      <c r="AC72" s="7" t="n">
        <v>0</v>
      </c>
      <c r="AD72" s="7" t="n">
        <v>1</v>
      </c>
      <c r="AE72" s="7" t="n">
        <v>1</v>
      </c>
      <c r="AF72" s="7" t="n">
        <v>0</v>
      </c>
      <c r="AG72" s="7" t="n">
        <v>1</v>
      </c>
      <c r="AH72" s="7" t="n">
        <v>0</v>
      </c>
      <c r="AI72" s="7" t="n">
        <v>0</v>
      </c>
      <c r="AJ72" s="7" t="n">
        <v>0</v>
      </c>
      <c r="AK72" s="7" t="n">
        <v>0</v>
      </c>
      <c r="AL72" s="7" t="n">
        <v>1</v>
      </c>
      <c r="AM72" s="7" t="n">
        <v>0</v>
      </c>
      <c r="AN72" s="7" t="n">
        <v>0</v>
      </c>
      <c r="AO72" s="7" t="n">
        <v>0</v>
      </c>
      <c r="AP72" s="7" t="n">
        <v>0</v>
      </c>
      <c r="AQ72" s="7" t="n">
        <v>0</v>
      </c>
      <c r="AR72" s="7" t="n">
        <v>0</v>
      </c>
      <c r="AS72" s="7" t="n">
        <v>1</v>
      </c>
      <c r="AT72" s="7" t="n">
        <v>1</v>
      </c>
      <c r="AU72" s="7" t="n">
        <v>0</v>
      </c>
      <c r="AV72" s="7" t="n">
        <v>0</v>
      </c>
      <c r="AW72" s="7" t="n">
        <v>0</v>
      </c>
      <c r="AX72" s="7" t="n">
        <v>0</v>
      </c>
      <c r="AY72" s="7" t="n">
        <v>0</v>
      </c>
      <c r="AZ72" s="7" t="n">
        <v>0</v>
      </c>
      <c r="BA72" s="7" t="n">
        <v>0</v>
      </c>
      <c r="BB72" s="7" t="n">
        <v>0</v>
      </c>
      <c r="BC72" s="7" t="n">
        <v>1</v>
      </c>
      <c r="BD72" s="7" t="n">
        <v>1</v>
      </c>
    </row>
    <row r="73" customFormat="false" ht="14.25" hidden="false" customHeight="false" outlineLevel="0" collapsed="false">
      <c r="A73" s="7" t="s">
        <v>421</v>
      </c>
      <c r="B73" s="7" t="n">
        <v>0</v>
      </c>
      <c r="C73" s="7" t="n">
        <v>92</v>
      </c>
      <c r="D73" s="7" t="n">
        <v>1</v>
      </c>
      <c r="E73" s="7" t="n">
        <v>1</v>
      </c>
      <c r="F73" s="7" t="n">
        <v>0</v>
      </c>
      <c r="G73" s="7" t="n">
        <v>7.67</v>
      </c>
      <c r="H73" s="7" t="n">
        <v>3</v>
      </c>
      <c r="I73" s="7" t="n">
        <v>2</v>
      </c>
      <c r="J73" s="7" t="n">
        <v>2</v>
      </c>
      <c r="K73" s="7" t="n">
        <v>0</v>
      </c>
      <c r="L73" s="7" t="n">
        <v>7</v>
      </c>
      <c r="M73" s="7" t="n">
        <v>7.88</v>
      </c>
      <c r="N73" s="7" t="n">
        <v>5.5</v>
      </c>
      <c r="O73" s="7" t="n">
        <v>52.5</v>
      </c>
      <c r="P73" s="7" t="n">
        <v>1.4983</v>
      </c>
      <c r="Q73" s="7" t="n">
        <v>0</v>
      </c>
      <c r="R73" s="7" t="n">
        <v>0</v>
      </c>
      <c r="S73" s="7" t="n">
        <v>0</v>
      </c>
      <c r="T73" s="7" t="n">
        <v>0</v>
      </c>
      <c r="U73" s="7" t="n">
        <v>0</v>
      </c>
      <c r="V73" s="7" t="n">
        <v>0</v>
      </c>
      <c r="W73" s="7" t="n">
        <v>0</v>
      </c>
      <c r="X73" s="7" t="n">
        <v>0</v>
      </c>
      <c r="Y73" s="7" t="n">
        <v>0</v>
      </c>
      <c r="Z73" s="7" t="n">
        <v>0</v>
      </c>
      <c r="AA73" s="7" t="n">
        <v>1</v>
      </c>
      <c r="AB73" s="7" t="n">
        <v>0</v>
      </c>
      <c r="AC73" s="7" t="n">
        <v>1</v>
      </c>
      <c r="AD73" s="7" t="n">
        <v>0</v>
      </c>
      <c r="AE73" s="7" t="n">
        <v>1</v>
      </c>
      <c r="AF73" s="7" t="n">
        <v>0</v>
      </c>
      <c r="AG73" s="7" t="n">
        <v>0</v>
      </c>
      <c r="AH73" s="7" t="n">
        <v>0</v>
      </c>
      <c r="AI73" s="7" t="n">
        <v>0</v>
      </c>
      <c r="AJ73" s="7" t="n">
        <v>0</v>
      </c>
      <c r="AK73" s="7" t="n">
        <v>9.21044036697652</v>
      </c>
      <c r="AL73" s="7" t="n">
        <v>0</v>
      </c>
      <c r="AM73" s="7" t="n">
        <v>0</v>
      </c>
      <c r="AN73" s="7" t="n">
        <v>0</v>
      </c>
      <c r="AO73" s="7" t="n">
        <v>0</v>
      </c>
      <c r="AP73" s="7" t="n">
        <v>0</v>
      </c>
      <c r="AQ73" s="7" t="n">
        <v>0</v>
      </c>
      <c r="AR73" s="7" t="n">
        <v>0</v>
      </c>
      <c r="AS73" s="7" t="n">
        <v>1</v>
      </c>
      <c r="AT73" s="7" t="n">
        <v>1</v>
      </c>
      <c r="AU73" s="7" t="n">
        <v>0</v>
      </c>
      <c r="AV73" s="7" t="n">
        <v>0</v>
      </c>
      <c r="AW73" s="7" t="n">
        <v>0</v>
      </c>
      <c r="AX73" s="7" t="n">
        <v>0</v>
      </c>
      <c r="AY73" s="7" t="n">
        <v>0</v>
      </c>
      <c r="AZ73" s="7" t="n">
        <v>0</v>
      </c>
      <c r="BA73" s="7" t="n">
        <v>0</v>
      </c>
      <c r="BB73" s="7" t="n">
        <v>0</v>
      </c>
      <c r="BC73" s="7" t="n">
        <v>1</v>
      </c>
      <c r="BD73" s="7" t="n">
        <v>1</v>
      </c>
    </row>
    <row r="74" customFormat="false" ht="14.25" hidden="false" customHeight="false" outlineLevel="0" collapsed="false">
      <c r="A74" s="7" t="s">
        <v>425</v>
      </c>
      <c r="B74" s="7"/>
      <c r="C74" s="7"/>
      <c r="D74" s="7"/>
      <c r="E74" s="7"/>
      <c r="F74" s="7"/>
      <c r="G74" s="7" t="n">
        <v>8.67</v>
      </c>
      <c r="H74" s="7" t="n">
        <v>3</v>
      </c>
      <c r="I74" s="7" t="n">
        <v>2</v>
      </c>
      <c r="J74" s="7" t="n">
        <v>2</v>
      </c>
      <c r="K74" s="7" t="n">
        <v>0</v>
      </c>
      <c r="L74" s="7" t="n">
        <v>13</v>
      </c>
      <c r="M74" s="7" t="n">
        <v>7.32</v>
      </c>
      <c r="N74" s="7" t="n">
        <v>5.54</v>
      </c>
      <c r="O74" s="7" t="n">
        <v>30.4</v>
      </c>
      <c r="P74" s="7" t="n">
        <v>2.1021</v>
      </c>
      <c r="Q74" s="7" t="n">
        <v>0</v>
      </c>
      <c r="R74" s="7" t="n">
        <v>0</v>
      </c>
      <c r="S74" s="7" t="n">
        <v>1</v>
      </c>
      <c r="T74" s="7" t="n">
        <v>1</v>
      </c>
      <c r="U74" s="7" t="n">
        <v>1</v>
      </c>
      <c r="V74" s="7" t="n">
        <v>1</v>
      </c>
      <c r="W74" s="7" t="n">
        <v>0</v>
      </c>
      <c r="X74" s="7" t="n">
        <v>0</v>
      </c>
      <c r="Y74" s="7" t="n">
        <v>0</v>
      </c>
      <c r="Z74" s="7" t="n">
        <v>1</v>
      </c>
      <c r="AA74" s="7" t="n">
        <v>0</v>
      </c>
      <c r="AB74" s="7" t="n">
        <v>0</v>
      </c>
      <c r="AC74" s="7" t="n">
        <v>0</v>
      </c>
      <c r="AD74" s="7" t="n">
        <v>1</v>
      </c>
      <c r="AE74" s="7" t="n">
        <v>0</v>
      </c>
      <c r="AF74" s="7" t="n">
        <v>1</v>
      </c>
      <c r="AG74" s="7" t="n">
        <v>0</v>
      </c>
      <c r="AH74" s="7" t="n">
        <v>1</v>
      </c>
      <c r="AI74" s="7" t="n">
        <v>0</v>
      </c>
      <c r="AJ74" s="7" t="n">
        <v>1</v>
      </c>
      <c r="AK74" s="7" t="n">
        <v>0</v>
      </c>
      <c r="AL74" s="7" t="n">
        <v>1</v>
      </c>
      <c r="AM74" s="7" t="n">
        <v>0</v>
      </c>
      <c r="AN74" s="7" t="n">
        <v>0</v>
      </c>
      <c r="AO74" s="7" t="n">
        <v>0</v>
      </c>
      <c r="AP74" s="7" t="n">
        <v>0</v>
      </c>
      <c r="AQ74" s="7" t="n">
        <v>0</v>
      </c>
      <c r="AR74" s="7" t="n">
        <v>0</v>
      </c>
      <c r="AS74" s="7" t="n">
        <v>1</v>
      </c>
      <c r="AT74" s="7" t="n">
        <v>1</v>
      </c>
      <c r="AU74" s="7" t="n">
        <v>0</v>
      </c>
      <c r="AV74" s="7" t="n">
        <v>0</v>
      </c>
      <c r="AW74" s="7" t="n">
        <v>0</v>
      </c>
      <c r="AX74" s="7" t="n">
        <v>0</v>
      </c>
      <c r="AY74" s="7" t="n">
        <v>0</v>
      </c>
      <c r="AZ74" s="7" t="n">
        <v>0</v>
      </c>
      <c r="BA74" s="7" t="n">
        <v>0</v>
      </c>
      <c r="BB74" s="7" t="n">
        <v>0</v>
      </c>
      <c r="BC74" s="7" t="n">
        <v>0</v>
      </c>
      <c r="BD74" s="7" t="n">
        <v>0</v>
      </c>
    </row>
    <row r="75" customFormat="false" ht="14.25" hidden="false" customHeight="false" outlineLevel="0" collapsed="false">
      <c r="A75" s="7" t="s">
        <v>431</v>
      </c>
      <c r="B75" s="7" t="n">
        <v>0</v>
      </c>
      <c r="C75" s="7" t="n">
        <v>80</v>
      </c>
      <c r="D75" s="7" t="n">
        <v>0</v>
      </c>
      <c r="E75" s="7" t="n">
        <v>0</v>
      </c>
      <c r="F75" s="7" t="n">
        <v>0</v>
      </c>
      <c r="G75" s="7" t="n">
        <v>6.67</v>
      </c>
      <c r="H75" s="7" t="n">
        <v>3</v>
      </c>
      <c r="I75" s="7" t="n">
        <v>2</v>
      </c>
      <c r="J75" s="7" t="n">
        <v>1</v>
      </c>
      <c r="K75" s="7" t="n">
        <v>0</v>
      </c>
      <c r="L75" s="7" t="n">
        <v>20</v>
      </c>
      <c r="M75" s="7" t="n">
        <v>3.45</v>
      </c>
      <c r="N75" s="7" t="n">
        <v>5.69</v>
      </c>
      <c r="O75" s="7" t="n">
        <v>47.5</v>
      </c>
      <c r="P75" s="7" t="n">
        <v>1.4983</v>
      </c>
      <c r="Q75" s="7" t="n">
        <v>0</v>
      </c>
      <c r="R75" s="7" t="n">
        <v>0</v>
      </c>
      <c r="S75" s="7" t="n">
        <v>0</v>
      </c>
      <c r="T75" s="7" t="n">
        <v>0</v>
      </c>
      <c r="U75" s="7" t="n">
        <v>0</v>
      </c>
      <c r="V75" s="7" t="n">
        <v>0</v>
      </c>
      <c r="W75" s="7" t="n">
        <v>0</v>
      </c>
      <c r="X75" s="7" t="n">
        <v>0</v>
      </c>
      <c r="Y75" s="7" t="n">
        <v>0</v>
      </c>
      <c r="Z75" s="7" t="n">
        <v>0</v>
      </c>
      <c r="AA75" s="7" t="n">
        <v>0</v>
      </c>
      <c r="AB75" s="7" t="n">
        <v>0</v>
      </c>
      <c r="AC75" s="7" t="n">
        <v>0</v>
      </c>
      <c r="AD75" s="7" t="n">
        <v>1</v>
      </c>
      <c r="AE75" s="7" t="n">
        <v>1</v>
      </c>
      <c r="AF75" s="7" t="n">
        <v>0</v>
      </c>
      <c r="AG75" s="7" t="n">
        <v>1</v>
      </c>
      <c r="AH75" s="7" t="n">
        <v>0</v>
      </c>
      <c r="AI75" s="7" t="n">
        <v>0</v>
      </c>
      <c r="AJ75" s="7" t="n">
        <v>0</v>
      </c>
      <c r="AK75" s="7" t="n">
        <v>0</v>
      </c>
      <c r="AL75" s="7" t="n">
        <v>1</v>
      </c>
      <c r="AM75" s="7" t="n">
        <v>0</v>
      </c>
      <c r="AN75" s="7" t="n">
        <v>0</v>
      </c>
      <c r="AO75" s="7" t="n">
        <v>0</v>
      </c>
      <c r="AP75" s="7" t="n">
        <v>1</v>
      </c>
      <c r="AQ75" s="7" t="n">
        <v>0</v>
      </c>
      <c r="AR75" s="7" t="n">
        <v>0</v>
      </c>
      <c r="AS75" s="7" t="n">
        <v>1</v>
      </c>
      <c r="AT75" s="7" t="n">
        <v>1</v>
      </c>
      <c r="AU75" s="7" t="n">
        <v>0</v>
      </c>
      <c r="AV75" s="7" t="n">
        <v>0</v>
      </c>
      <c r="AW75" s="7" t="n">
        <v>0</v>
      </c>
      <c r="AX75" s="7" t="n">
        <v>0</v>
      </c>
      <c r="AY75" s="7" t="n">
        <v>0</v>
      </c>
      <c r="AZ75" s="7" t="n">
        <v>0</v>
      </c>
      <c r="BA75" s="7" t="n">
        <v>0</v>
      </c>
      <c r="BB75" s="7" t="n">
        <v>0</v>
      </c>
      <c r="BC75" s="7" t="n">
        <v>1</v>
      </c>
      <c r="BD75" s="7" t="n">
        <v>1</v>
      </c>
    </row>
    <row r="76" customFormat="false" ht="14.25" hidden="false" customHeight="false" outlineLevel="0" collapsed="false">
      <c r="A76" s="7" t="s">
        <v>436</v>
      </c>
      <c r="B76" s="7" t="n">
        <v>0</v>
      </c>
      <c r="C76" s="7" t="n">
        <v>56</v>
      </c>
      <c r="D76" s="7" t="n">
        <v>1</v>
      </c>
      <c r="E76" s="7" t="n">
        <v>1</v>
      </c>
      <c r="F76" s="7" t="n">
        <v>0</v>
      </c>
      <c r="G76" s="7" t="n">
        <v>4.67</v>
      </c>
      <c r="H76" s="7" t="n">
        <v>3</v>
      </c>
      <c r="I76" s="7" t="n">
        <v>2</v>
      </c>
      <c r="J76" s="7" t="n">
        <v>2</v>
      </c>
      <c r="K76" s="7" t="n">
        <v>0</v>
      </c>
      <c r="L76" s="7" t="n">
        <v>8</v>
      </c>
      <c r="M76" s="7" t="n">
        <v>7.1</v>
      </c>
      <c r="N76" s="7" t="n">
        <v>7.7</v>
      </c>
      <c r="O76" s="7" t="n">
        <v>59</v>
      </c>
      <c r="P76" s="7" t="n">
        <v>1.4983</v>
      </c>
      <c r="Q76" s="7" t="n">
        <v>0</v>
      </c>
      <c r="R76" s="7" t="n">
        <v>0</v>
      </c>
      <c r="S76" s="7" t="n">
        <v>0</v>
      </c>
      <c r="T76" s="7" t="n">
        <v>0</v>
      </c>
      <c r="U76" s="7" t="n">
        <v>0</v>
      </c>
      <c r="V76" s="7" t="n">
        <v>0</v>
      </c>
      <c r="W76" s="7" t="n">
        <v>0</v>
      </c>
      <c r="X76" s="7" t="n">
        <v>0</v>
      </c>
      <c r="Y76" s="7" t="n">
        <v>0</v>
      </c>
      <c r="Z76" s="7" t="n">
        <v>0</v>
      </c>
      <c r="AA76" s="7" t="n">
        <v>1</v>
      </c>
      <c r="AB76" s="7" t="n">
        <v>0</v>
      </c>
      <c r="AC76" s="7" t="n">
        <v>0</v>
      </c>
      <c r="AD76" s="7" t="n">
        <v>1</v>
      </c>
      <c r="AE76" s="7" t="n">
        <v>0</v>
      </c>
      <c r="AF76" s="7" t="n">
        <v>0</v>
      </c>
      <c r="AG76" s="7" t="n">
        <v>0</v>
      </c>
      <c r="AH76" s="7" t="n">
        <v>0</v>
      </c>
      <c r="AI76" s="7" t="n">
        <v>0</v>
      </c>
      <c r="AJ76" s="7" t="n">
        <v>0</v>
      </c>
      <c r="AK76" s="7" t="n">
        <v>0</v>
      </c>
      <c r="AL76" s="7" t="n">
        <v>0</v>
      </c>
      <c r="AM76" s="7" t="n">
        <v>0</v>
      </c>
      <c r="AN76" s="7" t="n">
        <v>0</v>
      </c>
      <c r="AO76" s="7" t="n">
        <v>0</v>
      </c>
      <c r="AP76" s="7" t="n">
        <v>0</v>
      </c>
      <c r="AQ76" s="7" t="n">
        <v>1</v>
      </c>
      <c r="AR76" s="7" t="n">
        <v>0</v>
      </c>
      <c r="AS76" s="7" t="n">
        <v>1</v>
      </c>
      <c r="AT76" s="7" t="n">
        <v>0</v>
      </c>
      <c r="AU76" s="7" t="n">
        <v>0</v>
      </c>
      <c r="AV76" s="7" t="n">
        <v>0</v>
      </c>
      <c r="AW76" s="7" t="n">
        <v>1</v>
      </c>
      <c r="AX76" s="7" t="n">
        <v>0</v>
      </c>
      <c r="AY76" s="7" t="n">
        <v>0</v>
      </c>
      <c r="AZ76" s="7" t="n">
        <v>0</v>
      </c>
      <c r="BA76" s="7" t="n">
        <v>0</v>
      </c>
      <c r="BB76" s="7" t="n">
        <v>0</v>
      </c>
      <c r="BC76" s="7" t="n">
        <v>1</v>
      </c>
      <c r="BD76" s="7" t="n">
        <v>1</v>
      </c>
    </row>
    <row r="77" customFormat="false" ht="14.25" hidden="false" customHeight="false" outlineLevel="0" collapsed="false">
      <c r="A77" s="7" t="s">
        <v>439</v>
      </c>
      <c r="B77" s="7"/>
      <c r="C77" s="7"/>
      <c r="D77" s="7"/>
      <c r="E77" s="7"/>
      <c r="F77" s="7"/>
      <c r="G77" s="7" t="n">
        <v>9.67</v>
      </c>
      <c r="H77" s="7" t="n">
        <v>3</v>
      </c>
      <c r="I77" s="7" t="n">
        <v>2</v>
      </c>
      <c r="J77" s="7" t="n">
        <v>2</v>
      </c>
      <c r="K77" s="7" t="n">
        <v>0</v>
      </c>
      <c r="L77" s="7" t="n">
        <v>13</v>
      </c>
      <c r="M77" s="7" t="n">
        <v>6.59</v>
      </c>
      <c r="N77" s="7" t="n">
        <v>5.7</v>
      </c>
      <c r="O77" s="7" t="n">
        <v>33.8</v>
      </c>
      <c r="P77" s="7" t="n">
        <v>2.1021</v>
      </c>
      <c r="Q77" s="7" t="n">
        <v>0</v>
      </c>
      <c r="R77" s="7" t="n">
        <v>1</v>
      </c>
      <c r="S77" s="7" t="n">
        <v>1</v>
      </c>
      <c r="T77" s="7" t="n">
        <v>1</v>
      </c>
      <c r="U77" s="7" t="n">
        <v>1</v>
      </c>
      <c r="V77" s="7" t="n">
        <v>1</v>
      </c>
      <c r="W77" s="7" t="n">
        <v>0</v>
      </c>
      <c r="X77" s="7" t="n">
        <v>0</v>
      </c>
      <c r="Y77" s="7" t="n">
        <v>0</v>
      </c>
      <c r="Z77" s="7" t="n">
        <v>1</v>
      </c>
      <c r="AA77" s="7" t="n">
        <v>0</v>
      </c>
      <c r="AB77" s="7" t="n">
        <v>1</v>
      </c>
      <c r="AC77" s="7" t="n">
        <v>0</v>
      </c>
      <c r="AD77" s="7" t="n">
        <v>1</v>
      </c>
      <c r="AE77" s="7" t="n">
        <v>0</v>
      </c>
      <c r="AF77" s="7" t="n">
        <v>1</v>
      </c>
      <c r="AG77" s="7" t="n">
        <v>0</v>
      </c>
      <c r="AH77" s="7" t="n">
        <v>1</v>
      </c>
      <c r="AI77" s="7" t="n">
        <v>0</v>
      </c>
      <c r="AJ77" s="7" t="n">
        <v>1</v>
      </c>
      <c r="AK77" s="7" t="n">
        <v>0</v>
      </c>
      <c r="AL77" s="7" t="n">
        <v>0</v>
      </c>
      <c r="AM77" s="7" t="n">
        <v>0</v>
      </c>
      <c r="AN77" s="7" t="n">
        <v>0</v>
      </c>
      <c r="AO77" s="7" t="n">
        <v>0</v>
      </c>
      <c r="AP77" s="7" t="n">
        <v>0</v>
      </c>
      <c r="AQ77" s="7" t="n">
        <v>0</v>
      </c>
      <c r="AR77" s="7" t="n">
        <v>0</v>
      </c>
      <c r="AS77" s="7" t="n">
        <v>1</v>
      </c>
      <c r="AT77" s="7" t="n">
        <v>1</v>
      </c>
      <c r="AU77" s="7" t="n">
        <v>0</v>
      </c>
      <c r="AV77" s="7" t="n">
        <v>0</v>
      </c>
      <c r="AW77" s="7" t="n">
        <v>0</v>
      </c>
      <c r="AX77" s="7" t="n">
        <v>0</v>
      </c>
      <c r="AY77" s="7" t="n">
        <v>0</v>
      </c>
      <c r="AZ77" s="7" t="n">
        <v>0</v>
      </c>
      <c r="BA77" s="7" t="n">
        <v>0</v>
      </c>
      <c r="BB77" s="7" t="n">
        <v>0</v>
      </c>
      <c r="BC77" s="7" t="n">
        <v>0</v>
      </c>
      <c r="BD77" s="7" t="n">
        <v>0</v>
      </c>
    </row>
    <row r="78" customFormat="false" ht="14.25" hidden="false" customHeight="false" outlineLevel="0" collapsed="false">
      <c r="A78" s="7" t="s">
        <v>443</v>
      </c>
      <c r="B78" s="7" t="n">
        <v>0</v>
      </c>
      <c r="C78" s="7" t="n">
        <v>80</v>
      </c>
      <c r="D78" s="7" t="n">
        <v>1</v>
      </c>
      <c r="E78" s="7" t="n">
        <v>1</v>
      </c>
      <c r="F78" s="7" t="n">
        <v>0</v>
      </c>
      <c r="G78" s="7" t="n">
        <v>6.67</v>
      </c>
      <c r="H78" s="7" t="n">
        <v>3</v>
      </c>
      <c r="I78" s="7" t="n">
        <v>2</v>
      </c>
      <c r="J78" s="7" t="n">
        <v>3</v>
      </c>
      <c r="K78" s="7" t="n">
        <v>0.3333</v>
      </c>
      <c r="L78" s="7" t="n">
        <v>6</v>
      </c>
      <c r="M78" s="7" t="n">
        <v>3.45</v>
      </c>
      <c r="N78" s="7" t="n">
        <v>5.69</v>
      </c>
      <c r="O78" s="7" t="n">
        <v>48.8</v>
      </c>
      <c r="P78" s="7" t="n">
        <v>2.1021</v>
      </c>
      <c r="Q78" s="7" t="n">
        <v>0</v>
      </c>
      <c r="R78" s="7" t="n">
        <v>0</v>
      </c>
      <c r="S78" s="7" t="n">
        <v>0</v>
      </c>
      <c r="T78" s="7" t="n">
        <v>0</v>
      </c>
      <c r="U78" s="7" t="n">
        <v>0</v>
      </c>
      <c r="V78" s="7" t="n">
        <v>0</v>
      </c>
      <c r="W78" s="7" t="n">
        <v>0</v>
      </c>
      <c r="X78" s="7" t="n">
        <v>0</v>
      </c>
      <c r="Y78" s="7" t="n">
        <v>0</v>
      </c>
      <c r="Z78" s="7" t="n">
        <v>0</v>
      </c>
      <c r="AA78" s="7" t="n">
        <v>1</v>
      </c>
      <c r="AB78" s="7" t="n">
        <v>0</v>
      </c>
      <c r="AC78" s="7" t="n">
        <v>1</v>
      </c>
      <c r="AD78" s="7" t="n">
        <v>0</v>
      </c>
      <c r="AE78" s="7" t="n">
        <v>1</v>
      </c>
      <c r="AF78" s="7" t="n">
        <v>0</v>
      </c>
      <c r="AG78" s="7" t="n">
        <v>1</v>
      </c>
      <c r="AH78" s="7" t="n">
        <v>0</v>
      </c>
      <c r="AI78" s="7" t="n">
        <v>1</v>
      </c>
      <c r="AJ78" s="7" t="n">
        <v>0</v>
      </c>
      <c r="AK78" s="7" t="n">
        <v>11.4721138870624</v>
      </c>
      <c r="AL78" s="7" t="n">
        <v>0</v>
      </c>
      <c r="AM78" s="7" t="n">
        <v>0</v>
      </c>
      <c r="AN78" s="7" t="n">
        <v>0</v>
      </c>
      <c r="AO78" s="7" t="n">
        <v>1</v>
      </c>
      <c r="AP78" s="7" t="n">
        <v>0</v>
      </c>
      <c r="AQ78" s="7" t="n">
        <v>0</v>
      </c>
      <c r="AR78" s="7" t="n">
        <v>0</v>
      </c>
      <c r="AS78" s="7" t="n">
        <v>1</v>
      </c>
      <c r="AT78" s="7" t="n">
        <v>0</v>
      </c>
      <c r="AU78" s="7" t="n">
        <v>0</v>
      </c>
      <c r="AV78" s="7" t="n">
        <v>0</v>
      </c>
      <c r="AW78" s="7" t="n">
        <v>0</v>
      </c>
      <c r="AX78" s="7" t="n">
        <v>0</v>
      </c>
      <c r="AY78" s="7" t="n">
        <v>1</v>
      </c>
      <c r="AZ78" s="7" t="n">
        <v>0</v>
      </c>
      <c r="BA78" s="7" t="n">
        <v>0</v>
      </c>
      <c r="BB78" s="7" t="n">
        <v>0</v>
      </c>
      <c r="BC78" s="7" t="n">
        <v>1</v>
      </c>
      <c r="BD78" s="7" t="n">
        <v>1</v>
      </c>
    </row>
    <row r="79" customFormat="false" ht="14.25" hidden="false" customHeight="false" outlineLevel="0" collapsed="false">
      <c r="A79" s="7" t="s">
        <v>449</v>
      </c>
      <c r="B79" s="7" t="n">
        <v>0</v>
      </c>
      <c r="C79" s="7" t="n">
        <v>101</v>
      </c>
      <c r="D79" s="7"/>
      <c r="E79" s="7"/>
      <c r="F79" s="7" t="n">
        <v>0</v>
      </c>
      <c r="G79" s="7" t="n">
        <v>8.42</v>
      </c>
      <c r="H79" s="7" t="n">
        <v>3</v>
      </c>
      <c r="I79" s="7" t="n">
        <v>1</v>
      </c>
      <c r="J79" s="7" t="n">
        <v>1</v>
      </c>
      <c r="K79" s="7" t="n">
        <v>0</v>
      </c>
      <c r="L79" s="7" t="n">
        <v>12</v>
      </c>
      <c r="M79" s="7" t="n">
        <v>7.32</v>
      </c>
      <c r="N79" s="7" t="n">
        <v>5.54</v>
      </c>
      <c r="O79" s="7" t="n">
        <v>56.2</v>
      </c>
      <c r="P79" s="7" t="n">
        <v>1.4983</v>
      </c>
      <c r="Q79" s="7" t="n">
        <v>0</v>
      </c>
      <c r="R79" s="7" t="n">
        <v>0</v>
      </c>
      <c r="S79" s="7" t="n">
        <v>0</v>
      </c>
      <c r="T79" s="7" t="n">
        <v>0</v>
      </c>
      <c r="U79" s="7" t="n">
        <v>0</v>
      </c>
      <c r="V79" s="7" t="n">
        <v>0</v>
      </c>
      <c r="W79" s="7" t="n">
        <v>0</v>
      </c>
      <c r="X79" s="7" t="n">
        <v>0</v>
      </c>
      <c r="Y79" s="7" t="n">
        <v>0</v>
      </c>
      <c r="Z79" s="7" t="n">
        <v>0</v>
      </c>
      <c r="AA79" s="7" t="n">
        <v>0</v>
      </c>
      <c r="AB79" s="7" t="n">
        <v>0</v>
      </c>
      <c r="AC79" s="7" t="n">
        <v>0</v>
      </c>
      <c r="AD79" s="7" t="n">
        <v>1</v>
      </c>
      <c r="AE79" s="7" t="n">
        <v>0</v>
      </c>
      <c r="AF79" s="7" t="n">
        <v>0</v>
      </c>
      <c r="AG79" s="7" t="n">
        <v>1</v>
      </c>
      <c r="AH79" s="7" t="n">
        <v>0</v>
      </c>
      <c r="AI79" s="7" t="n">
        <v>0</v>
      </c>
      <c r="AJ79" s="7" t="n">
        <v>0</v>
      </c>
      <c r="AK79" s="7" t="n">
        <v>0</v>
      </c>
      <c r="AL79" s="7" t="n">
        <v>1</v>
      </c>
      <c r="AM79" s="7" t="n">
        <v>0</v>
      </c>
      <c r="AN79" s="7" t="n">
        <v>0</v>
      </c>
      <c r="AO79" s="7" t="n">
        <v>1</v>
      </c>
      <c r="AP79" s="7" t="n">
        <v>0</v>
      </c>
      <c r="AQ79" s="7" t="n">
        <v>0</v>
      </c>
      <c r="AR79" s="7" t="n">
        <v>0</v>
      </c>
      <c r="AS79" s="7" t="n">
        <v>1</v>
      </c>
      <c r="AT79" s="7" t="n">
        <v>0</v>
      </c>
      <c r="AU79" s="7" t="n">
        <v>0</v>
      </c>
      <c r="AV79" s="7" t="n">
        <v>0</v>
      </c>
      <c r="AW79" s="7" t="n">
        <v>0</v>
      </c>
      <c r="AX79" s="7" t="n">
        <v>0</v>
      </c>
      <c r="AY79" s="7" t="n">
        <v>1</v>
      </c>
      <c r="AZ79" s="7" t="n">
        <v>0</v>
      </c>
      <c r="BA79" s="7" t="n">
        <v>0</v>
      </c>
      <c r="BB79" s="7" t="n">
        <v>0</v>
      </c>
      <c r="BC79" s="7" t="n">
        <v>1</v>
      </c>
      <c r="BD79" s="7" t="n">
        <v>0</v>
      </c>
    </row>
    <row r="80" customFormat="false" ht="14.25" hidden="false" customHeight="false" outlineLevel="0" collapsed="false">
      <c r="A80" s="7" t="s">
        <v>454</v>
      </c>
      <c r="B80" s="7" t="n">
        <v>0</v>
      </c>
      <c r="C80" s="7" t="n">
        <v>68</v>
      </c>
      <c r="D80" s="7" t="n">
        <v>1</v>
      </c>
      <c r="E80" s="7" t="n">
        <v>1</v>
      </c>
      <c r="F80" s="7" t="n">
        <v>0</v>
      </c>
      <c r="G80" s="7" t="n">
        <v>5.67</v>
      </c>
      <c r="H80" s="7" t="n">
        <v>3</v>
      </c>
      <c r="I80" s="7" t="n">
        <v>1</v>
      </c>
      <c r="J80" s="7" t="n">
        <v>1</v>
      </c>
      <c r="K80" s="7" t="n">
        <v>0</v>
      </c>
      <c r="L80" s="7" t="n">
        <v>6</v>
      </c>
      <c r="M80" s="7" t="n">
        <v>6.94</v>
      </c>
      <c r="N80" s="7" t="n">
        <v>5.55</v>
      </c>
      <c r="O80" s="7" t="n">
        <v>49</v>
      </c>
      <c r="P80" s="7" t="n">
        <v>1.4983</v>
      </c>
      <c r="Q80" s="7" t="n">
        <v>0</v>
      </c>
      <c r="R80" s="7" t="n">
        <v>0</v>
      </c>
      <c r="S80" s="7" t="n">
        <v>0</v>
      </c>
      <c r="T80" s="7" t="n">
        <v>0</v>
      </c>
      <c r="U80" s="7" t="n">
        <v>0</v>
      </c>
      <c r="V80" s="7" t="n">
        <v>0</v>
      </c>
      <c r="W80" s="7" t="n">
        <v>0</v>
      </c>
      <c r="X80" s="7" t="n">
        <v>0</v>
      </c>
      <c r="Y80" s="7" t="n">
        <v>0</v>
      </c>
      <c r="Z80" s="7" t="n">
        <v>0</v>
      </c>
      <c r="AA80" s="7" t="n">
        <v>1</v>
      </c>
      <c r="AB80" s="7" t="n">
        <v>0</v>
      </c>
      <c r="AC80" s="7" t="n">
        <v>1</v>
      </c>
      <c r="AD80" s="7" t="n">
        <v>0</v>
      </c>
      <c r="AE80" s="7" t="n">
        <v>1</v>
      </c>
      <c r="AF80" s="7" t="n">
        <v>0</v>
      </c>
      <c r="AG80" s="7" t="n">
        <v>1</v>
      </c>
      <c r="AH80" s="7" t="n">
        <v>0</v>
      </c>
      <c r="AI80" s="7" t="n">
        <v>0</v>
      </c>
      <c r="AJ80" s="7" t="n">
        <v>0</v>
      </c>
      <c r="AK80" s="7" t="n">
        <v>11.4186257744496</v>
      </c>
      <c r="AL80" s="7" t="n">
        <v>1</v>
      </c>
      <c r="AM80" s="7" t="n">
        <v>0</v>
      </c>
      <c r="AN80" s="7" t="n">
        <v>0</v>
      </c>
      <c r="AO80" s="7" t="n">
        <v>1</v>
      </c>
      <c r="AP80" s="7" t="n">
        <v>0</v>
      </c>
      <c r="AQ80" s="7" t="n">
        <v>0</v>
      </c>
      <c r="AR80" s="7" t="n">
        <v>0</v>
      </c>
      <c r="AS80" s="7" t="n">
        <v>1</v>
      </c>
      <c r="AT80" s="7" t="n">
        <v>0</v>
      </c>
      <c r="AU80" s="7" t="n">
        <v>0</v>
      </c>
      <c r="AV80" s="7" t="n">
        <v>0</v>
      </c>
      <c r="AW80" s="7" t="n">
        <v>0</v>
      </c>
      <c r="AX80" s="7" t="n">
        <v>0</v>
      </c>
      <c r="AY80" s="7" t="n">
        <v>1</v>
      </c>
      <c r="AZ80" s="7" t="n">
        <v>0</v>
      </c>
      <c r="BA80" s="7" t="n">
        <v>0</v>
      </c>
      <c r="BB80" s="7" t="n">
        <v>0</v>
      </c>
      <c r="BC80" s="7" t="n">
        <v>1</v>
      </c>
      <c r="BD80" s="7" t="n">
        <v>1</v>
      </c>
    </row>
    <row r="81" customFormat="false" ht="14.25" hidden="false" customHeight="false" outlineLevel="0" collapsed="false">
      <c r="A81" s="7" t="s">
        <v>459</v>
      </c>
      <c r="B81" s="7" t="n">
        <v>0</v>
      </c>
      <c r="C81" s="7" t="n">
        <v>140</v>
      </c>
      <c r="D81" s="7" t="n">
        <v>1</v>
      </c>
      <c r="E81" s="7" t="n">
        <v>1</v>
      </c>
      <c r="F81" s="7" t="n">
        <v>0</v>
      </c>
      <c r="G81" s="7" t="n">
        <v>11.67</v>
      </c>
      <c r="H81" s="7" t="n">
        <v>3</v>
      </c>
      <c r="I81" s="7" t="n">
        <v>2</v>
      </c>
      <c r="J81" s="7" t="n">
        <v>4</v>
      </c>
      <c r="K81" s="7" t="n">
        <v>0.25</v>
      </c>
      <c r="L81" s="7" t="n">
        <v>15</v>
      </c>
      <c r="M81" s="7" t="n">
        <v>6.55</v>
      </c>
      <c r="N81" s="7" t="n">
        <v>6.4</v>
      </c>
      <c r="O81" s="7" t="n">
        <v>65.4</v>
      </c>
      <c r="P81" s="7" t="n">
        <v>2.1021</v>
      </c>
      <c r="Q81" s="7" t="n">
        <v>0</v>
      </c>
      <c r="R81" s="7" t="n">
        <v>0</v>
      </c>
      <c r="S81" s="7" t="n">
        <v>0</v>
      </c>
      <c r="T81" s="7" t="n">
        <v>0</v>
      </c>
      <c r="U81" s="7" t="n">
        <v>0</v>
      </c>
      <c r="V81" s="7" t="n">
        <v>0</v>
      </c>
      <c r="W81" s="7" t="n">
        <v>0</v>
      </c>
      <c r="X81" s="7" t="n">
        <v>0</v>
      </c>
      <c r="Y81" s="7" t="n">
        <v>0</v>
      </c>
      <c r="Z81" s="7" t="n">
        <v>0</v>
      </c>
      <c r="AA81" s="7" t="n">
        <v>0</v>
      </c>
      <c r="AB81" s="7" t="n">
        <v>0</v>
      </c>
      <c r="AC81" s="7" t="n">
        <v>0</v>
      </c>
      <c r="AD81" s="7" t="n">
        <v>1</v>
      </c>
      <c r="AE81" s="7" t="n">
        <v>1</v>
      </c>
      <c r="AF81" s="7" t="n">
        <v>0</v>
      </c>
      <c r="AG81" s="7" t="n">
        <v>1</v>
      </c>
      <c r="AH81" s="7" t="n">
        <v>0</v>
      </c>
      <c r="AI81" s="7" t="n">
        <v>1</v>
      </c>
      <c r="AJ81" s="7" t="n">
        <v>0</v>
      </c>
      <c r="AK81" s="7" t="n">
        <v>0</v>
      </c>
      <c r="AL81" s="7" t="n">
        <v>1</v>
      </c>
      <c r="AM81" s="7" t="n">
        <v>0</v>
      </c>
      <c r="AN81" s="7" t="n">
        <v>0</v>
      </c>
      <c r="AO81" s="7" t="n">
        <v>0</v>
      </c>
      <c r="AP81" s="7" t="n">
        <v>0</v>
      </c>
      <c r="AQ81" s="7" t="n">
        <v>0</v>
      </c>
      <c r="AR81" s="7" t="n">
        <v>1</v>
      </c>
      <c r="AS81" s="7" t="n">
        <v>1</v>
      </c>
      <c r="AT81" s="7" t="n">
        <v>0</v>
      </c>
      <c r="AU81" s="7" t="n">
        <v>0</v>
      </c>
      <c r="AV81" s="7" t="n">
        <v>0</v>
      </c>
      <c r="AW81" s="7" t="n">
        <v>0</v>
      </c>
      <c r="AX81" s="7" t="n">
        <v>0</v>
      </c>
      <c r="AY81" s="7" t="n">
        <v>1</v>
      </c>
      <c r="AZ81" s="7" t="n">
        <v>0</v>
      </c>
      <c r="BA81" s="7" t="n">
        <v>0</v>
      </c>
      <c r="BB81" s="7" t="n">
        <v>0</v>
      </c>
      <c r="BC81" s="7" t="n">
        <v>1</v>
      </c>
      <c r="BD81" s="7" t="n">
        <v>1</v>
      </c>
    </row>
    <row r="82" customFormat="false" ht="14.25" hidden="false" customHeight="false" outlineLevel="0" collapsed="false">
      <c r="A82" s="7" t="s">
        <v>465</v>
      </c>
      <c r="B82" s="7" t="n">
        <v>0</v>
      </c>
      <c r="C82" s="7" t="n">
        <v>140</v>
      </c>
      <c r="D82" s="7" t="n">
        <v>1</v>
      </c>
      <c r="E82" s="7" t="n">
        <v>1</v>
      </c>
      <c r="F82" s="7" t="n">
        <v>0</v>
      </c>
      <c r="G82" s="7" t="n">
        <v>11.67</v>
      </c>
      <c r="H82" s="7" t="n">
        <v>3</v>
      </c>
      <c r="I82" s="7" t="n">
        <v>2</v>
      </c>
      <c r="J82" s="7" t="n">
        <v>2</v>
      </c>
      <c r="K82" s="7" t="n">
        <v>0</v>
      </c>
      <c r="L82" s="7" t="n">
        <v>11</v>
      </c>
      <c r="M82" s="7" t="n">
        <v>6.55</v>
      </c>
      <c r="N82" s="7" t="n">
        <v>6.4</v>
      </c>
      <c r="O82" s="7" t="n">
        <v>25.4</v>
      </c>
      <c r="P82" s="7" t="n">
        <v>1.4983</v>
      </c>
      <c r="Q82" s="7" t="n">
        <v>0</v>
      </c>
      <c r="R82" s="7" t="n">
        <v>0</v>
      </c>
      <c r="S82" s="7" t="n">
        <v>0</v>
      </c>
      <c r="T82" s="7" t="n">
        <v>0</v>
      </c>
      <c r="U82" s="7" t="n">
        <v>0</v>
      </c>
      <c r="V82" s="7" t="n">
        <v>0</v>
      </c>
      <c r="W82" s="7" t="n">
        <v>0</v>
      </c>
      <c r="X82" s="7" t="n">
        <v>0</v>
      </c>
      <c r="Y82" s="7" t="n">
        <v>0</v>
      </c>
      <c r="Z82" s="7" t="n">
        <v>0</v>
      </c>
      <c r="AA82" s="7" t="n">
        <v>1</v>
      </c>
      <c r="AB82" s="7" t="n">
        <v>0</v>
      </c>
      <c r="AC82" s="7" t="n">
        <v>0</v>
      </c>
      <c r="AD82" s="7" t="n">
        <v>1</v>
      </c>
      <c r="AE82" s="7" t="n">
        <v>1</v>
      </c>
      <c r="AF82" s="7" t="n">
        <v>0</v>
      </c>
      <c r="AG82" s="7" t="n">
        <v>0</v>
      </c>
      <c r="AH82" s="7" t="n">
        <v>1</v>
      </c>
      <c r="AI82" s="7" t="n">
        <v>0</v>
      </c>
      <c r="AJ82" s="7" t="n">
        <v>0</v>
      </c>
      <c r="AK82" s="7" t="n">
        <v>0</v>
      </c>
      <c r="AL82" s="7" t="n">
        <v>1</v>
      </c>
      <c r="AM82" s="7" t="n">
        <v>0</v>
      </c>
      <c r="AN82" s="7" t="n">
        <v>0</v>
      </c>
      <c r="AO82" s="7" t="n">
        <v>1</v>
      </c>
      <c r="AP82" s="7" t="n">
        <v>1</v>
      </c>
      <c r="AQ82" s="7" t="n">
        <v>0</v>
      </c>
      <c r="AR82" s="7" t="n">
        <v>0</v>
      </c>
      <c r="AS82" s="7" t="n">
        <v>1</v>
      </c>
      <c r="AT82" s="7" t="n">
        <v>0</v>
      </c>
      <c r="AU82" s="7" t="n">
        <v>0</v>
      </c>
      <c r="AV82" s="7" t="n">
        <v>0</v>
      </c>
      <c r="AW82" s="7" t="n">
        <v>0</v>
      </c>
      <c r="AX82" s="7" t="n">
        <v>0</v>
      </c>
      <c r="AY82" s="7" t="n">
        <v>1</v>
      </c>
      <c r="AZ82" s="7" t="n">
        <v>0</v>
      </c>
      <c r="BA82" s="7" t="n">
        <v>0</v>
      </c>
      <c r="BB82" s="7" t="n">
        <v>0</v>
      </c>
      <c r="BC82" s="7" t="n">
        <v>1</v>
      </c>
      <c r="BD82" s="7" t="n">
        <v>1</v>
      </c>
    </row>
    <row r="83" customFormat="false" ht="14.25" hidden="false" customHeight="false" outlineLevel="0" collapsed="false">
      <c r="A83" s="7" t="s">
        <v>471</v>
      </c>
      <c r="B83" s="7" t="n">
        <v>0</v>
      </c>
      <c r="C83" s="7" t="n">
        <v>68</v>
      </c>
      <c r="D83" s="7" t="n">
        <v>1</v>
      </c>
      <c r="E83" s="7" t="n">
        <v>1</v>
      </c>
      <c r="F83" s="7" t="n">
        <v>0</v>
      </c>
      <c r="G83" s="7" t="n">
        <v>5.67</v>
      </c>
      <c r="H83" s="7" t="n">
        <v>3</v>
      </c>
      <c r="I83" s="7" t="n">
        <v>2</v>
      </c>
      <c r="J83" s="7" t="n">
        <v>2</v>
      </c>
      <c r="K83" s="7" t="n">
        <v>0</v>
      </c>
      <c r="L83" s="7" t="n">
        <v>23</v>
      </c>
      <c r="M83" s="7" t="n">
        <v>6.94</v>
      </c>
      <c r="N83" s="7" t="n">
        <v>5.55</v>
      </c>
      <c r="O83" s="7" t="n">
        <v>54.6</v>
      </c>
      <c r="P83" s="7" t="n">
        <v>1.4983</v>
      </c>
      <c r="Q83" s="7" t="n">
        <v>0</v>
      </c>
      <c r="R83" s="7" t="n">
        <v>0</v>
      </c>
      <c r="S83" s="7" t="n">
        <v>0</v>
      </c>
      <c r="T83" s="7" t="n">
        <v>0</v>
      </c>
      <c r="U83" s="7" t="n">
        <v>0</v>
      </c>
      <c r="V83" s="7" t="n">
        <v>0</v>
      </c>
      <c r="W83" s="7" t="n">
        <v>0</v>
      </c>
      <c r="X83" s="7" t="n">
        <v>0</v>
      </c>
      <c r="Y83" s="7" t="n">
        <v>0</v>
      </c>
      <c r="Z83" s="7" t="n">
        <v>0</v>
      </c>
      <c r="AA83" s="7" t="n">
        <v>1</v>
      </c>
      <c r="AB83" s="7" t="n">
        <v>0</v>
      </c>
      <c r="AC83" s="7" t="n">
        <v>0</v>
      </c>
      <c r="AD83" s="7" t="n">
        <v>1</v>
      </c>
      <c r="AE83" s="7" t="n">
        <v>0</v>
      </c>
      <c r="AF83" s="7" t="n">
        <v>1</v>
      </c>
      <c r="AG83" s="7" t="n">
        <v>0</v>
      </c>
      <c r="AH83" s="7" t="n">
        <v>1</v>
      </c>
      <c r="AI83" s="7" t="n">
        <v>0</v>
      </c>
      <c r="AJ83" s="7" t="n">
        <v>0</v>
      </c>
      <c r="AK83" s="7" t="n">
        <v>0</v>
      </c>
      <c r="AL83" s="7" t="n">
        <v>1</v>
      </c>
      <c r="AM83" s="7" t="n">
        <v>0</v>
      </c>
      <c r="AN83" s="7" t="n">
        <v>1</v>
      </c>
      <c r="AO83" s="7" t="n">
        <v>1</v>
      </c>
      <c r="AP83" s="7" t="n">
        <v>0</v>
      </c>
      <c r="AQ83" s="7" t="n">
        <v>0</v>
      </c>
      <c r="AR83" s="7" t="n">
        <v>1</v>
      </c>
      <c r="AS83" s="7" t="n">
        <v>1</v>
      </c>
      <c r="AT83" s="7" t="n">
        <v>1</v>
      </c>
      <c r="AU83" s="7" t="n">
        <v>0</v>
      </c>
      <c r="AV83" s="7" t="n">
        <v>0</v>
      </c>
      <c r="AW83" s="7" t="n">
        <v>0</v>
      </c>
      <c r="AX83" s="7" t="n">
        <v>0</v>
      </c>
      <c r="AY83" s="7" t="n">
        <v>0</v>
      </c>
      <c r="AZ83" s="7" t="n">
        <v>0</v>
      </c>
      <c r="BA83" s="7" t="n">
        <v>0</v>
      </c>
      <c r="BB83" s="7" t="n">
        <v>0</v>
      </c>
      <c r="BC83" s="7" t="n">
        <v>1</v>
      </c>
      <c r="BD83" s="7" t="n">
        <v>1</v>
      </c>
    </row>
    <row r="84" customFormat="false" ht="14.25" hidden="false" customHeight="false" outlineLevel="0" collapsed="false">
      <c r="A84" s="7" t="s">
        <v>476</v>
      </c>
      <c r="B84" s="7" t="n">
        <v>0</v>
      </c>
      <c r="C84" s="7" t="n">
        <v>140</v>
      </c>
      <c r="D84" s="7" t="n">
        <v>0</v>
      </c>
      <c r="E84" s="7" t="n">
        <v>1</v>
      </c>
      <c r="F84" s="7" t="n">
        <v>0</v>
      </c>
      <c r="G84" s="7" t="n">
        <v>11.67</v>
      </c>
      <c r="H84" s="7" t="n">
        <v>3</v>
      </c>
      <c r="I84" s="7" t="n">
        <v>1</v>
      </c>
      <c r="J84" s="7" t="n">
        <v>1</v>
      </c>
      <c r="K84" s="7" t="n">
        <v>0</v>
      </c>
      <c r="L84" s="7" t="n">
        <v>11</v>
      </c>
      <c r="M84" s="7" t="n">
        <v>6.55</v>
      </c>
      <c r="N84" s="7" t="n">
        <v>6.4</v>
      </c>
      <c r="O84" s="7" t="n">
        <v>60</v>
      </c>
      <c r="P84" s="7" t="n">
        <v>2.5459</v>
      </c>
      <c r="Q84" s="7" t="n">
        <v>0</v>
      </c>
      <c r="R84" s="7" t="n">
        <v>0</v>
      </c>
      <c r="S84" s="7" t="n">
        <v>0</v>
      </c>
      <c r="T84" s="7" t="n">
        <v>0</v>
      </c>
      <c r="U84" s="7" t="n">
        <v>0</v>
      </c>
      <c r="V84" s="7" t="n">
        <v>0</v>
      </c>
      <c r="W84" s="7" t="n">
        <v>0</v>
      </c>
      <c r="X84" s="7" t="n">
        <v>0</v>
      </c>
      <c r="Y84" s="7" t="n">
        <v>0</v>
      </c>
      <c r="Z84" s="7" t="n">
        <v>0</v>
      </c>
      <c r="AA84" s="7" t="n">
        <v>0</v>
      </c>
      <c r="AB84" s="7" t="n">
        <v>0</v>
      </c>
      <c r="AC84" s="7" t="n">
        <v>0</v>
      </c>
      <c r="AD84" s="7" t="n">
        <v>1</v>
      </c>
      <c r="AE84" s="7" t="n">
        <v>0</v>
      </c>
      <c r="AF84" s="7" t="n">
        <v>1</v>
      </c>
      <c r="AG84" s="7" t="n">
        <v>1</v>
      </c>
      <c r="AH84" s="7" t="n">
        <v>0</v>
      </c>
      <c r="AI84" s="7" t="n">
        <v>0</v>
      </c>
      <c r="AJ84" s="7" t="n">
        <v>0</v>
      </c>
      <c r="AK84" s="7" t="n">
        <v>0</v>
      </c>
      <c r="AL84" s="7" t="n">
        <v>0</v>
      </c>
      <c r="AM84" s="7" t="n">
        <v>0</v>
      </c>
      <c r="AN84" s="7" t="n">
        <v>0</v>
      </c>
      <c r="AO84" s="7" t="n">
        <v>0</v>
      </c>
      <c r="AP84" s="7" t="n">
        <v>0</v>
      </c>
      <c r="AQ84" s="7" t="n">
        <v>0</v>
      </c>
      <c r="AR84" s="7" t="n">
        <v>0</v>
      </c>
      <c r="AS84" s="7" t="n">
        <v>1</v>
      </c>
      <c r="AT84" s="7" t="n">
        <v>0</v>
      </c>
      <c r="AU84" s="7" t="n">
        <v>0</v>
      </c>
      <c r="AV84" s="7" t="n">
        <v>0</v>
      </c>
      <c r="AW84" s="7" t="n">
        <v>0</v>
      </c>
      <c r="AX84" s="7" t="n">
        <v>0</v>
      </c>
      <c r="AY84" s="7" t="n">
        <v>1</v>
      </c>
      <c r="AZ84" s="7" t="n">
        <v>0</v>
      </c>
      <c r="BA84" s="7" t="n">
        <v>0</v>
      </c>
      <c r="BB84" s="7" t="n">
        <v>0</v>
      </c>
      <c r="BC84" s="7" t="n">
        <v>1</v>
      </c>
      <c r="BD84" s="7" t="n">
        <v>1</v>
      </c>
    </row>
    <row r="85" customFormat="false" ht="14.25" hidden="false" customHeight="false" outlineLevel="0" collapsed="false">
      <c r="A85" s="7" t="s">
        <v>481</v>
      </c>
      <c r="B85" s="7" t="n">
        <v>0</v>
      </c>
      <c r="C85" s="7" t="n">
        <v>104</v>
      </c>
      <c r="D85" s="7" t="n">
        <v>1</v>
      </c>
      <c r="E85" s="7" t="n">
        <v>1</v>
      </c>
      <c r="F85" s="7" t="n">
        <v>0</v>
      </c>
      <c r="G85" s="7" t="n">
        <v>8.67</v>
      </c>
      <c r="H85" s="7" t="n">
        <v>3</v>
      </c>
      <c r="I85" s="7" t="n">
        <v>2</v>
      </c>
      <c r="J85" s="7" t="n">
        <v>2</v>
      </c>
      <c r="K85" s="7" t="n">
        <v>1</v>
      </c>
      <c r="L85" s="7" t="n">
        <v>8</v>
      </c>
      <c r="M85" s="7" t="n">
        <v>7.32</v>
      </c>
      <c r="N85" s="7" t="n">
        <v>5.54</v>
      </c>
      <c r="O85" s="7" t="n">
        <v>34.2</v>
      </c>
      <c r="P85" s="7" t="n">
        <v>1.4983</v>
      </c>
      <c r="Q85" s="7" t="n">
        <v>0</v>
      </c>
      <c r="R85" s="7" t="n">
        <v>0</v>
      </c>
      <c r="S85" s="7" t="n">
        <v>0</v>
      </c>
      <c r="T85" s="7" t="n">
        <v>0</v>
      </c>
      <c r="U85" s="7" t="n">
        <v>0</v>
      </c>
      <c r="V85" s="7" t="n">
        <v>0</v>
      </c>
      <c r="W85" s="7" t="n">
        <v>0</v>
      </c>
      <c r="X85" s="7" t="n">
        <v>0</v>
      </c>
      <c r="Y85" s="7" t="n">
        <v>0</v>
      </c>
      <c r="Z85" s="7" t="n">
        <v>0</v>
      </c>
      <c r="AA85" s="7" t="n">
        <v>0</v>
      </c>
      <c r="AB85" s="7" t="n">
        <v>0</v>
      </c>
      <c r="AC85" s="7" t="n">
        <v>0</v>
      </c>
      <c r="AD85" s="7" t="n">
        <v>1</v>
      </c>
      <c r="AE85" s="7" t="n">
        <v>1</v>
      </c>
      <c r="AF85" s="7" t="n">
        <v>0</v>
      </c>
      <c r="AG85" s="7" t="n">
        <v>0</v>
      </c>
      <c r="AH85" s="7" t="n">
        <v>1</v>
      </c>
      <c r="AI85" s="7" t="n">
        <v>1</v>
      </c>
      <c r="AJ85" s="7" t="n">
        <v>0</v>
      </c>
      <c r="AK85" s="7" t="n">
        <v>0</v>
      </c>
      <c r="AL85" s="7" t="n">
        <v>0</v>
      </c>
      <c r="AM85" s="7" t="n">
        <v>0</v>
      </c>
      <c r="AN85" s="7" t="n">
        <v>0</v>
      </c>
      <c r="AO85" s="7" t="n">
        <v>0</v>
      </c>
      <c r="AP85" s="7" t="n">
        <v>0</v>
      </c>
      <c r="AQ85" s="7" t="n">
        <v>1</v>
      </c>
      <c r="AR85" s="7" t="n">
        <v>0</v>
      </c>
      <c r="AS85" s="7" t="n">
        <v>0</v>
      </c>
      <c r="AT85" s="7" t="n">
        <v>0</v>
      </c>
      <c r="AU85" s="7" t="n">
        <v>0</v>
      </c>
      <c r="AV85" s="7" t="n">
        <v>0</v>
      </c>
      <c r="AW85" s="7" t="n">
        <v>0</v>
      </c>
      <c r="AX85" s="7" t="n">
        <v>0</v>
      </c>
      <c r="AY85" s="7" t="n">
        <v>0</v>
      </c>
      <c r="AZ85" s="7" t="n">
        <v>0</v>
      </c>
      <c r="BA85" s="7" t="n">
        <v>0</v>
      </c>
      <c r="BB85" s="7" t="n">
        <v>1</v>
      </c>
      <c r="BC85" s="7" t="n">
        <v>1</v>
      </c>
      <c r="BD85" s="7" t="n">
        <v>1</v>
      </c>
    </row>
    <row r="86" customFormat="false" ht="14.25" hidden="false" customHeight="false" outlineLevel="0" collapsed="false">
      <c r="A86" s="7" t="s">
        <v>487</v>
      </c>
      <c r="B86" s="7" t="n">
        <v>0</v>
      </c>
      <c r="C86" s="7" t="n">
        <v>116</v>
      </c>
      <c r="D86" s="7" t="n">
        <v>1</v>
      </c>
      <c r="E86" s="7" t="n">
        <v>1</v>
      </c>
      <c r="F86" s="7" t="n">
        <v>0</v>
      </c>
      <c r="G86" s="7" t="n">
        <v>9.67</v>
      </c>
      <c r="H86" s="7" t="n">
        <v>3</v>
      </c>
      <c r="I86" s="7" t="n">
        <v>2</v>
      </c>
      <c r="J86" s="7" t="n">
        <v>2</v>
      </c>
      <c r="K86" s="7" t="n">
        <v>0</v>
      </c>
      <c r="L86" s="7" t="n">
        <v>11</v>
      </c>
      <c r="M86" s="7" t="n">
        <v>6.59</v>
      </c>
      <c r="N86" s="7" t="n">
        <v>5.7</v>
      </c>
      <c r="O86" s="7" t="n">
        <v>55</v>
      </c>
      <c r="P86" s="7" t="n">
        <v>1.4983</v>
      </c>
      <c r="Q86" s="7" t="n">
        <v>0</v>
      </c>
      <c r="R86" s="7" t="n">
        <v>0</v>
      </c>
      <c r="S86" s="7" t="n">
        <v>0</v>
      </c>
      <c r="T86" s="7" t="n">
        <v>0</v>
      </c>
      <c r="U86" s="7" t="n">
        <v>0</v>
      </c>
      <c r="V86" s="7" t="n">
        <v>0</v>
      </c>
      <c r="W86" s="7" t="n">
        <v>0</v>
      </c>
      <c r="X86" s="7" t="n">
        <v>0</v>
      </c>
      <c r="Y86" s="7" t="n">
        <v>0</v>
      </c>
      <c r="Z86" s="7" t="n">
        <v>0</v>
      </c>
      <c r="AA86" s="7" t="n">
        <v>1</v>
      </c>
      <c r="AB86" s="7" t="n">
        <v>0</v>
      </c>
      <c r="AC86" s="7" t="n">
        <v>0</v>
      </c>
      <c r="AD86" s="7" t="n">
        <v>1</v>
      </c>
      <c r="AE86" s="7" t="n">
        <v>1</v>
      </c>
      <c r="AF86" s="7" t="n">
        <v>0</v>
      </c>
      <c r="AG86" s="7" t="n">
        <v>1</v>
      </c>
      <c r="AH86" s="7" t="n">
        <v>0</v>
      </c>
      <c r="AI86" s="7" t="n">
        <v>0</v>
      </c>
      <c r="AJ86" s="7" t="n">
        <v>0</v>
      </c>
      <c r="AK86" s="7" t="n">
        <v>0</v>
      </c>
      <c r="AL86" s="7" t="n">
        <v>1</v>
      </c>
      <c r="AM86" s="7" t="n">
        <v>0</v>
      </c>
      <c r="AN86" s="7" t="n">
        <v>0</v>
      </c>
      <c r="AO86" s="7" t="n">
        <v>1</v>
      </c>
      <c r="AP86" s="7" t="n">
        <v>1</v>
      </c>
      <c r="AQ86" s="7" t="n">
        <v>0</v>
      </c>
      <c r="AR86" s="7" t="n">
        <v>0</v>
      </c>
      <c r="AS86" s="7" t="n">
        <v>1</v>
      </c>
      <c r="AT86" s="7" t="n">
        <v>0</v>
      </c>
      <c r="AU86" s="7" t="n">
        <v>0</v>
      </c>
      <c r="AV86" s="7" t="n">
        <v>0</v>
      </c>
      <c r="AW86" s="7" t="n">
        <v>0</v>
      </c>
      <c r="AX86" s="7" t="n">
        <v>0</v>
      </c>
      <c r="AY86" s="7" t="n">
        <v>1</v>
      </c>
      <c r="AZ86" s="7" t="n">
        <v>0</v>
      </c>
      <c r="BA86" s="7" t="n">
        <v>0</v>
      </c>
      <c r="BB86" s="7" t="n">
        <v>0</v>
      </c>
      <c r="BC86" s="7" t="n">
        <v>1</v>
      </c>
      <c r="BD86" s="7" t="n">
        <v>1</v>
      </c>
    </row>
    <row r="87" customFormat="false" ht="14.25" hidden="false" customHeight="false" outlineLevel="0" collapsed="false">
      <c r="A87" s="7" t="s">
        <v>491</v>
      </c>
      <c r="B87" s="7" t="n">
        <v>0</v>
      </c>
      <c r="C87" s="7" t="n">
        <v>68</v>
      </c>
      <c r="D87" s="7" t="n">
        <v>1</v>
      </c>
      <c r="E87" s="7" t="n">
        <v>1</v>
      </c>
      <c r="F87" s="7" t="n">
        <v>0</v>
      </c>
      <c r="G87" s="7" t="n">
        <v>5.67</v>
      </c>
      <c r="H87" s="7" t="n">
        <v>3</v>
      </c>
      <c r="I87" s="7" t="n">
        <v>2</v>
      </c>
      <c r="J87" s="7" t="n">
        <v>2</v>
      </c>
      <c r="K87" s="7" t="n">
        <v>0</v>
      </c>
      <c r="L87" s="7" t="n">
        <v>25</v>
      </c>
      <c r="M87" s="7" t="n">
        <v>6.94</v>
      </c>
      <c r="N87" s="7" t="n">
        <v>5.55</v>
      </c>
      <c r="O87" s="7" t="n">
        <v>37.5</v>
      </c>
      <c r="P87" s="7" t="n">
        <v>1.4983</v>
      </c>
      <c r="Q87" s="7" t="n">
        <v>0</v>
      </c>
      <c r="R87" s="7" t="n">
        <v>0</v>
      </c>
      <c r="S87" s="7" t="n">
        <v>0</v>
      </c>
      <c r="T87" s="7" t="n">
        <v>0</v>
      </c>
      <c r="U87" s="7" t="n">
        <v>0</v>
      </c>
      <c r="V87" s="7" t="n">
        <v>0</v>
      </c>
      <c r="W87" s="7" t="n">
        <v>0</v>
      </c>
      <c r="X87" s="7" t="n">
        <v>0</v>
      </c>
      <c r="Y87" s="7" t="n">
        <v>0</v>
      </c>
      <c r="Z87" s="7" t="n">
        <v>0</v>
      </c>
      <c r="AA87" s="7" t="n">
        <v>1</v>
      </c>
      <c r="AB87" s="7" t="n">
        <v>0</v>
      </c>
      <c r="AC87" s="7" t="n">
        <v>1</v>
      </c>
      <c r="AD87" s="7" t="n">
        <v>0</v>
      </c>
      <c r="AE87" s="7" t="n">
        <v>0</v>
      </c>
      <c r="AF87" s="7" t="n">
        <v>1</v>
      </c>
      <c r="AG87" s="7" t="n">
        <v>0</v>
      </c>
      <c r="AH87" s="7" t="n">
        <v>1</v>
      </c>
      <c r="AI87" s="7" t="n">
        <v>0</v>
      </c>
      <c r="AJ87" s="7" t="n">
        <v>0</v>
      </c>
      <c r="AK87" s="7" t="n">
        <v>9.10509096125709</v>
      </c>
      <c r="AL87" s="7" t="n">
        <v>1</v>
      </c>
      <c r="AM87" s="7" t="n">
        <v>0</v>
      </c>
      <c r="AN87" s="7" t="n">
        <v>0</v>
      </c>
      <c r="AO87" s="7" t="n">
        <v>0</v>
      </c>
      <c r="AP87" s="7" t="n">
        <v>0</v>
      </c>
      <c r="AQ87" s="7" t="n">
        <v>0</v>
      </c>
      <c r="AR87" s="7" t="n">
        <v>0</v>
      </c>
      <c r="AS87" s="7" t="n">
        <v>1</v>
      </c>
      <c r="AT87" s="7" t="n">
        <v>0</v>
      </c>
      <c r="AU87" s="7" t="n">
        <v>0</v>
      </c>
      <c r="AV87" s="7" t="n">
        <v>0</v>
      </c>
      <c r="AW87" s="7" t="n">
        <v>1</v>
      </c>
      <c r="AX87" s="7" t="n">
        <v>0</v>
      </c>
      <c r="AY87" s="7" t="n">
        <v>0</v>
      </c>
      <c r="AZ87" s="7" t="n">
        <v>0</v>
      </c>
      <c r="BA87" s="7" t="n">
        <v>0</v>
      </c>
      <c r="BB87" s="7" t="n">
        <v>0</v>
      </c>
      <c r="BC87" s="7" t="n">
        <v>1</v>
      </c>
      <c r="BD87" s="7" t="n">
        <v>1</v>
      </c>
    </row>
    <row r="88" customFormat="false" ht="14.25" hidden="false" customHeight="false" outlineLevel="0" collapsed="false">
      <c r="A88" s="7" t="s">
        <v>496</v>
      </c>
      <c r="B88" s="7" t="n">
        <v>0</v>
      </c>
      <c r="C88" s="7" t="n">
        <v>152</v>
      </c>
      <c r="D88" s="7" t="n">
        <v>1</v>
      </c>
      <c r="E88" s="7" t="n">
        <v>1</v>
      </c>
      <c r="F88" s="7" t="n">
        <v>0</v>
      </c>
      <c r="G88" s="7" t="n">
        <v>12.67</v>
      </c>
      <c r="H88" s="7" t="n">
        <v>3</v>
      </c>
      <c r="I88" s="7" t="n">
        <v>1</v>
      </c>
      <c r="J88" s="7" t="n">
        <v>1</v>
      </c>
      <c r="K88" s="7" t="n">
        <v>0</v>
      </c>
      <c r="L88" s="7" t="n">
        <v>12</v>
      </c>
      <c r="M88" s="7" t="n">
        <v>6.06</v>
      </c>
      <c r="N88" s="7" t="n">
        <v>6.99</v>
      </c>
      <c r="O88" s="7" t="n">
        <v>16.7</v>
      </c>
      <c r="P88" s="7" t="n">
        <v>1.4983</v>
      </c>
      <c r="Q88" s="7" t="n">
        <v>0</v>
      </c>
      <c r="R88" s="7" t="n">
        <v>0</v>
      </c>
      <c r="S88" s="7" t="n">
        <v>0</v>
      </c>
      <c r="T88" s="7" t="n">
        <v>0</v>
      </c>
      <c r="U88" s="7" t="n">
        <v>0</v>
      </c>
      <c r="V88" s="7" t="n">
        <v>0</v>
      </c>
      <c r="W88" s="7" t="n">
        <v>0</v>
      </c>
      <c r="X88" s="7" t="n">
        <v>0</v>
      </c>
      <c r="Y88" s="7" t="n">
        <v>0</v>
      </c>
      <c r="Z88" s="7" t="n">
        <v>0</v>
      </c>
      <c r="AA88" s="7" t="n">
        <v>0</v>
      </c>
      <c r="AB88" s="7" t="n">
        <v>0</v>
      </c>
      <c r="AC88" s="7" t="n">
        <v>0</v>
      </c>
      <c r="AD88" s="7" t="n">
        <v>1</v>
      </c>
      <c r="AE88" s="7" t="n">
        <v>1</v>
      </c>
      <c r="AF88" s="7" t="n">
        <v>0</v>
      </c>
      <c r="AG88" s="7" t="n">
        <v>0</v>
      </c>
      <c r="AH88" s="7" t="n">
        <v>1</v>
      </c>
      <c r="AI88" s="7" t="n">
        <v>0</v>
      </c>
      <c r="AJ88" s="7" t="n">
        <v>0</v>
      </c>
      <c r="AK88" s="7" t="n">
        <v>0</v>
      </c>
      <c r="AL88" s="7" t="n">
        <v>1</v>
      </c>
      <c r="AM88" s="7" t="n">
        <v>1</v>
      </c>
      <c r="AN88" s="7" t="n">
        <v>0</v>
      </c>
      <c r="AO88" s="7" t="n">
        <v>1</v>
      </c>
      <c r="AP88" s="7" t="n">
        <v>1</v>
      </c>
      <c r="AQ88" s="7" t="n">
        <v>0</v>
      </c>
      <c r="AR88" s="7" t="n">
        <v>0</v>
      </c>
      <c r="AS88" s="7" t="n">
        <v>1</v>
      </c>
      <c r="AT88" s="7" t="n">
        <v>0</v>
      </c>
      <c r="AU88" s="7" t="n">
        <v>0</v>
      </c>
      <c r="AV88" s="7" t="n">
        <v>0</v>
      </c>
      <c r="AW88" s="7" t="n">
        <v>0</v>
      </c>
      <c r="AX88" s="7" t="n">
        <v>0</v>
      </c>
      <c r="AY88" s="7" t="n">
        <v>1</v>
      </c>
      <c r="AZ88" s="7" t="n">
        <v>0</v>
      </c>
      <c r="BA88" s="7" t="n">
        <v>0</v>
      </c>
      <c r="BB88" s="7" t="n">
        <v>0</v>
      </c>
      <c r="BC88" s="7" t="n">
        <v>1</v>
      </c>
      <c r="BD88" s="7" t="n">
        <v>1</v>
      </c>
    </row>
    <row r="89" customFormat="false" ht="14.25" hidden="false" customHeight="false" outlineLevel="0" collapsed="false">
      <c r="A89" s="7" t="s">
        <v>501</v>
      </c>
      <c r="B89" s="7" t="n">
        <v>0</v>
      </c>
      <c r="C89" s="7" t="n">
        <v>152</v>
      </c>
      <c r="D89" s="7" t="n">
        <v>1</v>
      </c>
      <c r="E89" s="7" t="n">
        <v>1</v>
      </c>
      <c r="F89" s="7" t="n">
        <v>0</v>
      </c>
      <c r="G89" s="7" t="n">
        <v>12.67</v>
      </c>
      <c r="H89" s="7" t="n">
        <v>3</v>
      </c>
      <c r="I89" s="7" t="n">
        <v>2</v>
      </c>
      <c r="J89" s="7" t="n">
        <v>1</v>
      </c>
      <c r="K89" s="7" t="n">
        <v>0</v>
      </c>
      <c r="L89" s="7" t="n">
        <v>12</v>
      </c>
      <c r="M89" s="7" t="n">
        <v>6.06</v>
      </c>
      <c r="N89" s="7" t="n">
        <v>6.99</v>
      </c>
      <c r="O89" s="7" t="n">
        <v>30.8</v>
      </c>
      <c r="P89" s="7" t="n">
        <v>2.1021</v>
      </c>
      <c r="Q89" s="7" t="n">
        <v>0</v>
      </c>
      <c r="R89" s="7" t="n">
        <v>0</v>
      </c>
      <c r="S89" s="7" t="n">
        <v>0</v>
      </c>
      <c r="T89" s="7" t="n">
        <v>0</v>
      </c>
      <c r="U89" s="7" t="n">
        <v>0</v>
      </c>
      <c r="V89" s="7" t="n">
        <v>0</v>
      </c>
      <c r="W89" s="7" t="n">
        <v>0</v>
      </c>
      <c r="X89" s="7" t="n">
        <v>0</v>
      </c>
      <c r="Y89" s="7" t="n">
        <v>0</v>
      </c>
      <c r="Z89" s="7" t="n">
        <v>0</v>
      </c>
      <c r="AA89" s="7" t="n">
        <v>0</v>
      </c>
      <c r="AB89" s="7" t="n">
        <v>0</v>
      </c>
      <c r="AC89" s="7" t="n">
        <v>0</v>
      </c>
      <c r="AD89" s="7" t="n">
        <v>1</v>
      </c>
      <c r="AE89" s="7" t="n">
        <v>0</v>
      </c>
      <c r="AF89" s="7" t="n">
        <v>1</v>
      </c>
      <c r="AG89" s="7" t="n">
        <v>0</v>
      </c>
      <c r="AH89" s="7" t="n">
        <v>1</v>
      </c>
      <c r="AI89" s="7" t="n">
        <v>0</v>
      </c>
      <c r="AJ89" s="7" t="n">
        <v>0</v>
      </c>
      <c r="AK89" s="7" t="n">
        <v>0</v>
      </c>
      <c r="AL89" s="7" t="n">
        <v>1</v>
      </c>
      <c r="AM89" s="7" t="n">
        <v>1</v>
      </c>
      <c r="AN89" s="7" t="n">
        <v>0</v>
      </c>
      <c r="AO89" s="7" t="n">
        <v>1</v>
      </c>
      <c r="AP89" s="7" t="n">
        <v>0</v>
      </c>
      <c r="AQ89" s="7" t="n">
        <v>0</v>
      </c>
      <c r="AR89" s="7" t="n">
        <v>0</v>
      </c>
      <c r="AS89" s="7" t="n">
        <v>1</v>
      </c>
      <c r="AT89" s="7" t="n">
        <v>0</v>
      </c>
      <c r="AU89" s="7" t="n">
        <v>0</v>
      </c>
      <c r="AV89" s="7" t="n">
        <v>0</v>
      </c>
      <c r="AW89" s="7" t="n">
        <v>0</v>
      </c>
      <c r="AX89" s="7" t="n">
        <v>0</v>
      </c>
      <c r="AY89" s="7" t="n">
        <v>1</v>
      </c>
      <c r="AZ89" s="7" t="n">
        <v>0</v>
      </c>
      <c r="BA89" s="7" t="n">
        <v>0</v>
      </c>
      <c r="BB89" s="7" t="n">
        <v>0</v>
      </c>
      <c r="BC89" s="7" t="n">
        <v>1</v>
      </c>
      <c r="BD89" s="7" t="n">
        <v>1</v>
      </c>
    </row>
    <row r="90" customFormat="false" ht="14.25" hidden="false" customHeight="false" outlineLevel="0" collapsed="false">
      <c r="A90" s="7" t="s">
        <v>505</v>
      </c>
      <c r="B90" s="7" t="n">
        <v>0</v>
      </c>
      <c r="C90" s="7" t="n">
        <v>152</v>
      </c>
      <c r="D90" s="7" t="n">
        <v>1</v>
      </c>
      <c r="E90" s="7" t="n">
        <v>1</v>
      </c>
      <c r="F90" s="7" t="n">
        <v>0</v>
      </c>
      <c r="G90" s="7" t="n">
        <v>12.67</v>
      </c>
      <c r="H90" s="7" t="n">
        <v>3</v>
      </c>
      <c r="I90" s="7" t="n">
        <v>2</v>
      </c>
      <c r="J90" s="7" t="n">
        <v>2</v>
      </c>
      <c r="K90" s="7" t="n">
        <v>0</v>
      </c>
      <c r="L90" s="7" t="n">
        <v>12</v>
      </c>
      <c r="M90" s="7" t="n">
        <v>6.06</v>
      </c>
      <c r="N90" s="7" t="n">
        <v>6.99</v>
      </c>
      <c r="O90" s="7" t="n">
        <v>60.8</v>
      </c>
      <c r="P90" s="7" t="n">
        <v>2.1021</v>
      </c>
      <c r="Q90" s="7" t="n">
        <v>0</v>
      </c>
      <c r="R90" s="7" t="n">
        <v>0</v>
      </c>
      <c r="S90" s="7" t="n">
        <v>0</v>
      </c>
      <c r="T90" s="7" t="n">
        <v>0</v>
      </c>
      <c r="U90" s="7" t="n">
        <v>0</v>
      </c>
      <c r="V90" s="7" t="n">
        <v>0</v>
      </c>
      <c r="W90" s="7" t="n">
        <v>0</v>
      </c>
      <c r="X90" s="7" t="n">
        <v>0</v>
      </c>
      <c r="Y90" s="7" t="n">
        <v>0</v>
      </c>
      <c r="Z90" s="7" t="n">
        <v>0</v>
      </c>
      <c r="AA90" s="7" t="n">
        <v>1</v>
      </c>
      <c r="AB90" s="7" t="n">
        <v>0</v>
      </c>
      <c r="AC90" s="7" t="n">
        <v>0</v>
      </c>
      <c r="AD90" s="7" t="n">
        <v>1</v>
      </c>
      <c r="AE90" s="7" t="n">
        <v>1</v>
      </c>
      <c r="AF90" s="7" t="n">
        <v>0</v>
      </c>
      <c r="AG90" s="7" t="n">
        <v>0</v>
      </c>
      <c r="AH90" s="7" t="n">
        <v>1</v>
      </c>
      <c r="AI90" s="7" t="n">
        <v>0</v>
      </c>
      <c r="AJ90" s="7" t="n">
        <v>0</v>
      </c>
      <c r="AK90" s="7" t="n">
        <v>0</v>
      </c>
      <c r="AL90" s="7" t="n">
        <v>1</v>
      </c>
      <c r="AM90" s="7" t="n">
        <v>0</v>
      </c>
      <c r="AN90" s="7" t="n">
        <v>0</v>
      </c>
      <c r="AO90" s="7" t="n">
        <v>1</v>
      </c>
      <c r="AP90" s="7" t="n">
        <v>1</v>
      </c>
      <c r="AQ90" s="7" t="n">
        <v>0</v>
      </c>
      <c r="AR90" s="7" t="n">
        <v>0</v>
      </c>
      <c r="AS90" s="7" t="n">
        <v>1</v>
      </c>
      <c r="AT90" s="7" t="n">
        <v>0</v>
      </c>
      <c r="AU90" s="7" t="n">
        <v>0</v>
      </c>
      <c r="AV90" s="7" t="n">
        <v>0</v>
      </c>
      <c r="AW90" s="7" t="n">
        <v>0</v>
      </c>
      <c r="AX90" s="7" t="n">
        <v>0</v>
      </c>
      <c r="AY90" s="7" t="n">
        <v>0</v>
      </c>
      <c r="AZ90" s="7" t="n">
        <v>1</v>
      </c>
      <c r="BA90" s="7" t="n">
        <v>0</v>
      </c>
      <c r="BB90" s="7" t="n">
        <v>0</v>
      </c>
      <c r="BC90" s="7" t="n">
        <v>1</v>
      </c>
      <c r="BD90" s="7" t="n">
        <v>1</v>
      </c>
    </row>
    <row r="91" customFormat="false" ht="14.25" hidden="false" customHeight="false" outlineLevel="0" collapsed="false">
      <c r="A91" s="7" t="s">
        <v>508</v>
      </c>
      <c r="B91" s="7" t="n">
        <v>0</v>
      </c>
      <c r="C91" s="7" t="n">
        <v>152</v>
      </c>
      <c r="D91" s="7" t="n">
        <v>1</v>
      </c>
      <c r="E91" s="7" t="n">
        <v>1</v>
      </c>
      <c r="F91" s="7" t="n">
        <v>0</v>
      </c>
      <c r="G91" s="7" t="n">
        <v>12.67</v>
      </c>
      <c r="H91" s="7" t="n">
        <v>3</v>
      </c>
      <c r="I91" s="7" t="n">
        <v>3</v>
      </c>
      <c r="J91" s="7" t="n">
        <v>3</v>
      </c>
      <c r="K91" s="7" t="n">
        <v>0</v>
      </c>
      <c r="L91" s="7" t="n">
        <v>15</v>
      </c>
      <c r="M91" s="7" t="n">
        <v>6.06</v>
      </c>
      <c r="N91" s="7" t="n">
        <v>6.99</v>
      </c>
      <c r="O91" s="7" t="n">
        <v>61.7</v>
      </c>
      <c r="P91" s="7" t="n">
        <v>1.7404</v>
      </c>
      <c r="Q91" s="7" t="n">
        <v>0</v>
      </c>
      <c r="R91" s="7" t="n">
        <v>0</v>
      </c>
      <c r="S91" s="7" t="n">
        <v>0</v>
      </c>
      <c r="T91" s="7" t="n">
        <v>0</v>
      </c>
      <c r="U91" s="7" t="n">
        <v>0</v>
      </c>
      <c r="V91" s="7" t="n">
        <v>0</v>
      </c>
      <c r="W91" s="7" t="n">
        <v>0</v>
      </c>
      <c r="X91" s="7" t="n">
        <v>0</v>
      </c>
      <c r="Y91" s="7" t="n">
        <v>0</v>
      </c>
      <c r="Z91" s="7" t="n">
        <v>0</v>
      </c>
      <c r="AA91" s="7" t="n">
        <v>1</v>
      </c>
      <c r="AB91" s="7" t="n">
        <v>0</v>
      </c>
      <c r="AC91" s="7" t="n">
        <v>1</v>
      </c>
      <c r="AD91" s="7" t="n">
        <v>0</v>
      </c>
      <c r="AE91" s="7" t="n">
        <v>0</v>
      </c>
      <c r="AF91" s="7" t="n">
        <v>1</v>
      </c>
      <c r="AG91" s="7" t="n">
        <v>0</v>
      </c>
      <c r="AH91" s="7" t="n">
        <v>1</v>
      </c>
      <c r="AI91" s="7" t="n">
        <v>0</v>
      </c>
      <c r="AJ91" s="7" t="n">
        <v>0</v>
      </c>
      <c r="AK91" s="7" t="n">
        <v>13.928840136128</v>
      </c>
      <c r="AL91" s="7" t="n">
        <v>1</v>
      </c>
      <c r="AM91" s="7" t="n">
        <v>1</v>
      </c>
      <c r="AN91" s="7" t="n">
        <v>0</v>
      </c>
      <c r="AO91" s="7" t="n">
        <v>0</v>
      </c>
      <c r="AP91" s="7" t="n">
        <v>0</v>
      </c>
      <c r="AQ91" s="7" t="n">
        <v>0</v>
      </c>
      <c r="AR91" s="7" t="n">
        <v>0</v>
      </c>
      <c r="AS91" s="7" t="n">
        <v>1</v>
      </c>
      <c r="AT91" s="7" t="n">
        <v>0</v>
      </c>
      <c r="AU91" s="7" t="n">
        <v>0</v>
      </c>
      <c r="AV91" s="7" t="n">
        <v>0</v>
      </c>
      <c r="AW91" s="7" t="n">
        <v>0</v>
      </c>
      <c r="AX91" s="7" t="n">
        <v>0</v>
      </c>
      <c r="AY91" s="7" t="n">
        <v>0</v>
      </c>
      <c r="AZ91" s="7" t="n">
        <v>1</v>
      </c>
      <c r="BA91" s="7" t="n">
        <v>0</v>
      </c>
      <c r="BB91" s="7" t="n">
        <v>0</v>
      </c>
      <c r="BC91" s="7" t="n">
        <v>1</v>
      </c>
      <c r="BD91" s="7" t="n">
        <v>1</v>
      </c>
    </row>
    <row r="92" customFormat="false" ht="14.25" hidden="false" customHeight="false" outlineLevel="0" collapsed="false">
      <c r="A92" s="7" t="s">
        <v>513</v>
      </c>
      <c r="B92" s="7" t="n">
        <v>0</v>
      </c>
      <c r="C92" s="7" t="n">
        <v>164</v>
      </c>
      <c r="D92" s="7" t="n">
        <v>1</v>
      </c>
      <c r="E92" s="7" t="n">
        <v>1</v>
      </c>
      <c r="F92" s="7" t="n">
        <v>0</v>
      </c>
      <c r="G92" s="7" t="n">
        <v>13.67</v>
      </c>
      <c r="H92" s="7" t="n">
        <v>3</v>
      </c>
      <c r="I92" s="7" t="n">
        <v>1</v>
      </c>
      <c r="J92" s="7" t="n">
        <v>2</v>
      </c>
      <c r="K92" s="7" t="n">
        <v>0</v>
      </c>
      <c r="L92" s="7" t="n">
        <v>18</v>
      </c>
      <c r="M92" s="7" t="n">
        <v>6.01</v>
      </c>
      <c r="N92" s="7" t="n">
        <v>7.53</v>
      </c>
      <c r="O92" s="7" t="n">
        <v>79.6</v>
      </c>
      <c r="P92" s="7" t="n">
        <v>2.5459</v>
      </c>
      <c r="Q92" s="7" t="n">
        <v>0</v>
      </c>
      <c r="R92" s="7" t="n">
        <v>0</v>
      </c>
      <c r="S92" s="7" t="n">
        <v>0</v>
      </c>
      <c r="T92" s="7" t="n">
        <v>0</v>
      </c>
      <c r="U92" s="7" t="n">
        <v>0</v>
      </c>
      <c r="V92" s="7" t="n">
        <v>0</v>
      </c>
      <c r="W92" s="7" t="n">
        <v>0</v>
      </c>
      <c r="X92" s="7" t="n">
        <v>0</v>
      </c>
      <c r="Y92" s="7" t="n">
        <v>0</v>
      </c>
      <c r="Z92" s="7" t="n">
        <v>0</v>
      </c>
      <c r="AA92" s="7" t="n">
        <v>0</v>
      </c>
      <c r="AB92" s="7" t="n">
        <v>0</v>
      </c>
      <c r="AC92" s="7" t="n">
        <v>0</v>
      </c>
      <c r="AD92" s="7" t="n">
        <v>1</v>
      </c>
      <c r="AE92" s="7" t="n">
        <v>0</v>
      </c>
      <c r="AF92" s="7" t="n">
        <v>1</v>
      </c>
      <c r="AG92" s="7" t="n">
        <v>0</v>
      </c>
      <c r="AH92" s="7" t="n">
        <v>1</v>
      </c>
      <c r="AI92" s="7" t="n">
        <v>0</v>
      </c>
      <c r="AJ92" s="7" t="n">
        <v>0</v>
      </c>
      <c r="AK92" s="7" t="n">
        <v>0</v>
      </c>
      <c r="AL92" s="7" t="n">
        <v>0</v>
      </c>
      <c r="AM92" s="7" t="n">
        <v>0</v>
      </c>
      <c r="AN92" s="7" t="n">
        <v>0</v>
      </c>
      <c r="AO92" s="7" t="n">
        <v>1</v>
      </c>
      <c r="AP92" s="7" t="n">
        <v>0</v>
      </c>
      <c r="AQ92" s="7" t="n">
        <v>0</v>
      </c>
      <c r="AR92" s="7" t="n">
        <v>0</v>
      </c>
      <c r="AS92" s="7" t="n">
        <v>1</v>
      </c>
      <c r="AT92" s="7" t="n">
        <v>0</v>
      </c>
      <c r="AU92" s="7" t="n">
        <v>0</v>
      </c>
      <c r="AV92" s="7" t="n">
        <v>0</v>
      </c>
      <c r="AW92" s="7" t="n">
        <v>0</v>
      </c>
      <c r="AX92" s="7" t="n">
        <v>0</v>
      </c>
      <c r="AY92" s="7" t="n">
        <v>0</v>
      </c>
      <c r="AZ92" s="7" t="n">
        <v>0</v>
      </c>
      <c r="BA92" s="7" t="n">
        <v>1</v>
      </c>
      <c r="BB92" s="7" t="n">
        <v>0</v>
      </c>
      <c r="BC92" s="7" t="n">
        <v>1</v>
      </c>
      <c r="BD92" s="7" t="n">
        <v>1</v>
      </c>
    </row>
    <row r="93" customFormat="false" ht="14.25" hidden="false" customHeight="false" outlineLevel="0" collapsed="false">
      <c r="A93" s="7" t="s">
        <v>519</v>
      </c>
      <c r="B93" s="7" t="n">
        <v>0</v>
      </c>
      <c r="C93" s="7" t="n">
        <v>68</v>
      </c>
      <c r="D93" s="7" t="n">
        <v>0</v>
      </c>
      <c r="E93" s="7" t="n">
        <v>1</v>
      </c>
      <c r="F93" s="7" t="n">
        <v>0</v>
      </c>
      <c r="G93" s="7" t="n">
        <v>5.67</v>
      </c>
      <c r="H93" s="7" t="n">
        <v>3</v>
      </c>
      <c r="I93" s="7" t="n">
        <v>1</v>
      </c>
      <c r="J93" s="7" t="n">
        <v>1</v>
      </c>
      <c r="K93" s="7" t="n">
        <v>0</v>
      </c>
      <c r="L93" s="7" t="n">
        <v>19</v>
      </c>
      <c r="M93" s="7" t="n">
        <v>6.94</v>
      </c>
      <c r="N93" s="7" t="n">
        <v>5.55</v>
      </c>
      <c r="O93" s="7" t="n">
        <v>90.8</v>
      </c>
      <c r="P93" s="7" t="n">
        <v>2.1021</v>
      </c>
      <c r="Q93" s="7" t="n">
        <v>0</v>
      </c>
      <c r="R93" s="7" t="n">
        <v>0</v>
      </c>
      <c r="S93" s="7" t="n">
        <v>0</v>
      </c>
      <c r="T93" s="7" t="n">
        <v>0</v>
      </c>
      <c r="U93" s="7" t="n">
        <v>0</v>
      </c>
      <c r="V93" s="7" t="n">
        <v>0</v>
      </c>
      <c r="W93" s="7" t="n">
        <v>0</v>
      </c>
      <c r="X93" s="7" t="n">
        <v>0</v>
      </c>
      <c r="Y93" s="7" t="n">
        <v>0</v>
      </c>
      <c r="Z93" s="7" t="n">
        <v>0</v>
      </c>
      <c r="AA93" s="7" t="n">
        <v>0</v>
      </c>
      <c r="AB93" s="7" t="n">
        <v>0</v>
      </c>
      <c r="AC93" s="7" t="n">
        <v>0</v>
      </c>
      <c r="AD93" s="7" t="n">
        <v>1</v>
      </c>
      <c r="AE93" s="7" t="n">
        <v>0</v>
      </c>
      <c r="AF93" s="7" t="n">
        <v>1</v>
      </c>
      <c r="AG93" s="7" t="n">
        <v>0</v>
      </c>
      <c r="AH93" s="7" t="n">
        <v>1</v>
      </c>
      <c r="AI93" s="7" t="n">
        <v>0</v>
      </c>
      <c r="AJ93" s="7" t="n">
        <v>0</v>
      </c>
      <c r="AK93" s="7" t="n">
        <v>0</v>
      </c>
      <c r="AL93" s="7" t="n">
        <v>0</v>
      </c>
      <c r="AM93" s="7" t="n">
        <v>0</v>
      </c>
      <c r="AN93" s="7" t="n">
        <v>0</v>
      </c>
      <c r="AO93" s="7" t="n">
        <v>1</v>
      </c>
      <c r="AP93" s="7" t="n">
        <v>0</v>
      </c>
      <c r="AQ93" s="7" t="n">
        <v>0</v>
      </c>
      <c r="AR93" s="7" t="n">
        <v>0</v>
      </c>
      <c r="AS93" s="7" t="n">
        <v>0</v>
      </c>
      <c r="AT93" s="7" t="n">
        <v>0</v>
      </c>
      <c r="AU93" s="7" t="n">
        <v>0</v>
      </c>
      <c r="AV93" s="7" t="n">
        <v>0</v>
      </c>
      <c r="AW93" s="7" t="n">
        <v>0</v>
      </c>
      <c r="AX93" s="7" t="n">
        <v>0</v>
      </c>
      <c r="AY93" s="7" t="n">
        <v>0</v>
      </c>
      <c r="AZ93" s="7" t="n">
        <v>0</v>
      </c>
      <c r="BA93" s="7" t="n">
        <v>1</v>
      </c>
      <c r="BB93" s="7" t="n">
        <v>0</v>
      </c>
      <c r="BC93" s="7" t="n">
        <v>1</v>
      </c>
      <c r="BD93" s="7" t="n">
        <v>1</v>
      </c>
    </row>
    <row r="94" customFormat="false" ht="14.25" hidden="false" customHeight="false" outlineLevel="0" collapsed="false">
      <c r="A94" s="7" t="s">
        <v>524</v>
      </c>
      <c r="B94" s="7" t="n">
        <v>0</v>
      </c>
      <c r="C94" s="7" t="n">
        <v>320</v>
      </c>
      <c r="D94" s="7" t="n">
        <v>1</v>
      </c>
      <c r="E94" s="7" t="n">
        <v>1</v>
      </c>
      <c r="F94" s="7" t="n">
        <v>1</v>
      </c>
      <c r="G94" s="7" t="n">
        <v>26.67</v>
      </c>
      <c r="H94" s="7" t="n">
        <v>3</v>
      </c>
      <c r="I94" s="7" t="n">
        <v>2</v>
      </c>
      <c r="J94" s="7" t="n">
        <v>1</v>
      </c>
      <c r="K94" s="7" t="n">
        <v>0</v>
      </c>
      <c r="L94" s="7" t="n">
        <v>26</v>
      </c>
      <c r="M94" s="7" t="n">
        <v>5.29</v>
      </c>
      <c r="N94" s="7" t="n">
        <v>2.21</v>
      </c>
      <c r="O94" s="7" t="n">
        <v>74.6</v>
      </c>
      <c r="P94" s="7" t="n">
        <v>2.5459</v>
      </c>
      <c r="Q94" s="7" t="n">
        <v>0</v>
      </c>
      <c r="R94" s="7" t="n">
        <v>0</v>
      </c>
      <c r="S94" s="7" t="n">
        <v>0</v>
      </c>
      <c r="T94" s="7" t="n">
        <v>0</v>
      </c>
      <c r="U94" s="7" t="n">
        <v>0</v>
      </c>
      <c r="V94" s="7" t="n">
        <v>0</v>
      </c>
      <c r="W94" s="7" t="n">
        <v>0</v>
      </c>
      <c r="X94" s="7" t="n">
        <v>0</v>
      </c>
      <c r="Y94" s="7" t="n">
        <v>0</v>
      </c>
      <c r="Z94" s="7" t="n">
        <v>0</v>
      </c>
      <c r="AA94" s="7" t="n">
        <v>0</v>
      </c>
      <c r="AB94" s="7" t="n">
        <v>0</v>
      </c>
      <c r="AC94" s="7" t="n">
        <v>0</v>
      </c>
      <c r="AD94" s="7" t="n">
        <v>1</v>
      </c>
      <c r="AE94" s="7" t="n">
        <v>0</v>
      </c>
      <c r="AF94" s="7" t="n">
        <v>1</v>
      </c>
      <c r="AG94" s="7" t="n">
        <v>0</v>
      </c>
      <c r="AH94" s="7" t="n">
        <v>1</v>
      </c>
      <c r="AI94" s="7" t="n">
        <v>0</v>
      </c>
      <c r="AJ94" s="7" t="n">
        <v>0</v>
      </c>
      <c r="AK94" s="7" t="n">
        <v>0</v>
      </c>
      <c r="AL94" s="7" t="n">
        <v>1</v>
      </c>
      <c r="AM94" s="7" t="n">
        <v>1</v>
      </c>
      <c r="AN94" s="7" t="n">
        <v>0</v>
      </c>
      <c r="AO94" s="7" t="n">
        <v>0</v>
      </c>
      <c r="AP94" s="7" t="n">
        <v>0</v>
      </c>
      <c r="AQ94" s="7" t="n">
        <v>1</v>
      </c>
      <c r="AR94" s="7" t="n">
        <v>0</v>
      </c>
      <c r="AS94" s="7" t="n">
        <v>0</v>
      </c>
      <c r="AT94" s="7" t="n">
        <v>0</v>
      </c>
      <c r="AU94" s="7" t="n">
        <v>0</v>
      </c>
      <c r="AV94" s="7" t="n">
        <v>0</v>
      </c>
      <c r="AW94" s="7" t="n">
        <v>0</v>
      </c>
      <c r="AX94" s="7" t="n">
        <v>0</v>
      </c>
      <c r="AY94" s="7" t="n">
        <v>0</v>
      </c>
      <c r="AZ94" s="7" t="n">
        <v>0</v>
      </c>
      <c r="BA94" s="7" t="n">
        <v>0</v>
      </c>
      <c r="BB94" s="7" t="n">
        <v>1</v>
      </c>
      <c r="BC94" s="7" t="n">
        <v>1</v>
      </c>
      <c r="BD94" s="7" t="n">
        <v>1</v>
      </c>
    </row>
    <row r="95" customFormat="false" ht="14.25" hidden="false" customHeight="false" outlineLevel="0" collapsed="false">
      <c r="A95" s="7" t="s">
        <v>530</v>
      </c>
      <c r="B95" s="7" t="n">
        <v>0</v>
      </c>
      <c r="C95" s="7" t="n">
        <v>80</v>
      </c>
      <c r="D95" s="7" t="n">
        <v>1</v>
      </c>
      <c r="E95" s="7" t="n">
        <v>1</v>
      </c>
      <c r="F95" s="7" t="n">
        <v>0</v>
      </c>
      <c r="G95" s="7" t="n">
        <v>6.67</v>
      </c>
      <c r="H95" s="7" t="n">
        <v>3</v>
      </c>
      <c r="I95" s="7" t="n">
        <v>1</v>
      </c>
      <c r="J95" s="7" t="n">
        <v>2</v>
      </c>
      <c r="K95" s="7" t="n">
        <v>0.5</v>
      </c>
      <c r="L95" s="7" t="n">
        <v>6</v>
      </c>
      <c r="M95" s="7" t="n">
        <v>3.45</v>
      </c>
      <c r="N95" s="7" t="n">
        <v>5.69</v>
      </c>
      <c r="O95" s="7" t="n">
        <v>25</v>
      </c>
      <c r="P95" s="7" t="n">
        <v>0.8129</v>
      </c>
      <c r="Q95" s="7" t="n">
        <v>0</v>
      </c>
      <c r="R95" s="7" t="n">
        <v>0</v>
      </c>
      <c r="S95" s="7" t="n">
        <v>0</v>
      </c>
      <c r="T95" s="7" t="n">
        <v>0</v>
      </c>
      <c r="U95" s="7" t="n">
        <v>0</v>
      </c>
      <c r="V95" s="7" t="n">
        <v>0</v>
      </c>
      <c r="W95" s="7" t="n">
        <v>0</v>
      </c>
      <c r="X95" s="7" t="n">
        <v>0</v>
      </c>
      <c r="Y95" s="7" t="n">
        <v>0</v>
      </c>
      <c r="Z95" s="7" t="n">
        <v>0</v>
      </c>
      <c r="AA95" s="7" t="n">
        <v>1</v>
      </c>
      <c r="AB95" s="7" t="n">
        <v>0</v>
      </c>
      <c r="AC95" s="7" t="n">
        <v>0</v>
      </c>
      <c r="AD95" s="7" t="n">
        <v>1</v>
      </c>
      <c r="AE95" s="7" t="n">
        <v>0</v>
      </c>
      <c r="AF95" s="7" t="n">
        <v>1</v>
      </c>
      <c r="AG95" s="7" t="n">
        <v>0</v>
      </c>
      <c r="AH95" s="7" t="n">
        <v>1</v>
      </c>
      <c r="AI95" s="7" t="n">
        <v>1</v>
      </c>
      <c r="AJ95" s="7" t="n">
        <v>0</v>
      </c>
      <c r="AK95" s="7" t="n">
        <v>0</v>
      </c>
      <c r="AL95" s="7" t="n">
        <v>0</v>
      </c>
      <c r="AM95" s="7" t="n">
        <v>1</v>
      </c>
      <c r="AN95" s="7" t="n">
        <v>0</v>
      </c>
      <c r="AO95" s="7" t="n">
        <v>1</v>
      </c>
      <c r="AP95" s="7" t="n">
        <v>0</v>
      </c>
      <c r="AQ95" s="7" t="n">
        <v>1</v>
      </c>
      <c r="AR95" s="7" t="n">
        <v>0</v>
      </c>
      <c r="AS95" s="7" t="n">
        <v>1</v>
      </c>
      <c r="AT95" s="7" t="n">
        <v>0</v>
      </c>
      <c r="AU95" s="7" t="n">
        <v>0</v>
      </c>
      <c r="AV95" s="7" t="n">
        <v>0</v>
      </c>
      <c r="AW95" s="7" t="n">
        <v>0</v>
      </c>
      <c r="AX95" s="7" t="n">
        <v>1</v>
      </c>
      <c r="AY95" s="7" t="n">
        <v>0</v>
      </c>
      <c r="AZ95" s="7" t="n">
        <v>0</v>
      </c>
      <c r="BA95" s="7" t="n">
        <v>0</v>
      </c>
      <c r="BB95" s="7" t="n">
        <v>0</v>
      </c>
      <c r="BC95" s="7" t="n">
        <v>1</v>
      </c>
      <c r="BD95" s="7" t="n">
        <v>1</v>
      </c>
    </row>
    <row r="96" customFormat="false" ht="14.25" hidden="false" customHeight="false" outlineLevel="0" collapsed="false">
      <c r="A96" s="7" t="s">
        <v>1319</v>
      </c>
      <c r="B96" s="7" t="n">
        <v>0</v>
      </c>
      <c r="C96" s="7" t="n">
        <v>128</v>
      </c>
      <c r="D96" s="7" t="n">
        <v>1</v>
      </c>
      <c r="E96" s="7" t="n">
        <v>1</v>
      </c>
      <c r="F96" s="7" t="n">
        <v>0</v>
      </c>
      <c r="G96" s="7" t="n">
        <v>10.67</v>
      </c>
      <c r="H96" s="7" t="n">
        <v>3</v>
      </c>
      <c r="I96" s="7" t="n">
        <v>1</v>
      </c>
      <c r="J96" s="7" t="n">
        <v>2</v>
      </c>
      <c r="K96" s="7" t="n">
        <v>0</v>
      </c>
      <c r="L96" s="7" t="n">
        <v>15</v>
      </c>
      <c r="M96" s="7" t="n">
        <v>7.11</v>
      </c>
      <c r="N96" s="7" t="n">
        <v>5.51</v>
      </c>
      <c r="O96" s="7" t="n">
        <v>54.2</v>
      </c>
      <c r="P96" s="7" t="n">
        <v>2.5459</v>
      </c>
      <c r="Q96" s="7" t="n">
        <v>0</v>
      </c>
      <c r="R96" s="7" t="n">
        <v>0</v>
      </c>
      <c r="S96" s="7" t="n">
        <v>0</v>
      </c>
      <c r="T96" s="7" t="n">
        <v>0</v>
      </c>
      <c r="U96" s="7" t="n">
        <v>0</v>
      </c>
      <c r="V96" s="7" t="n">
        <v>0</v>
      </c>
      <c r="W96" s="7" t="n">
        <v>0</v>
      </c>
      <c r="X96" s="7" t="n">
        <v>0</v>
      </c>
      <c r="Y96" s="7" t="n">
        <v>0</v>
      </c>
      <c r="Z96" s="7" t="n">
        <v>0</v>
      </c>
      <c r="AA96" s="7" t="n">
        <v>1</v>
      </c>
      <c r="AB96" s="7" t="n">
        <v>0</v>
      </c>
      <c r="AC96" s="7" t="n">
        <v>0</v>
      </c>
      <c r="AD96" s="7" t="n">
        <v>1</v>
      </c>
      <c r="AE96" s="7" t="n">
        <v>1</v>
      </c>
      <c r="AF96" s="7" t="n">
        <v>0</v>
      </c>
      <c r="AG96" s="7" t="n">
        <v>0</v>
      </c>
      <c r="AH96" s="7" t="n">
        <v>1</v>
      </c>
      <c r="AI96" s="7" t="n">
        <v>0</v>
      </c>
      <c r="AJ96" s="7" t="n">
        <v>0</v>
      </c>
      <c r="AK96" s="7" t="n">
        <v>0</v>
      </c>
      <c r="AL96" s="7" t="n">
        <v>0</v>
      </c>
      <c r="AM96" s="7" t="n">
        <v>0</v>
      </c>
      <c r="AN96" s="7" t="n">
        <v>1</v>
      </c>
      <c r="AO96" s="7" t="n">
        <v>1</v>
      </c>
      <c r="AP96" s="7" t="n">
        <v>0</v>
      </c>
      <c r="AQ96" s="7" t="n">
        <v>1</v>
      </c>
      <c r="AR96" s="7" t="n">
        <v>0</v>
      </c>
      <c r="AS96" s="7" t="n">
        <v>1</v>
      </c>
      <c r="AT96" s="7" t="n">
        <v>0</v>
      </c>
      <c r="AU96" s="7" t="n">
        <v>0</v>
      </c>
      <c r="AV96" s="7" t="n">
        <v>0</v>
      </c>
      <c r="AW96" s="7" t="n">
        <v>0</v>
      </c>
      <c r="AX96" s="7" t="n">
        <v>0</v>
      </c>
      <c r="AY96" s="7" t="n">
        <v>1</v>
      </c>
      <c r="AZ96" s="7" t="n">
        <v>0</v>
      </c>
      <c r="BA96" s="7" t="n">
        <v>0</v>
      </c>
      <c r="BB96" s="7" t="n">
        <v>0</v>
      </c>
      <c r="BC96" s="7" t="n">
        <v>1</v>
      </c>
      <c r="BD96" s="7" t="n">
        <v>1</v>
      </c>
    </row>
    <row r="97" customFormat="false" ht="14.25" hidden="false" customHeight="false" outlineLevel="0" collapsed="false">
      <c r="A97" s="7" t="s">
        <v>535</v>
      </c>
      <c r="B97" s="7" t="n">
        <v>0</v>
      </c>
      <c r="C97" s="7" t="n">
        <v>128</v>
      </c>
      <c r="D97" s="7" t="n">
        <v>1</v>
      </c>
      <c r="E97" s="7" t="n">
        <v>1</v>
      </c>
      <c r="F97" s="7" t="n">
        <v>0</v>
      </c>
      <c r="G97" s="7" t="n">
        <v>10.67</v>
      </c>
      <c r="H97" s="7" t="n">
        <v>3</v>
      </c>
      <c r="I97" s="7" t="n">
        <v>1</v>
      </c>
      <c r="J97" s="7" t="n">
        <v>2</v>
      </c>
      <c r="K97" s="7" t="n">
        <v>0</v>
      </c>
      <c r="L97" s="7" t="n">
        <v>15</v>
      </c>
      <c r="M97" s="7" t="n">
        <v>7.11</v>
      </c>
      <c r="N97" s="7" t="n">
        <v>5.51</v>
      </c>
      <c r="O97" s="7" t="n">
        <v>74.2</v>
      </c>
      <c r="P97" s="7" t="n">
        <v>2.5459</v>
      </c>
      <c r="Q97" s="7" t="n">
        <v>0</v>
      </c>
      <c r="R97" s="7" t="n">
        <v>0</v>
      </c>
      <c r="S97" s="7" t="n">
        <v>0</v>
      </c>
      <c r="T97" s="7" t="n">
        <v>0</v>
      </c>
      <c r="U97" s="7" t="n">
        <v>0</v>
      </c>
      <c r="V97" s="7" t="n">
        <v>0</v>
      </c>
      <c r="W97" s="7" t="n">
        <v>0</v>
      </c>
      <c r="X97" s="7" t="n">
        <v>0</v>
      </c>
      <c r="Y97" s="7" t="n">
        <v>0</v>
      </c>
      <c r="Z97" s="7" t="n">
        <v>0</v>
      </c>
      <c r="AA97" s="7" t="n">
        <v>1</v>
      </c>
      <c r="AB97" s="7" t="n">
        <v>0</v>
      </c>
      <c r="AC97" s="7" t="n">
        <v>0</v>
      </c>
      <c r="AD97" s="7" t="n">
        <v>1</v>
      </c>
      <c r="AE97" s="7" t="n">
        <v>1</v>
      </c>
      <c r="AF97" s="7" t="n">
        <v>0</v>
      </c>
      <c r="AG97" s="7" t="n">
        <v>0</v>
      </c>
      <c r="AH97" s="7" t="n">
        <v>1</v>
      </c>
      <c r="AI97" s="7" t="n">
        <v>0</v>
      </c>
      <c r="AJ97" s="7" t="n">
        <v>0</v>
      </c>
      <c r="AK97" s="7" t="n">
        <v>0</v>
      </c>
      <c r="AL97" s="7" t="n">
        <v>0</v>
      </c>
      <c r="AM97" s="7" t="n">
        <v>0</v>
      </c>
      <c r="AN97" s="7" t="n">
        <v>1</v>
      </c>
      <c r="AO97" s="7" t="n">
        <v>1</v>
      </c>
      <c r="AP97" s="7" t="n">
        <v>0</v>
      </c>
      <c r="AQ97" s="7" t="n">
        <v>1</v>
      </c>
      <c r="AR97" s="7" t="n">
        <v>0</v>
      </c>
      <c r="AS97" s="7" t="n">
        <v>1</v>
      </c>
      <c r="AT97" s="7" t="n">
        <v>0</v>
      </c>
      <c r="AU97" s="7" t="n">
        <v>0</v>
      </c>
      <c r="AV97" s="7" t="n">
        <v>0</v>
      </c>
      <c r="AW97" s="7" t="n">
        <v>0</v>
      </c>
      <c r="AX97" s="7" t="n">
        <v>0</v>
      </c>
      <c r="AY97" s="7" t="n">
        <v>0</v>
      </c>
      <c r="AZ97" s="7" t="n">
        <v>0</v>
      </c>
      <c r="BA97" s="7" t="n">
        <v>0</v>
      </c>
      <c r="BB97" s="7" t="n">
        <v>1</v>
      </c>
      <c r="BC97" s="7" t="n">
        <v>1</v>
      </c>
      <c r="BD97" s="7" t="n">
        <v>1</v>
      </c>
    </row>
    <row r="98" customFormat="false" ht="14.25" hidden="false" customHeight="false" outlineLevel="0" collapsed="false">
      <c r="A98" s="7" t="s">
        <v>540</v>
      </c>
      <c r="B98" s="7" t="n">
        <v>0</v>
      </c>
      <c r="C98" s="7" t="n">
        <v>356</v>
      </c>
      <c r="D98" s="7" t="n">
        <v>1</v>
      </c>
      <c r="E98" s="7" t="n">
        <v>1</v>
      </c>
      <c r="F98" s="7" t="n">
        <v>0</v>
      </c>
      <c r="G98" s="7" t="n">
        <v>29.67</v>
      </c>
      <c r="H98" s="7" t="n">
        <v>3</v>
      </c>
      <c r="I98" s="7" t="n">
        <v>2</v>
      </c>
      <c r="J98" s="7" t="n">
        <v>1</v>
      </c>
      <c r="K98" s="7" t="n">
        <v>0</v>
      </c>
      <c r="L98" s="7" t="n">
        <v>35</v>
      </c>
      <c r="M98" s="7" t="n">
        <v>4.49</v>
      </c>
      <c r="N98" s="7" t="n">
        <v>5.31</v>
      </c>
      <c r="O98" s="7" t="n">
        <v>70</v>
      </c>
      <c r="P98" s="7" t="n">
        <v>3.3981</v>
      </c>
      <c r="Q98" s="7" t="n">
        <v>0</v>
      </c>
      <c r="R98" s="7" t="n">
        <v>0</v>
      </c>
      <c r="S98" s="7" t="n">
        <v>0</v>
      </c>
      <c r="T98" s="7" t="n">
        <v>0</v>
      </c>
      <c r="U98" s="7" t="n">
        <v>0</v>
      </c>
      <c r="V98" s="7" t="n">
        <v>0</v>
      </c>
      <c r="W98" s="7" t="n">
        <v>0</v>
      </c>
      <c r="X98" s="7" t="n">
        <v>0</v>
      </c>
      <c r="Y98" s="7" t="n">
        <v>0</v>
      </c>
      <c r="Z98" s="7" t="n">
        <v>0</v>
      </c>
      <c r="AA98" s="7" t="n">
        <v>0</v>
      </c>
      <c r="AB98" s="7" t="n">
        <v>0</v>
      </c>
      <c r="AC98" s="7" t="n">
        <v>0</v>
      </c>
      <c r="AD98" s="7" t="n">
        <v>1</v>
      </c>
      <c r="AE98" s="7" t="n">
        <v>0</v>
      </c>
      <c r="AF98" s="7" t="n">
        <v>1</v>
      </c>
      <c r="AG98" s="7" t="n">
        <v>0</v>
      </c>
      <c r="AH98" s="7" t="n">
        <v>1</v>
      </c>
      <c r="AI98" s="7" t="n">
        <v>0</v>
      </c>
      <c r="AJ98" s="7" t="n">
        <v>0</v>
      </c>
      <c r="AK98" s="7" t="n">
        <v>0</v>
      </c>
      <c r="AL98" s="7" t="n">
        <v>1</v>
      </c>
      <c r="AM98" s="7" t="n">
        <v>0</v>
      </c>
      <c r="AN98" s="7" t="n">
        <v>0</v>
      </c>
      <c r="AO98" s="7" t="n">
        <v>0</v>
      </c>
      <c r="AP98" s="7" t="n">
        <v>0</v>
      </c>
      <c r="AQ98" s="7" t="n">
        <v>0</v>
      </c>
      <c r="AR98" s="7" t="n">
        <v>0</v>
      </c>
      <c r="AS98" s="7" t="n">
        <v>0</v>
      </c>
      <c r="AT98" s="7" t="n">
        <v>0</v>
      </c>
      <c r="AU98" s="7" t="n">
        <v>0</v>
      </c>
      <c r="AV98" s="7" t="n">
        <v>0</v>
      </c>
      <c r="AW98" s="7" t="n">
        <v>0</v>
      </c>
      <c r="AX98" s="7" t="n">
        <v>0</v>
      </c>
      <c r="AY98" s="7" t="n">
        <v>0</v>
      </c>
      <c r="AZ98" s="7" t="n">
        <v>0</v>
      </c>
      <c r="BA98" s="7" t="n">
        <v>0</v>
      </c>
      <c r="BB98" s="7" t="n">
        <v>1</v>
      </c>
      <c r="BC98" s="7" t="n">
        <v>1</v>
      </c>
      <c r="BD98" s="7" t="n">
        <v>1</v>
      </c>
    </row>
    <row r="99" customFormat="false" ht="14.25" hidden="false" customHeight="false" outlineLevel="0" collapsed="false">
      <c r="A99" s="7" t="s">
        <v>545</v>
      </c>
      <c r="B99" s="7" t="n">
        <v>1</v>
      </c>
      <c r="C99" s="7" t="n">
        <v>29</v>
      </c>
      <c r="D99" s="7" t="n">
        <v>1</v>
      </c>
      <c r="E99" s="7" t="n">
        <v>1</v>
      </c>
      <c r="F99" s="7" t="n">
        <v>0</v>
      </c>
      <c r="G99" s="7" t="n">
        <v>4.67</v>
      </c>
      <c r="H99" s="7" t="n">
        <v>3</v>
      </c>
      <c r="I99" s="7" t="n">
        <v>1</v>
      </c>
      <c r="J99" s="7" t="n">
        <v>1</v>
      </c>
      <c r="K99" s="7" t="n">
        <v>0</v>
      </c>
      <c r="L99" s="7" t="n">
        <v>4</v>
      </c>
      <c r="M99" s="7" t="n">
        <v>7.1</v>
      </c>
      <c r="N99" s="7" t="n">
        <v>7.7</v>
      </c>
      <c r="O99" s="7" t="n">
        <v>5.8</v>
      </c>
      <c r="P99" s="7" t="n">
        <v>1.4983</v>
      </c>
      <c r="Q99" s="7" t="n">
        <v>0</v>
      </c>
      <c r="R99" s="7" t="n">
        <v>0</v>
      </c>
      <c r="S99" s="7" t="n">
        <v>0</v>
      </c>
      <c r="T99" s="7" t="n">
        <v>0</v>
      </c>
      <c r="U99" s="7" t="n">
        <v>0</v>
      </c>
      <c r="V99" s="7" t="n">
        <v>0</v>
      </c>
      <c r="W99" s="7" t="n">
        <v>0</v>
      </c>
      <c r="X99" s="7" t="n">
        <v>0</v>
      </c>
      <c r="Y99" s="7" t="n">
        <v>0</v>
      </c>
      <c r="Z99" s="7" t="n">
        <v>0</v>
      </c>
      <c r="AA99" s="7" t="n">
        <v>1</v>
      </c>
      <c r="AB99" s="7" t="n">
        <v>0</v>
      </c>
      <c r="AC99" s="7" t="n">
        <v>0</v>
      </c>
      <c r="AD99" s="7" t="n">
        <v>1</v>
      </c>
      <c r="AE99" s="7" t="n">
        <v>0</v>
      </c>
      <c r="AF99" s="7" t="n">
        <v>1</v>
      </c>
      <c r="AG99" s="7" t="n">
        <v>0</v>
      </c>
      <c r="AH99" s="7" t="n">
        <v>1</v>
      </c>
      <c r="AI99" s="7" t="n">
        <v>0</v>
      </c>
      <c r="AJ99" s="7" t="n">
        <v>0</v>
      </c>
      <c r="AK99" s="7" t="n">
        <v>0</v>
      </c>
      <c r="AL99" s="7" t="n">
        <v>1</v>
      </c>
      <c r="AM99" s="7" t="n">
        <v>0</v>
      </c>
      <c r="AN99" s="7" t="n">
        <v>0</v>
      </c>
      <c r="AO99" s="7" t="n">
        <v>0</v>
      </c>
      <c r="AP99" s="7" t="n">
        <v>0</v>
      </c>
      <c r="AQ99" s="7" t="n">
        <v>1</v>
      </c>
      <c r="AR99" s="7" t="n">
        <v>0</v>
      </c>
      <c r="AS99" s="7" t="n">
        <v>1</v>
      </c>
      <c r="AT99" s="7" t="n">
        <v>0</v>
      </c>
      <c r="AU99" s="7" t="n">
        <v>0</v>
      </c>
      <c r="AV99" s="7" t="n">
        <v>0</v>
      </c>
      <c r="AW99" s="7" t="n">
        <v>1</v>
      </c>
      <c r="AX99" s="7" t="n">
        <v>0</v>
      </c>
      <c r="AY99" s="7" t="n">
        <v>0</v>
      </c>
      <c r="AZ99" s="7" t="n">
        <v>0</v>
      </c>
      <c r="BA99" s="7" t="n">
        <v>0</v>
      </c>
      <c r="BB99" s="7" t="n">
        <v>0</v>
      </c>
      <c r="BC99" s="7" t="n">
        <v>1</v>
      </c>
      <c r="BD99" s="7" t="n">
        <v>1</v>
      </c>
    </row>
    <row r="100" customFormat="false" ht="14.25" hidden="false" customHeight="false" outlineLevel="0" collapsed="false">
      <c r="A100" s="7" t="s">
        <v>550</v>
      </c>
      <c r="B100" s="7" t="n">
        <v>0</v>
      </c>
      <c r="C100" s="7" t="n">
        <v>80</v>
      </c>
      <c r="D100" s="7" t="n">
        <v>1</v>
      </c>
      <c r="E100" s="7" t="n">
        <v>1</v>
      </c>
      <c r="F100" s="7" t="n">
        <v>0</v>
      </c>
      <c r="G100" s="7" t="n">
        <v>6.67</v>
      </c>
      <c r="H100" s="7" t="n">
        <v>3</v>
      </c>
      <c r="I100" s="7" t="n">
        <v>1</v>
      </c>
      <c r="J100" s="7" t="n">
        <v>2</v>
      </c>
      <c r="K100" s="7" t="n">
        <v>0</v>
      </c>
      <c r="L100" s="7" t="n">
        <v>6</v>
      </c>
      <c r="M100" s="7" t="n">
        <v>3.45</v>
      </c>
      <c r="N100" s="7" t="n">
        <v>5.69</v>
      </c>
      <c r="O100" s="7" t="n">
        <v>39.2</v>
      </c>
      <c r="P100" s="7" t="n">
        <v>1.4983</v>
      </c>
      <c r="Q100" s="7" t="n">
        <v>0</v>
      </c>
      <c r="R100" s="7" t="n">
        <v>0</v>
      </c>
      <c r="S100" s="7" t="n">
        <v>0</v>
      </c>
      <c r="T100" s="7" t="n">
        <v>0</v>
      </c>
      <c r="U100" s="7" t="n">
        <v>0</v>
      </c>
      <c r="V100" s="7" t="n">
        <v>0</v>
      </c>
      <c r="W100" s="7" t="n">
        <v>0</v>
      </c>
      <c r="X100" s="7" t="n">
        <v>0</v>
      </c>
      <c r="Y100" s="7" t="n">
        <v>0</v>
      </c>
      <c r="Z100" s="7" t="n">
        <v>0</v>
      </c>
      <c r="AA100" s="7" t="n">
        <v>1</v>
      </c>
      <c r="AB100" s="7" t="n">
        <v>0</v>
      </c>
      <c r="AC100" s="7" t="n">
        <v>0</v>
      </c>
      <c r="AD100" s="7" t="n">
        <v>1</v>
      </c>
      <c r="AE100" s="7" t="n">
        <v>1</v>
      </c>
      <c r="AF100" s="7" t="n">
        <v>0</v>
      </c>
      <c r="AG100" s="7" t="n">
        <v>0</v>
      </c>
      <c r="AH100" s="7" t="n">
        <v>1</v>
      </c>
      <c r="AI100" s="7" t="n">
        <v>0</v>
      </c>
      <c r="AJ100" s="7" t="n">
        <v>0</v>
      </c>
      <c r="AK100" s="7" t="n">
        <v>0</v>
      </c>
      <c r="AL100" s="7" t="n">
        <v>1</v>
      </c>
      <c r="AM100" s="7" t="n">
        <v>0</v>
      </c>
      <c r="AN100" s="7" t="n">
        <v>0</v>
      </c>
      <c r="AO100" s="7" t="n">
        <v>0</v>
      </c>
      <c r="AP100" s="7" t="n">
        <v>0</v>
      </c>
      <c r="AQ100" s="7" t="n">
        <v>1</v>
      </c>
      <c r="AR100" s="7" t="n">
        <v>0</v>
      </c>
      <c r="AS100" s="7" t="n">
        <v>1</v>
      </c>
      <c r="AT100" s="7" t="n">
        <v>0</v>
      </c>
      <c r="AU100" s="7" t="n">
        <v>0</v>
      </c>
      <c r="AV100" s="7" t="n">
        <v>0</v>
      </c>
      <c r="AW100" s="7" t="n">
        <v>0</v>
      </c>
      <c r="AX100" s="7" t="n">
        <v>1</v>
      </c>
      <c r="AY100" s="7" t="n">
        <v>0</v>
      </c>
      <c r="AZ100" s="7" t="n">
        <v>0</v>
      </c>
      <c r="BA100" s="7" t="n">
        <v>0</v>
      </c>
      <c r="BB100" s="7" t="n">
        <v>0</v>
      </c>
      <c r="BC100" s="7" t="n">
        <v>1</v>
      </c>
      <c r="BD100" s="7" t="n">
        <v>1</v>
      </c>
    </row>
    <row r="101" customFormat="false" ht="14.25" hidden="false" customHeight="false" outlineLevel="0" collapsed="false">
      <c r="A101" s="7" t="s">
        <v>554</v>
      </c>
      <c r="B101" s="7" t="n">
        <v>0</v>
      </c>
      <c r="C101" s="7" t="n">
        <v>68</v>
      </c>
      <c r="D101" s="7" t="n">
        <v>0</v>
      </c>
      <c r="E101" s="7" t="n">
        <v>1</v>
      </c>
      <c r="F101" s="7" t="n">
        <v>0</v>
      </c>
      <c r="G101" s="7" t="n">
        <v>5.67</v>
      </c>
      <c r="H101" s="7" t="n">
        <v>3</v>
      </c>
      <c r="I101" s="7" t="n">
        <v>2</v>
      </c>
      <c r="J101" s="7" t="n">
        <v>1</v>
      </c>
      <c r="K101" s="7" t="n">
        <v>0</v>
      </c>
      <c r="L101" s="7" t="n">
        <v>30</v>
      </c>
      <c r="M101" s="7" t="n">
        <v>6.94</v>
      </c>
      <c r="N101" s="7" t="n">
        <v>5.55</v>
      </c>
      <c r="O101" s="7" t="n">
        <v>58.3</v>
      </c>
      <c r="P101" s="7" t="n">
        <v>2.1021</v>
      </c>
      <c r="Q101" s="7" t="n">
        <v>0</v>
      </c>
      <c r="R101" s="7" t="n">
        <v>0</v>
      </c>
      <c r="S101" s="7" t="n">
        <v>0</v>
      </c>
      <c r="T101" s="7" t="n">
        <v>0</v>
      </c>
      <c r="U101" s="7" t="n">
        <v>0</v>
      </c>
      <c r="V101" s="7" t="n">
        <v>0</v>
      </c>
      <c r="W101" s="7" t="n">
        <v>0</v>
      </c>
      <c r="X101" s="7" t="n">
        <v>0</v>
      </c>
      <c r="Y101" s="7" t="n">
        <v>0</v>
      </c>
      <c r="Z101" s="7" t="n">
        <v>0</v>
      </c>
      <c r="AA101" s="7" t="n">
        <v>0</v>
      </c>
      <c r="AB101" s="7" t="n">
        <v>0</v>
      </c>
      <c r="AC101" s="7" t="n">
        <v>0</v>
      </c>
      <c r="AD101" s="7" t="n">
        <v>1</v>
      </c>
      <c r="AE101" s="7" t="n">
        <v>1</v>
      </c>
      <c r="AF101" s="7" t="n">
        <v>0</v>
      </c>
      <c r="AG101" s="7" t="n">
        <v>0</v>
      </c>
      <c r="AH101" s="7" t="n">
        <v>1</v>
      </c>
      <c r="AI101" s="7" t="n">
        <v>0</v>
      </c>
      <c r="AJ101" s="7" t="n">
        <v>0</v>
      </c>
      <c r="AK101" s="7" t="n">
        <v>0</v>
      </c>
      <c r="AL101" s="7" t="n">
        <v>0</v>
      </c>
      <c r="AM101" s="7" t="n">
        <v>0</v>
      </c>
      <c r="AN101" s="7" t="n">
        <v>0</v>
      </c>
      <c r="AO101" s="7" t="n">
        <v>0</v>
      </c>
      <c r="AP101" s="7" t="n">
        <v>0</v>
      </c>
      <c r="AQ101" s="7" t="n">
        <v>1</v>
      </c>
      <c r="AR101" s="7" t="n">
        <v>0</v>
      </c>
      <c r="AS101" s="7" t="n">
        <v>0</v>
      </c>
      <c r="AT101" s="7" t="n">
        <v>0</v>
      </c>
      <c r="AU101" s="7" t="n">
        <v>0</v>
      </c>
      <c r="AV101" s="7" t="n">
        <v>0</v>
      </c>
      <c r="AW101" s="7" t="n">
        <v>0</v>
      </c>
      <c r="AX101" s="7" t="n">
        <v>1</v>
      </c>
      <c r="AY101" s="7" t="n">
        <v>0</v>
      </c>
      <c r="AZ101" s="7" t="n">
        <v>0</v>
      </c>
      <c r="BA101" s="7" t="n">
        <v>0</v>
      </c>
      <c r="BB101" s="7" t="n">
        <v>0</v>
      </c>
      <c r="BC101" s="7" t="n">
        <v>1</v>
      </c>
      <c r="BD101" s="7" t="n">
        <v>1</v>
      </c>
    </row>
  </sheetData>
  <autoFilter ref="A1:BD1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6796875" defaultRowHeight="14.2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6" min="3" style="0" width="16"/>
    <col collapsed="false" customWidth="true" hidden="false" outlineLevel="0" max="7" min="7" style="0" width="40"/>
    <col collapsed="false" customWidth="true" hidden="false" outlineLevel="0" max="13" min="8" style="0" width="16"/>
    <col collapsed="false" customWidth="true" hidden="false" outlineLevel="0" max="14" min="14" style="0" width="22"/>
    <col collapsed="false" customWidth="true" hidden="false" outlineLevel="0" max="15" min="15" style="0" width="16"/>
    <col collapsed="false" customWidth="true" hidden="false" outlineLevel="0" max="16" min="16" style="0" width="40"/>
    <col collapsed="false" customWidth="true" hidden="false" outlineLevel="0" max="17" min="17" style="0" width="22"/>
    <col collapsed="false" customWidth="true" hidden="false" outlineLevel="0" max="18" min="18" style="0" width="16"/>
  </cols>
  <sheetData>
    <row r="1" customFormat="false" ht="42" hidden="false" customHeight="true" outlineLevel="0" collapsed="false">
      <c r="A1" s="5" t="s">
        <v>0</v>
      </c>
      <c r="B1" s="5" t="s">
        <v>1320</v>
      </c>
      <c r="C1" s="5" t="s">
        <v>1321</v>
      </c>
      <c r="D1" s="5" t="s">
        <v>1322</v>
      </c>
      <c r="E1" s="5" t="s">
        <v>1323</v>
      </c>
      <c r="F1" s="5" t="s">
        <v>1324</v>
      </c>
      <c r="G1" s="5" t="s">
        <v>1325</v>
      </c>
      <c r="H1" s="6" t="s">
        <v>1326</v>
      </c>
      <c r="I1" s="6" t="s">
        <v>1327</v>
      </c>
      <c r="J1" s="6" t="s">
        <v>1328</v>
      </c>
      <c r="K1" s="6" t="s">
        <v>1329</v>
      </c>
      <c r="L1" s="6" t="s">
        <v>1330</v>
      </c>
      <c r="M1" s="5" t="s">
        <v>1331</v>
      </c>
      <c r="N1" s="5" t="s">
        <v>1332</v>
      </c>
      <c r="O1" s="6" t="s">
        <v>45</v>
      </c>
      <c r="P1" s="5" t="s">
        <v>1333</v>
      </c>
      <c r="Q1" s="5" t="s">
        <v>1334</v>
      </c>
      <c r="R1" s="5" t="s">
        <v>1335</v>
      </c>
    </row>
    <row r="2" customFormat="false" ht="14.25" hidden="false" customHeight="false" outlineLevel="0" collapsed="false">
      <c r="A2" s="7" t="s">
        <v>87</v>
      </c>
      <c r="B2" s="7" t="s">
        <v>1336</v>
      </c>
      <c r="C2" s="7" t="n">
        <v>1</v>
      </c>
      <c r="D2" s="7" t="n">
        <v>1</v>
      </c>
      <c r="E2" s="7" t="n">
        <v>0</v>
      </c>
      <c r="F2" s="7" t="s">
        <v>1337</v>
      </c>
      <c r="G2" s="7" t="s">
        <v>1338</v>
      </c>
      <c r="H2" s="7" t="n">
        <v>2</v>
      </c>
      <c r="I2" s="7" t="s">
        <v>98</v>
      </c>
      <c r="J2" s="7" t="n">
        <v>0</v>
      </c>
      <c r="K2" s="7" t="n">
        <v>1</v>
      </c>
      <c r="L2" s="7" t="n">
        <v>15</v>
      </c>
      <c r="M2" s="7" t="n">
        <v>1</v>
      </c>
      <c r="N2" s="7"/>
      <c r="O2" s="7"/>
      <c r="P2" s="7" t="s">
        <v>1339</v>
      </c>
      <c r="Q2" s="7" t="s">
        <v>1340</v>
      </c>
      <c r="R2" s="7" t="s">
        <v>1337</v>
      </c>
    </row>
    <row r="3" customFormat="false" ht="14.25" hidden="false" customHeight="false" outlineLevel="0" collapsed="false">
      <c r="A3" s="7" t="s">
        <v>87</v>
      </c>
      <c r="B3" s="7" t="s">
        <v>1341</v>
      </c>
      <c r="C3" s="7" t="n">
        <v>1</v>
      </c>
      <c r="D3" s="7" t="n">
        <v>1</v>
      </c>
      <c r="E3" s="7" t="n">
        <v>0</v>
      </c>
      <c r="F3" s="7" t="s">
        <v>1337</v>
      </c>
      <c r="G3" s="7" t="s">
        <v>1342</v>
      </c>
      <c r="H3" s="7" t="n">
        <v>2</v>
      </c>
      <c r="I3" s="7" t="s">
        <v>98</v>
      </c>
      <c r="J3" s="7" t="n">
        <v>1</v>
      </c>
      <c r="K3" s="7" t="n">
        <v>1</v>
      </c>
      <c r="L3" s="7" t="n">
        <v>25</v>
      </c>
      <c r="M3" s="7" t="n">
        <v>1</v>
      </c>
      <c r="N3" s="7"/>
      <c r="O3" s="7"/>
      <c r="P3" s="7" t="s">
        <v>1343</v>
      </c>
      <c r="Q3" s="7" t="s">
        <v>1344</v>
      </c>
      <c r="R3" s="7" t="s">
        <v>1337</v>
      </c>
    </row>
    <row r="4" customFormat="false" ht="14.25" hidden="false" customHeight="false" outlineLevel="0" collapsed="false">
      <c r="A4" s="7" t="s">
        <v>106</v>
      </c>
      <c r="B4" s="7" t="s">
        <v>1345</v>
      </c>
      <c r="C4" s="7" t="n">
        <v>1</v>
      </c>
      <c r="D4" s="7" t="n">
        <v>1</v>
      </c>
      <c r="E4" s="7" t="n">
        <v>0</v>
      </c>
      <c r="F4" s="7" t="s">
        <v>1337</v>
      </c>
      <c r="G4" s="7" t="s">
        <v>1346</v>
      </c>
      <c r="H4" s="7" t="n">
        <v>2</v>
      </c>
      <c r="I4" s="7" t="s">
        <v>98</v>
      </c>
      <c r="J4" s="7" t="n">
        <v>0</v>
      </c>
      <c r="K4" s="7" t="n">
        <v>1</v>
      </c>
      <c r="L4" s="7" t="n">
        <v>11</v>
      </c>
      <c r="M4" s="7" t="n">
        <v>0</v>
      </c>
      <c r="N4" s="7"/>
      <c r="O4" s="7"/>
      <c r="P4" s="7" t="s">
        <v>1347</v>
      </c>
      <c r="Q4" s="7" t="s">
        <v>1348</v>
      </c>
      <c r="R4" s="7" t="s">
        <v>1337</v>
      </c>
    </row>
    <row r="5" customFormat="false" ht="14.25" hidden="false" customHeight="false" outlineLevel="0" collapsed="false">
      <c r="A5" s="7" t="s">
        <v>110</v>
      </c>
      <c r="B5" s="7" t="s">
        <v>1349</v>
      </c>
      <c r="C5" s="7" t="n">
        <v>1</v>
      </c>
      <c r="D5" s="7" t="n">
        <v>1</v>
      </c>
      <c r="E5" s="7" t="n">
        <v>0</v>
      </c>
      <c r="F5" s="7" t="s">
        <v>1337</v>
      </c>
      <c r="G5" s="7"/>
      <c r="H5" s="7"/>
      <c r="I5" s="7"/>
      <c r="J5" s="7"/>
      <c r="K5" s="7"/>
      <c r="L5" s="7" t="n">
        <v>30</v>
      </c>
      <c r="M5" s="7" t="n">
        <v>1</v>
      </c>
      <c r="N5" s="7" t="s">
        <v>1350</v>
      </c>
      <c r="O5" s="7" t="n">
        <v>8965</v>
      </c>
      <c r="P5" s="7"/>
      <c r="Q5" s="7"/>
      <c r="R5" s="7" t="s">
        <v>1337</v>
      </c>
    </row>
    <row r="6" customFormat="false" ht="14.25" hidden="false" customHeight="false" outlineLevel="0" collapsed="false">
      <c r="A6" s="7" t="s">
        <v>117</v>
      </c>
      <c r="B6" s="7" t="s">
        <v>1351</v>
      </c>
      <c r="C6" s="7" t="n">
        <v>1</v>
      </c>
      <c r="D6" s="7" t="n">
        <v>1</v>
      </c>
      <c r="E6" s="7" t="n">
        <v>0</v>
      </c>
      <c r="F6" s="7" t="s">
        <v>1337</v>
      </c>
      <c r="G6" s="7" t="s">
        <v>1352</v>
      </c>
      <c r="H6" s="7" t="n">
        <v>3</v>
      </c>
      <c r="I6" s="7" t="s">
        <v>120</v>
      </c>
      <c r="J6" s="7" t="n">
        <v>1</v>
      </c>
      <c r="K6" s="7" t="n">
        <v>1</v>
      </c>
      <c r="L6" s="7" t="n">
        <v>23</v>
      </c>
      <c r="M6" s="7" t="n">
        <v>1</v>
      </c>
      <c r="N6" s="7" t="s">
        <v>1353</v>
      </c>
      <c r="O6" s="7" t="n">
        <v>260</v>
      </c>
      <c r="P6" s="7" t="s">
        <v>1354</v>
      </c>
      <c r="Q6" s="7" t="s">
        <v>1355</v>
      </c>
      <c r="R6" s="7" t="s">
        <v>1337</v>
      </c>
    </row>
    <row r="7" customFormat="false" ht="14.25" hidden="false" customHeight="false" outlineLevel="0" collapsed="false">
      <c r="A7" s="7" t="s">
        <v>123</v>
      </c>
      <c r="B7" s="7" t="s">
        <v>1356</v>
      </c>
      <c r="C7" s="7" t="n">
        <v>1</v>
      </c>
      <c r="D7" s="7" t="n">
        <v>1</v>
      </c>
      <c r="E7" s="7" t="n">
        <v>0</v>
      </c>
      <c r="F7" s="7" t="s">
        <v>1337</v>
      </c>
      <c r="G7" s="7" t="s">
        <v>1357</v>
      </c>
      <c r="H7" s="7" t="n">
        <v>2</v>
      </c>
      <c r="I7" s="7" t="s">
        <v>98</v>
      </c>
      <c r="J7" s="7" t="n">
        <v>0</v>
      </c>
      <c r="K7" s="7" t="n">
        <v>0</v>
      </c>
      <c r="L7" s="7" t="n">
        <v>20</v>
      </c>
      <c r="M7" s="7" t="n">
        <v>1</v>
      </c>
      <c r="N7" s="7"/>
      <c r="O7" s="7"/>
      <c r="P7" s="7" t="s">
        <v>1358</v>
      </c>
      <c r="Q7" s="7" t="s">
        <v>1359</v>
      </c>
      <c r="R7" s="7" t="s">
        <v>1337</v>
      </c>
    </row>
    <row r="8" customFormat="false" ht="14.25" hidden="false" customHeight="false" outlineLevel="0" collapsed="false">
      <c r="A8" s="7" t="s">
        <v>127</v>
      </c>
      <c r="B8" s="7" t="s">
        <v>1360</v>
      </c>
      <c r="C8" s="7" t="n">
        <v>1</v>
      </c>
      <c r="D8" s="7" t="n">
        <v>0</v>
      </c>
      <c r="E8" s="7" t="n">
        <v>1</v>
      </c>
      <c r="F8" s="7" t="s">
        <v>1361</v>
      </c>
      <c r="G8" s="7" t="s">
        <v>1362</v>
      </c>
      <c r="H8" s="7" t="n">
        <v>2</v>
      </c>
      <c r="I8" s="7" t="s">
        <v>98</v>
      </c>
      <c r="J8" s="7" t="n">
        <v>1</v>
      </c>
      <c r="K8" s="7" t="n">
        <v>1</v>
      </c>
      <c r="L8" s="7" t="n">
        <v>20</v>
      </c>
      <c r="M8" s="7" t="n">
        <v>1</v>
      </c>
      <c r="N8" s="7"/>
      <c r="O8" s="7"/>
      <c r="P8" s="7" t="s">
        <v>1355</v>
      </c>
      <c r="Q8" s="7" t="s">
        <v>1355</v>
      </c>
      <c r="R8" s="7" t="s">
        <v>1361</v>
      </c>
    </row>
    <row r="9" customFormat="false" ht="14.25" hidden="false" customHeight="false" outlineLevel="0" collapsed="false">
      <c r="A9" s="7" t="s">
        <v>127</v>
      </c>
      <c r="B9" s="7" t="s">
        <v>1363</v>
      </c>
      <c r="C9" s="7" t="n">
        <v>1</v>
      </c>
      <c r="D9" s="7" t="n">
        <v>1</v>
      </c>
      <c r="E9" s="7" t="n">
        <v>0</v>
      </c>
      <c r="F9" s="7" t="s">
        <v>1337</v>
      </c>
      <c r="G9" s="7" t="s">
        <v>1364</v>
      </c>
      <c r="H9" s="7" t="n">
        <v>2</v>
      </c>
      <c r="I9" s="7" t="s">
        <v>98</v>
      </c>
      <c r="J9" s="7" t="n">
        <v>1</v>
      </c>
      <c r="K9" s="7" t="n">
        <v>1</v>
      </c>
      <c r="L9" s="7" t="n">
        <v>25</v>
      </c>
      <c r="M9" s="7" t="n">
        <v>1</v>
      </c>
      <c r="N9" s="7"/>
      <c r="O9" s="7"/>
      <c r="P9" s="7" t="s">
        <v>1365</v>
      </c>
      <c r="Q9" s="7" t="s">
        <v>1355</v>
      </c>
      <c r="R9" s="7" t="s">
        <v>1337</v>
      </c>
    </row>
    <row r="10" customFormat="false" ht="14.25" hidden="false" customHeight="false" outlineLevel="0" collapsed="false">
      <c r="A10" s="7" t="s">
        <v>131</v>
      </c>
      <c r="B10" s="7" t="s">
        <v>1366</v>
      </c>
      <c r="C10" s="7" t="n">
        <v>1</v>
      </c>
      <c r="D10" s="7" t="n">
        <v>0</v>
      </c>
      <c r="E10" s="7" t="n">
        <v>0</v>
      </c>
      <c r="F10" s="7" t="s">
        <v>262</v>
      </c>
      <c r="G10" s="7"/>
      <c r="H10" s="7"/>
      <c r="I10" s="7"/>
      <c r="J10" s="7"/>
      <c r="K10" s="7"/>
      <c r="L10" s="7"/>
      <c r="M10" s="7" t="n">
        <v>0</v>
      </c>
      <c r="N10" s="7" t="s">
        <v>1367</v>
      </c>
      <c r="O10" s="7" t="n">
        <v>200</v>
      </c>
      <c r="P10" s="7"/>
      <c r="Q10" s="7"/>
      <c r="R10" s="7"/>
    </row>
    <row r="11" customFormat="false" ht="14.25" hidden="false" customHeight="false" outlineLevel="0" collapsed="false">
      <c r="A11" s="7" t="s">
        <v>131</v>
      </c>
      <c r="B11" s="7" t="s">
        <v>1368</v>
      </c>
      <c r="C11" s="7" t="n">
        <v>1</v>
      </c>
      <c r="D11" s="7" t="n">
        <v>1</v>
      </c>
      <c r="E11" s="7" t="n">
        <v>0</v>
      </c>
      <c r="F11" s="7" t="s">
        <v>1337</v>
      </c>
      <c r="G11" s="7" t="s">
        <v>1369</v>
      </c>
      <c r="H11" s="7" t="n">
        <v>0</v>
      </c>
      <c r="I11" s="7" t="s">
        <v>136</v>
      </c>
      <c r="J11" s="7" t="n">
        <v>0</v>
      </c>
      <c r="K11" s="7" t="n">
        <v>1</v>
      </c>
      <c r="L11" s="7" t="n">
        <v>15</v>
      </c>
      <c r="M11" s="7" t="n">
        <v>1</v>
      </c>
      <c r="N11" s="7" t="s">
        <v>1367</v>
      </c>
      <c r="O11" s="7" t="n">
        <v>200</v>
      </c>
      <c r="P11" s="7" t="s">
        <v>1370</v>
      </c>
      <c r="Q11" s="7" t="s">
        <v>1371</v>
      </c>
      <c r="R11" s="7" t="s">
        <v>1337</v>
      </c>
    </row>
    <row r="12" customFormat="false" ht="14.25" hidden="false" customHeight="false" outlineLevel="0" collapsed="false">
      <c r="A12" s="7" t="s">
        <v>144</v>
      </c>
      <c r="B12" s="7" t="s">
        <v>1372</v>
      </c>
      <c r="C12" s="7" t="n">
        <v>1</v>
      </c>
      <c r="D12" s="7" t="n">
        <v>1</v>
      </c>
      <c r="E12" s="7" t="n">
        <v>0</v>
      </c>
      <c r="F12" s="7" t="s">
        <v>1337</v>
      </c>
      <c r="G12" s="7" t="s">
        <v>1373</v>
      </c>
      <c r="H12" s="7" t="n">
        <v>1</v>
      </c>
      <c r="I12" s="7" t="s">
        <v>147</v>
      </c>
      <c r="J12" s="7" t="n">
        <v>1</v>
      </c>
      <c r="K12" s="7" t="n">
        <v>1</v>
      </c>
      <c r="L12" s="7" t="n">
        <v>10</v>
      </c>
      <c r="M12" s="7" t="n">
        <v>1</v>
      </c>
      <c r="N12" s="7"/>
      <c r="O12" s="7"/>
      <c r="P12" s="7" t="s">
        <v>1374</v>
      </c>
      <c r="Q12" s="7" t="s">
        <v>1355</v>
      </c>
      <c r="R12" s="7" t="s">
        <v>1337</v>
      </c>
    </row>
    <row r="13" customFormat="false" ht="14.25" hidden="false" customHeight="false" outlineLevel="0" collapsed="false">
      <c r="A13" s="7" t="s">
        <v>150</v>
      </c>
      <c r="B13" s="7" t="s">
        <v>1375</v>
      </c>
      <c r="C13" s="7" t="n">
        <v>1</v>
      </c>
      <c r="D13" s="7" t="n">
        <v>1</v>
      </c>
      <c r="E13" s="7" t="n">
        <v>0</v>
      </c>
      <c r="F13" s="7" t="s">
        <v>1337</v>
      </c>
      <c r="G13" s="7" t="s">
        <v>1376</v>
      </c>
      <c r="H13" s="7" t="n">
        <v>2</v>
      </c>
      <c r="I13" s="7" t="s">
        <v>98</v>
      </c>
      <c r="J13" s="7" t="n">
        <v>1</v>
      </c>
      <c r="K13" s="7" t="n">
        <v>1</v>
      </c>
      <c r="L13" s="7" t="n">
        <v>25</v>
      </c>
      <c r="M13" s="7" t="n">
        <v>1</v>
      </c>
      <c r="N13" s="7"/>
      <c r="O13" s="7"/>
      <c r="P13" s="7" t="s">
        <v>1355</v>
      </c>
      <c r="Q13" s="7" t="s">
        <v>1377</v>
      </c>
      <c r="R13" s="7" t="s">
        <v>1337</v>
      </c>
    </row>
    <row r="14" customFormat="false" ht="14.25" hidden="false" customHeight="false" outlineLevel="0" collapsed="false">
      <c r="A14" s="7" t="s">
        <v>152</v>
      </c>
      <c r="B14" s="7" t="s">
        <v>1378</v>
      </c>
      <c r="C14" s="7" t="n">
        <v>1</v>
      </c>
      <c r="D14" s="7" t="n">
        <v>1</v>
      </c>
      <c r="E14" s="7" t="n">
        <v>0</v>
      </c>
      <c r="F14" s="7" t="s">
        <v>1337</v>
      </c>
      <c r="G14" s="7"/>
      <c r="H14" s="7"/>
      <c r="I14" s="7"/>
      <c r="J14" s="7"/>
      <c r="K14" s="7" t="n">
        <v>1</v>
      </c>
      <c r="L14" s="7" t="n">
        <v>17</v>
      </c>
      <c r="M14" s="7" t="n">
        <v>1</v>
      </c>
      <c r="N14" s="7" t="s">
        <v>155</v>
      </c>
      <c r="O14" s="7" t="n">
        <v>5.5</v>
      </c>
      <c r="P14" s="7" t="s">
        <v>1379</v>
      </c>
      <c r="Q14" s="7"/>
      <c r="R14" s="7" t="s">
        <v>1337</v>
      </c>
    </row>
    <row r="15" customFormat="false" ht="14.25" hidden="false" customHeight="false" outlineLevel="0" collapsed="false">
      <c r="A15" s="7" t="s">
        <v>156</v>
      </c>
      <c r="B15" s="7" t="s">
        <v>1380</v>
      </c>
      <c r="C15" s="7" t="n">
        <v>1</v>
      </c>
      <c r="D15" s="7" t="n">
        <v>1</v>
      </c>
      <c r="E15" s="7" t="n">
        <v>0</v>
      </c>
      <c r="F15" s="7" t="s">
        <v>1337</v>
      </c>
      <c r="G15" s="7" t="s">
        <v>1381</v>
      </c>
      <c r="H15" s="7" t="n">
        <v>3</v>
      </c>
      <c r="I15" s="7" t="s">
        <v>120</v>
      </c>
      <c r="J15" s="7" t="n">
        <v>0</v>
      </c>
      <c r="K15" s="7" t="n">
        <v>1</v>
      </c>
      <c r="L15" s="7" t="n">
        <v>20</v>
      </c>
      <c r="M15" s="7" t="n">
        <v>1</v>
      </c>
      <c r="N15" s="7" t="s">
        <v>1382</v>
      </c>
      <c r="O15" s="7" t="n">
        <v>30.5</v>
      </c>
      <c r="P15" s="7" t="s">
        <v>1383</v>
      </c>
      <c r="Q15" s="7" t="s">
        <v>1371</v>
      </c>
      <c r="R15" s="7" t="s">
        <v>1337</v>
      </c>
    </row>
    <row r="16" customFormat="false" ht="14.25" hidden="false" customHeight="false" outlineLevel="0" collapsed="false">
      <c r="A16" s="7" t="s">
        <v>162</v>
      </c>
      <c r="B16" s="7" t="s">
        <v>1384</v>
      </c>
      <c r="C16" s="7" t="n">
        <v>1</v>
      </c>
      <c r="D16" s="7" t="n">
        <v>1</v>
      </c>
      <c r="E16" s="7" t="n">
        <v>0</v>
      </c>
      <c r="F16" s="7" t="s">
        <v>1337</v>
      </c>
      <c r="G16" s="7" t="s">
        <v>1385</v>
      </c>
      <c r="H16" s="7" t="n">
        <v>1</v>
      </c>
      <c r="I16" s="7" t="s">
        <v>147</v>
      </c>
      <c r="J16" s="7" t="n">
        <v>0</v>
      </c>
      <c r="K16" s="7" t="n">
        <v>1</v>
      </c>
      <c r="L16" s="7" t="n">
        <v>10</v>
      </c>
      <c r="M16" s="7" t="n">
        <v>1</v>
      </c>
      <c r="N16" s="7" t="s">
        <v>1386</v>
      </c>
      <c r="O16" s="7" t="n">
        <v>1549.5</v>
      </c>
      <c r="P16" s="7" t="s">
        <v>1387</v>
      </c>
      <c r="Q16" s="7" t="s">
        <v>1371</v>
      </c>
      <c r="R16" s="7" t="s">
        <v>1337</v>
      </c>
    </row>
    <row r="17" customFormat="false" ht="14.25" hidden="false" customHeight="false" outlineLevel="0" collapsed="false">
      <c r="A17" s="7" t="s">
        <v>162</v>
      </c>
      <c r="B17" s="7" t="s">
        <v>1388</v>
      </c>
      <c r="C17" s="7" t="n">
        <v>1</v>
      </c>
      <c r="D17" s="7" t="n">
        <v>1</v>
      </c>
      <c r="E17" s="7" t="n">
        <v>0</v>
      </c>
      <c r="F17" s="7" t="s">
        <v>1337</v>
      </c>
      <c r="G17" s="7" t="s">
        <v>1389</v>
      </c>
      <c r="H17" s="7" t="n">
        <v>2</v>
      </c>
      <c r="I17" s="7" t="s">
        <v>98</v>
      </c>
      <c r="J17" s="7" t="n">
        <v>0</v>
      </c>
      <c r="K17" s="7" t="n">
        <v>0</v>
      </c>
      <c r="L17" s="7" t="n">
        <v>10</v>
      </c>
      <c r="M17" s="7" t="n">
        <v>1</v>
      </c>
      <c r="N17" s="7" t="s">
        <v>1386</v>
      </c>
      <c r="O17" s="7" t="n">
        <v>1549.5</v>
      </c>
      <c r="P17" s="7" t="s">
        <v>1371</v>
      </c>
      <c r="Q17" s="7" t="s">
        <v>1371</v>
      </c>
      <c r="R17" s="7" t="s">
        <v>1337</v>
      </c>
    </row>
    <row r="18" customFormat="false" ht="14.25" hidden="false" customHeight="false" outlineLevel="0" collapsed="false">
      <c r="A18" s="7" t="s">
        <v>162</v>
      </c>
      <c r="B18" s="7" t="s">
        <v>1390</v>
      </c>
      <c r="C18" s="7" t="n">
        <v>1</v>
      </c>
      <c r="D18" s="7" t="n">
        <v>1</v>
      </c>
      <c r="E18" s="7" t="n">
        <v>0</v>
      </c>
      <c r="F18" s="7" t="s">
        <v>1337</v>
      </c>
      <c r="G18" s="7" t="s">
        <v>1391</v>
      </c>
      <c r="H18" s="7" t="n">
        <v>1</v>
      </c>
      <c r="I18" s="7" t="s">
        <v>147</v>
      </c>
      <c r="J18" s="7" t="n">
        <v>1</v>
      </c>
      <c r="K18" s="7" t="n">
        <v>1</v>
      </c>
      <c r="L18" s="7"/>
      <c r="M18" s="7" t="n">
        <v>0</v>
      </c>
      <c r="N18" s="7" t="s">
        <v>1386</v>
      </c>
      <c r="O18" s="7" t="n">
        <v>1549.5</v>
      </c>
      <c r="P18" s="7" t="s">
        <v>1387</v>
      </c>
      <c r="Q18" s="7" t="s">
        <v>1355</v>
      </c>
      <c r="R18" s="7" t="s">
        <v>1337</v>
      </c>
    </row>
    <row r="19" customFormat="false" ht="14.25" hidden="false" customHeight="false" outlineLevel="0" collapsed="false">
      <c r="A19" s="7" t="s">
        <v>173</v>
      </c>
      <c r="B19" s="7" t="s">
        <v>1392</v>
      </c>
      <c r="C19" s="7" t="n">
        <v>1</v>
      </c>
      <c r="D19" s="7" t="n">
        <v>1</v>
      </c>
      <c r="E19" s="7" t="n">
        <v>0</v>
      </c>
      <c r="F19" s="7" t="s">
        <v>1337</v>
      </c>
      <c r="G19" s="7" t="s">
        <v>1393</v>
      </c>
      <c r="H19" s="7" t="n">
        <v>2</v>
      </c>
      <c r="I19" s="7" t="s">
        <v>98</v>
      </c>
      <c r="J19" s="7" t="n">
        <v>0</v>
      </c>
      <c r="K19" s="7" t="n">
        <v>1</v>
      </c>
      <c r="L19" s="7" t="n">
        <v>25</v>
      </c>
      <c r="M19" s="7" t="n">
        <v>1</v>
      </c>
      <c r="N19" s="7"/>
      <c r="O19" s="7"/>
      <c r="P19" s="7" t="s">
        <v>1394</v>
      </c>
      <c r="Q19" s="7" t="s">
        <v>1371</v>
      </c>
      <c r="R19" s="7" t="s">
        <v>1337</v>
      </c>
    </row>
    <row r="20" customFormat="false" ht="14.25" hidden="false" customHeight="false" outlineLevel="0" collapsed="false">
      <c r="A20" s="7" t="s">
        <v>176</v>
      </c>
      <c r="B20" s="7" t="s">
        <v>1395</v>
      </c>
      <c r="C20" s="7" t="n">
        <v>1</v>
      </c>
      <c r="D20" s="7" t="n">
        <v>1</v>
      </c>
      <c r="E20" s="7" t="n">
        <v>0</v>
      </c>
      <c r="F20" s="7" t="s">
        <v>1337</v>
      </c>
      <c r="G20" s="7" t="s">
        <v>1396</v>
      </c>
      <c r="H20" s="7" t="n">
        <v>1</v>
      </c>
      <c r="I20" s="7" t="s">
        <v>147</v>
      </c>
      <c r="J20" s="7" t="n">
        <v>1</v>
      </c>
      <c r="K20" s="7" t="n">
        <v>1</v>
      </c>
      <c r="L20" s="7" t="n">
        <v>10</v>
      </c>
      <c r="M20" s="7" t="n">
        <v>1</v>
      </c>
      <c r="N20" s="7" t="s">
        <v>1397</v>
      </c>
      <c r="O20" s="7" t="n">
        <v>150</v>
      </c>
      <c r="P20" s="7" t="s">
        <v>1398</v>
      </c>
      <c r="Q20" s="7" t="s">
        <v>1355</v>
      </c>
      <c r="R20" s="7" t="s">
        <v>1337</v>
      </c>
    </row>
    <row r="21" customFormat="false" ht="14.25" hidden="false" customHeight="false" outlineLevel="0" collapsed="false">
      <c r="A21" s="7" t="s">
        <v>176</v>
      </c>
      <c r="B21" s="7" t="s">
        <v>1399</v>
      </c>
      <c r="C21" s="7" t="n">
        <v>1</v>
      </c>
      <c r="D21" s="7" t="n">
        <v>1</v>
      </c>
      <c r="E21" s="7" t="n">
        <v>0</v>
      </c>
      <c r="F21" s="7" t="s">
        <v>1337</v>
      </c>
      <c r="G21" s="7" t="s">
        <v>1400</v>
      </c>
      <c r="H21" s="7" t="n">
        <v>2</v>
      </c>
      <c r="I21" s="7" t="s">
        <v>98</v>
      </c>
      <c r="J21" s="7" t="n">
        <v>1</v>
      </c>
      <c r="K21" s="7"/>
      <c r="L21" s="7"/>
      <c r="M21" s="7" t="n">
        <v>0</v>
      </c>
      <c r="N21" s="7" t="s">
        <v>1397</v>
      </c>
      <c r="O21" s="7" t="n">
        <v>150</v>
      </c>
      <c r="P21" s="7"/>
      <c r="Q21" s="7" t="s">
        <v>1355</v>
      </c>
      <c r="R21" s="7" t="s">
        <v>1337</v>
      </c>
    </row>
    <row r="22" customFormat="false" ht="14.25" hidden="false" customHeight="false" outlineLevel="0" collapsed="false">
      <c r="A22" s="7" t="s">
        <v>176</v>
      </c>
      <c r="B22" s="7" t="s">
        <v>1401</v>
      </c>
      <c r="C22" s="7" t="n">
        <v>1</v>
      </c>
      <c r="D22" s="7" t="n">
        <v>1</v>
      </c>
      <c r="E22" s="7" t="n">
        <v>0</v>
      </c>
      <c r="F22" s="7" t="s">
        <v>1337</v>
      </c>
      <c r="G22" s="7"/>
      <c r="H22" s="7"/>
      <c r="I22" s="7"/>
      <c r="J22" s="7"/>
      <c r="K22" s="7"/>
      <c r="L22" s="7"/>
      <c r="M22" s="7" t="n">
        <v>0</v>
      </c>
      <c r="N22" s="7" t="s">
        <v>1397</v>
      </c>
      <c r="O22" s="7" t="n">
        <v>150</v>
      </c>
      <c r="P22" s="7"/>
      <c r="Q22" s="7"/>
      <c r="R22" s="7" t="s">
        <v>1337</v>
      </c>
    </row>
    <row r="23" customFormat="false" ht="14.25" hidden="false" customHeight="false" outlineLevel="0" collapsed="false">
      <c r="A23" s="7" t="s">
        <v>176</v>
      </c>
      <c r="B23" s="7" t="s">
        <v>1402</v>
      </c>
      <c r="C23" s="7" t="n">
        <v>1</v>
      </c>
      <c r="D23" s="7" t="n">
        <v>1</v>
      </c>
      <c r="E23" s="7" t="n">
        <v>0</v>
      </c>
      <c r="F23" s="7" t="s">
        <v>1337</v>
      </c>
      <c r="G23" s="7"/>
      <c r="H23" s="7"/>
      <c r="I23" s="7"/>
      <c r="J23" s="7"/>
      <c r="K23" s="7"/>
      <c r="L23" s="7"/>
      <c r="M23" s="7" t="n">
        <v>0</v>
      </c>
      <c r="N23" s="7" t="s">
        <v>1397</v>
      </c>
      <c r="O23" s="7" t="n">
        <v>150</v>
      </c>
      <c r="P23" s="7"/>
      <c r="Q23" s="7"/>
      <c r="R23" s="7" t="s">
        <v>1337</v>
      </c>
    </row>
    <row r="24" customFormat="false" ht="14.25" hidden="false" customHeight="false" outlineLevel="0" collapsed="false">
      <c r="A24" s="7" t="s">
        <v>176</v>
      </c>
      <c r="B24" s="7" t="s">
        <v>1403</v>
      </c>
      <c r="C24" s="7" t="n">
        <v>1</v>
      </c>
      <c r="D24" s="7" t="n">
        <v>1</v>
      </c>
      <c r="E24" s="7" t="n">
        <v>0</v>
      </c>
      <c r="F24" s="7" t="s">
        <v>1337</v>
      </c>
      <c r="G24" s="7"/>
      <c r="H24" s="7"/>
      <c r="I24" s="7"/>
      <c r="J24" s="7"/>
      <c r="K24" s="7"/>
      <c r="L24" s="7"/>
      <c r="M24" s="7" t="n">
        <v>0</v>
      </c>
      <c r="N24" s="7" t="s">
        <v>1397</v>
      </c>
      <c r="O24" s="7" t="n">
        <v>150</v>
      </c>
      <c r="P24" s="7"/>
      <c r="Q24" s="7"/>
      <c r="R24" s="7" t="s">
        <v>1337</v>
      </c>
    </row>
    <row r="25" customFormat="false" ht="14.25" hidden="false" customHeight="false" outlineLevel="0" collapsed="false">
      <c r="A25" s="7" t="s">
        <v>180</v>
      </c>
      <c r="B25" s="7" t="s">
        <v>1404</v>
      </c>
      <c r="C25" s="7" t="n">
        <v>1</v>
      </c>
      <c r="D25" s="7" t="n">
        <v>0</v>
      </c>
      <c r="E25" s="7" t="n">
        <v>1</v>
      </c>
      <c r="F25" s="7" t="s">
        <v>1361</v>
      </c>
      <c r="G25" s="7" t="s">
        <v>1405</v>
      </c>
      <c r="H25" s="7" t="n">
        <v>1</v>
      </c>
      <c r="I25" s="7" t="s">
        <v>147</v>
      </c>
      <c r="J25" s="7" t="n">
        <v>0</v>
      </c>
      <c r="K25" s="7" t="n">
        <v>0</v>
      </c>
      <c r="L25" s="7" t="n">
        <v>13</v>
      </c>
      <c r="M25" s="7" t="n">
        <v>1</v>
      </c>
      <c r="N25" s="7" t="s">
        <v>1406</v>
      </c>
      <c r="O25" s="7" t="n">
        <v>427</v>
      </c>
      <c r="P25" s="7" t="s">
        <v>1407</v>
      </c>
      <c r="Q25" s="7" t="s">
        <v>1371</v>
      </c>
      <c r="R25" s="7" t="s">
        <v>1361</v>
      </c>
    </row>
    <row r="26" customFormat="false" ht="14.25" hidden="false" customHeight="false" outlineLevel="0" collapsed="false">
      <c r="A26" s="7" t="s">
        <v>185</v>
      </c>
      <c r="B26" s="7" t="s">
        <v>1408</v>
      </c>
      <c r="C26" s="7" t="n">
        <v>1</v>
      </c>
      <c r="D26" s="7" t="n">
        <v>1</v>
      </c>
      <c r="E26" s="7" t="n">
        <v>0</v>
      </c>
      <c r="F26" s="7" t="s">
        <v>1337</v>
      </c>
      <c r="G26" s="7"/>
      <c r="H26" s="7"/>
      <c r="I26" s="7"/>
      <c r="J26" s="7"/>
      <c r="K26" s="7"/>
      <c r="L26" s="7"/>
      <c r="M26" s="7" t="n">
        <v>0</v>
      </c>
      <c r="N26" s="7"/>
      <c r="O26" s="7"/>
      <c r="P26" s="7"/>
      <c r="Q26" s="7"/>
      <c r="R26" s="7" t="s">
        <v>1337</v>
      </c>
    </row>
    <row r="27" customFormat="false" ht="14.25" hidden="false" customHeight="false" outlineLevel="0" collapsed="false">
      <c r="A27" s="7" t="s">
        <v>189</v>
      </c>
      <c r="B27" s="7" t="s">
        <v>1409</v>
      </c>
      <c r="C27" s="7" t="n">
        <v>1</v>
      </c>
      <c r="D27" s="7" t="n">
        <v>1</v>
      </c>
      <c r="E27" s="7" t="n">
        <v>0</v>
      </c>
      <c r="F27" s="7" t="s">
        <v>1337</v>
      </c>
      <c r="G27" s="7" t="s">
        <v>1410</v>
      </c>
      <c r="H27" s="7"/>
      <c r="I27" s="7"/>
      <c r="J27" s="7" t="n">
        <v>0</v>
      </c>
      <c r="K27" s="7" t="n">
        <v>1</v>
      </c>
      <c r="L27" s="7" t="n">
        <v>20</v>
      </c>
      <c r="M27" s="7" t="n">
        <v>0</v>
      </c>
      <c r="N27" s="7"/>
      <c r="O27" s="7"/>
      <c r="P27" s="7" t="s">
        <v>1411</v>
      </c>
      <c r="Q27" s="7" t="s">
        <v>1371</v>
      </c>
      <c r="R27" s="7" t="s">
        <v>1337</v>
      </c>
    </row>
    <row r="28" customFormat="false" ht="14.25" hidden="false" customHeight="false" outlineLevel="0" collapsed="false">
      <c r="A28" s="7" t="s">
        <v>189</v>
      </c>
      <c r="B28" s="7" t="s">
        <v>1412</v>
      </c>
      <c r="C28" s="7" t="n">
        <v>1</v>
      </c>
      <c r="D28" s="7" t="n">
        <v>0</v>
      </c>
      <c r="E28" s="7" t="n">
        <v>1</v>
      </c>
      <c r="F28" s="7" t="s">
        <v>1361</v>
      </c>
      <c r="G28" s="7" t="s">
        <v>1413</v>
      </c>
      <c r="H28" s="7" t="n">
        <v>2</v>
      </c>
      <c r="I28" s="7" t="s">
        <v>98</v>
      </c>
      <c r="J28" s="7" t="n">
        <v>0</v>
      </c>
      <c r="K28" s="7" t="n">
        <v>0</v>
      </c>
      <c r="L28" s="7" t="n">
        <v>14</v>
      </c>
      <c r="M28" s="7" t="n">
        <v>1</v>
      </c>
      <c r="N28" s="7"/>
      <c r="O28" s="7"/>
      <c r="P28" s="7" t="s">
        <v>1414</v>
      </c>
      <c r="Q28" s="7" t="s">
        <v>1371</v>
      </c>
      <c r="R28" s="7" t="s">
        <v>1361</v>
      </c>
    </row>
    <row r="29" customFormat="false" ht="14.25" hidden="false" customHeight="false" outlineLevel="0" collapsed="false">
      <c r="A29" s="7" t="s">
        <v>193</v>
      </c>
      <c r="B29" s="7" t="s">
        <v>1415</v>
      </c>
      <c r="C29" s="7" t="n">
        <v>1</v>
      </c>
      <c r="D29" s="7" t="n">
        <v>1</v>
      </c>
      <c r="E29" s="7" t="n">
        <v>0</v>
      </c>
      <c r="F29" s="7" t="s">
        <v>1337</v>
      </c>
      <c r="G29" s="7"/>
      <c r="H29" s="7"/>
      <c r="I29" s="7"/>
      <c r="J29" s="7"/>
      <c r="K29" s="7" t="n">
        <v>1</v>
      </c>
      <c r="L29" s="7" t="n">
        <v>19</v>
      </c>
      <c r="M29" s="7" t="n">
        <v>1</v>
      </c>
      <c r="N29" s="7"/>
      <c r="O29" s="7"/>
      <c r="P29" s="7" t="s">
        <v>1416</v>
      </c>
      <c r="Q29" s="7"/>
      <c r="R29" s="7" t="s">
        <v>1337</v>
      </c>
    </row>
    <row r="30" customFormat="false" ht="14.25" hidden="false" customHeight="false" outlineLevel="0" collapsed="false">
      <c r="A30" s="7" t="s">
        <v>156</v>
      </c>
      <c r="B30" s="7" t="s">
        <v>1417</v>
      </c>
      <c r="C30" s="7" t="n">
        <v>1</v>
      </c>
      <c r="D30" s="7" t="n">
        <v>1</v>
      </c>
      <c r="E30" s="7" t="n">
        <v>0</v>
      </c>
      <c r="F30" s="7" t="s">
        <v>1337</v>
      </c>
      <c r="G30" s="7"/>
      <c r="H30" s="7"/>
      <c r="I30" s="7"/>
      <c r="J30" s="7"/>
      <c r="K30" s="7" t="n">
        <v>1</v>
      </c>
      <c r="L30" s="7"/>
      <c r="M30" s="7" t="n">
        <v>0</v>
      </c>
      <c r="N30" s="7" t="s">
        <v>1382</v>
      </c>
      <c r="O30" s="7" t="n">
        <v>30.5</v>
      </c>
      <c r="P30" s="7" t="s">
        <v>1418</v>
      </c>
      <c r="Q30" s="7"/>
      <c r="R30" s="7" t="s">
        <v>1337</v>
      </c>
    </row>
    <row r="31" customFormat="false" ht="14.25" hidden="false" customHeight="false" outlineLevel="0" collapsed="false">
      <c r="A31" s="7" t="s">
        <v>156</v>
      </c>
      <c r="B31" s="7" t="s">
        <v>1419</v>
      </c>
      <c r="C31" s="7" t="n">
        <v>1</v>
      </c>
      <c r="D31" s="7" t="n">
        <v>1</v>
      </c>
      <c r="E31" s="7" t="n">
        <v>0</v>
      </c>
      <c r="F31" s="7" t="s">
        <v>1337</v>
      </c>
      <c r="G31" s="7"/>
      <c r="H31" s="7"/>
      <c r="I31" s="7"/>
      <c r="J31" s="7"/>
      <c r="K31" s="7"/>
      <c r="L31" s="7"/>
      <c r="M31" s="7" t="n">
        <v>0</v>
      </c>
      <c r="N31" s="7" t="s">
        <v>1382</v>
      </c>
      <c r="O31" s="7" t="n">
        <v>30.5</v>
      </c>
      <c r="P31" s="7" t="s">
        <v>1420</v>
      </c>
      <c r="Q31" s="7"/>
      <c r="R31" s="7" t="s">
        <v>1337</v>
      </c>
    </row>
    <row r="32" customFormat="false" ht="14.25" hidden="false" customHeight="false" outlineLevel="0" collapsed="false">
      <c r="A32" s="7" t="s">
        <v>197</v>
      </c>
      <c r="B32" s="7" t="s">
        <v>1421</v>
      </c>
      <c r="C32" s="7" t="n">
        <v>1</v>
      </c>
      <c r="D32" s="7" t="n">
        <v>1</v>
      </c>
      <c r="E32" s="7" t="n">
        <v>0</v>
      </c>
      <c r="F32" s="7" t="s">
        <v>1337</v>
      </c>
      <c r="G32" s="7" t="s">
        <v>1422</v>
      </c>
      <c r="H32" s="7" t="n">
        <v>1</v>
      </c>
      <c r="I32" s="7" t="s">
        <v>147</v>
      </c>
      <c r="J32" s="7" t="n">
        <v>1</v>
      </c>
      <c r="K32" s="7" t="n">
        <v>0</v>
      </c>
      <c r="L32" s="7" t="n">
        <v>9</v>
      </c>
      <c r="M32" s="7" t="n">
        <v>0</v>
      </c>
      <c r="N32" s="7"/>
      <c r="O32" s="7"/>
      <c r="P32" s="7" t="s">
        <v>1371</v>
      </c>
      <c r="Q32" s="7" t="s">
        <v>1355</v>
      </c>
      <c r="R32" s="7" t="s">
        <v>1337</v>
      </c>
    </row>
    <row r="33" customFormat="false" ht="14.25" hidden="false" customHeight="false" outlineLevel="0" collapsed="false">
      <c r="A33" s="7" t="s">
        <v>197</v>
      </c>
      <c r="B33" s="7" t="s">
        <v>1423</v>
      </c>
      <c r="C33" s="7" t="n">
        <v>1</v>
      </c>
      <c r="D33" s="7" t="n">
        <v>0</v>
      </c>
      <c r="E33" s="7" t="n">
        <v>1</v>
      </c>
      <c r="F33" s="7" t="s">
        <v>1361</v>
      </c>
      <c r="G33" s="7" t="s">
        <v>1424</v>
      </c>
      <c r="H33" s="7" t="n">
        <v>1</v>
      </c>
      <c r="I33" s="7" t="s">
        <v>147</v>
      </c>
      <c r="J33" s="7" t="n">
        <v>1</v>
      </c>
      <c r="K33" s="7"/>
      <c r="L33" s="7"/>
      <c r="M33" s="7" t="n">
        <v>0</v>
      </c>
      <c r="N33" s="7"/>
      <c r="O33" s="7"/>
      <c r="P33" s="7"/>
      <c r="Q33" s="7" t="s">
        <v>1355</v>
      </c>
      <c r="R33" s="7" t="s">
        <v>1361</v>
      </c>
    </row>
    <row r="34" customFormat="false" ht="14.25" hidden="false" customHeight="false" outlineLevel="0" collapsed="false">
      <c r="A34" s="7" t="s">
        <v>197</v>
      </c>
      <c r="B34" s="7" t="s">
        <v>1425</v>
      </c>
      <c r="C34" s="7" t="n">
        <v>1</v>
      </c>
      <c r="D34" s="7" t="n">
        <v>0</v>
      </c>
      <c r="E34" s="7" t="n">
        <v>0</v>
      </c>
      <c r="F34" s="7" t="s">
        <v>262</v>
      </c>
      <c r="G34" s="7" t="s">
        <v>1426</v>
      </c>
      <c r="H34" s="7" t="n">
        <v>1</v>
      </c>
      <c r="I34" s="7" t="s">
        <v>147</v>
      </c>
      <c r="J34" s="7" t="n">
        <v>1</v>
      </c>
      <c r="K34" s="7" t="n">
        <v>0</v>
      </c>
      <c r="L34" s="7" t="n">
        <v>10</v>
      </c>
      <c r="M34" s="7" t="n">
        <v>0</v>
      </c>
      <c r="N34" s="7"/>
      <c r="O34" s="7"/>
      <c r="P34" s="7" t="s">
        <v>1371</v>
      </c>
      <c r="Q34" s="7" t="s">
        <v>1355</v>
      </c>
      <c r="R34" s="7"/>
    </row>
    <row r="35" customFormat="false" ht="14.25" hidden="false" customHeight="false" outlineLevel="0" collapsed="false">
      <c r="A35" s="7" t="s">
        <v>203</v>
      </c>
      <c r="B35" s="7" t="s">
        <v>1427</v>
      </c>
      <c r="C35" s="7" t="n">
        <v>1</v>
      </c>
      <c r="D35" s="7" t="n">
        <v>1</v>
      </c>
      <c r="E35" s="7" t="n">
        <v>0</v>
      </c>
      <c r="F35" s="7" t="s">
        <v>1337</v>
      </c>
      <c r="G35" s="7" t="s">
        <v>1428</v>
      </c>
      <c r="H35" s="7" t="n">
        <v>2</v>
      </c>
      <c r="I35" s="7" t="s">
        <v>98</v>
      </c>
      <c r="J35" s="7" t="n">
        <v>0</v>
      </c>
      <c r="K35" s="7" t="n">
        <v>0</v>
      </c>
      <c r="L35" s="7"/>
      <c r="M35" s="7" t="n">
        <v>0</v>
      </c>
      <c r="N35" s="7"/>
      <c r="O35" s="7"/>
      <c r="P35" s="7" t="s">
        <v>1371</v>
      </c>
      <c r="Q35" s="7" t="s">
        <v>1371</v>
      </c>
      <c r="R35" s="7" t="s">
        <v>1337</v>
      </c>
    </row>
    <row r="36" customFormat="false" ht="14.25" hidden="false" customHeight="false" outlineLevel="0" collapsed="false">
      <c r="A36" s="7" t="s">
        <v>207</v>
      </c>
      <c r="B36" s="7" t="s">
        <v>1429</v>
      </c>
      <c r="C36" s="7" t="n">
        <v>1</v>
      </c>
      <c r="D36" s="7" t="n">
        <v>1</v>
      </c>
      <c r="E36" s="7" t="n">
        <v>0</v>
      </c>
      <c r="F36" s="7" t="s">
        <v>1337</v>
      </c>
      <c r="G36" s="7" t="s">
        <v>1430</v>
      </c>
      <c r="H36" s="7" t="n">
        <v>2</v>
      </c>
      <c r="I36" s="7" t="s">
        <v>98</v>
      </c>
      <c r="J36" s="7" t="n">
        <v>0</v>
      </c>
      <c r="K36" s="7" t="n">
        <v>1</v>
      </c>
      <c r="L36" s="7"/>
      <c r="M36" s="7" t="n">
        <v>0</v>
      </c>
      <c r="N36" s="7"/>
      <c r="O36" s="7"/>
      <c r="P36" s="7" t="s">
        <v>1431</v>
      </c>
      <c r="Q36" s="7" t="s">
        <v>1371</v>
      </c>
      <c r="R36" s="7" t="s">
        <v>1337</v>
      </c>
    </row>
    <row r="37" customFormat="false" ht="14.25" hidden="false" customHeight="false" outlineLevel="0" collapsed="false">
      <c r="A37" s="7" t="s">
        <v>207</v>
      </c>
      <c r="B37" s="7" t="s">
        <v>1432</v>
      </c>
      <c r="C37" s="7" t="n">
        <v>1</v>
      </c>
      <c r="D37" s="7" t="n">
        <v>1</v>
      </c>
      <c r="E37" s="7" t="n">
        <v>0</v>
      </c>
      <c r="F37" s="7" t="s">
        <v>1337</v>
      </c>
      <c r="G37" s="7" t="s">
        <v>1433</v>
      </c>
      <c r="H37" s="7" t="n">
        <v>1</v>
      </c>
      <c r="I37" s="7" t="s">
        <v>147</v>
      </c>
      <c r="J37" s="7" t="n">
        <v>1</v>
      </c>
      <c r="K37" s="7" t="n">
        <v>1</v>
      </c>
      <c r="L37" s="7" t="n">
        <v>4</v>
      </c>
      <c r="M37" s="7" t="n">
        <v>0</v>
      </c>
      <c r="N37" s="7"/>
      <c r="O37" s="7"/>
      <c r="P37" s="7" t="s">
        <v>1434</v>
      </c>
      <c r="Q37" s="7" t="s">
        <v>1355</v>
      </c>
      <c r="R37" s="7" t="s">
        <v>1337</v>
      </c>
    </row>
    <row r="38" customFormat="false" ht="14.25" hidden="false" customHeight="false" outlineLevel="0" collapsed="false">
      <c r="A38" s="7" t="s">
        <v>207</v>
      </c>
      <c r="B38" s="7" t="s">
        <v>1435</v>
      </c>
      <c r="C38" s="7" t="n">
        <v>1</v>
      </c>
      <c r="D38" s="7" t="n">
        <v>1</v>
      </c>
      <c r="E38" s="7" t="n">
        <v>0</v>
      </c>
      <c r="F38" s="7" t="s">
        <v>1337</v>
      </c>
      <c r="G38" s="7"/>
      <c r="H38" s="7"/>
      <c r="I38" s="7"/>
      <c r="J38" s="7"/>
      <c r="K38" s="7" t="n">
        <v>1</v>
      </c>
      <c r="L38" s="7"/>
      <c r="M38" s="7" t="n">
        <v>0</v>
      </c>
      <c r="N38" s="7"/>
      <c r="O38" s="7"/>
      <c r="P38" s="7" t="s">
        <v>1355</v>
      </c>
      <c r="Q38" s="7"/>
      <c r="R38" s="7" t="s">
        <v>1337</v>
      </c>
    </row>
    <row r="39" customFormat="false" ht="14.25" hidden="false" customHeight="false" outlineLevel="0" collapsed="false">
      <c r="A39" s="7" t="s">
        <v>212</v>
      </c>
      <c r="B39" s="7" t="s">
        <v>1436</v>
      </c>
      <c r="C39" s="7" t="n">
        <v>1</v>
      </c>
      <c r="D39" s="7" t="n">
        <v>0</v>
      </c>
      <c r="E39" s="7" t="n">
        <v>1</v>
      </c>
      <c r="F39" s="7" t="s">
        <v>1361</v>
      </c>
      <c r="G39" s="7" t="s">
        <v>1437</v>
      </c>
      <c r="H39" s="7" t="n">
        <v>2</v>
      </c>
      <c r="I39" s="7" t="s">
        <v>98</v>
      </c>
      <c r="J39" s="7" t="n">
        <v>1</v>
      </c>
      <c r="K39" s="7" t="n">
        <v>0</v>
      </c>
      <c r="L39" s="7" t="n">
        <v>13.5</v>
      </c>
      <c r="M39" s="7" t="n">
        <v>0</v>
      </c>
      <c r="N39" s="7"/>
      <c r="O39" s="7"/>
      <c r="P39" s="7" t="s">
        <v>1371</v>
      </c>
      <c r="Q39" s="7" t="s">
        <v>1355</v>
      </c>
      <c r="R39" s="7" t="s">
        <v>1361</v>
      </c>
    </row>
    <row r="40" customFormat="false" ht="14.25" hidden="false" customHeight="false" outlineLevel="0" collapsed="false">
      <c r="A40" s="7" t="s">
        <v>216</v>
      </c>
      <c r="B40" s="7" t="s">
        <v>1438</v>
      </c>
      <c r="C40" s="7" t="n">
        <v>1</v>
      </c>
      <c r="D40" s="7" t="n">
        <v>1</v>
      </c>
      <c r="E40" s="7" t="n">
        <v>0</v>
      </c>
      <c r="F40" s="7" t="s">
        <v>1337</v>
      </c>
      <c r="G40" s="7" t="s">
        <v>1439</v>
      </c>
      <c r="H40" s="7" t="n">
        <v>2</v>
      </c>
      <c r="I40" s="7" t="s">
        <v>98</v>
      </c>
      <c r="J40" s="7" t="n">
        <v>1</v>
      </c>
      <c r="K40" s="7" t="n">
        <v>1</v>
      </c>
      <c r="L40" s="7" t="n">
        <v>6</v>
      </c>
      <c r="M40" s="7" t="n">
        <v>0</v>
      </c>
      <c r="N40" s="7"/>
      <c r="O40" s="7"/>
      <c r="P40" s="7" t="s">
        <v>1440</v>
      </c>
      <c r="Q40" s="7" t="s">
        <v>1355</v>
      </c>
      <c r="R40" s="7" t="s">
        <v>1337</v>
      </c>
    </row>
    <row r="41" customFormat="false" ht="14.25" hidden="false" customHeight="false" outlineLevel="0" collapsed="false">
      <c r="A41" s="7" t="s">
        <v>220</v>
      </c>
      <c r="B41" s="7" t="s">
        <v>1441</v>
      </c>
      <c r="C41" s="7" t="n">
        <v>1</v>
      </c>
      <c r="D41" s="7" t="n">
        <v>1</v>
      </c>
      <c r="E41" s="7" t="n">
        <v>0</v>
      </c>
      <c r="F41" s="7" t="s">
        <v>1337</v>
      </c>
      <c r="G41" s="7" t="s">
        <v>1442</v>
      </c>
      <c r="H41" s="7" t="n">
        <v>1</v>
      </c>
      <c r="I41" s="7" t="s">
        <v>147</v>
      </c>
      <c r="J41" s="7" t="n">
        <v>0</v>
      </c>
      <c r="K41" s="7" t="n">
        <v>0</v>
      </c>
      <c r="L41" s="7" t="n">
        <v>14</v>
      </c>
      <c r="M41" s="7" t="n">
        <v>0</v>
      </c>
      <c r="N41" s="7"/>
      <c r="O41" s="7"/>
      <c r="P41" s="7" t="s">
        <v>1443</v>
      </c>
      <c r="Q41" s="7" t="s">
        <v>1371</v>
      </c>
      <c r="R41" s="7" t="s">
        <v>1337</v>
      </c>
    </row>
    <row r="42" customFormat="false" ht="14.25" hidden="false" customHeight="false" outlineLevel="0" collapsed="false">
      <c r="A42" s="7" t="s">
        <v>220</v>
      </c>
      <c r="B42" s="7" t="s">
        <v>1444</v>
      </c>
      <c r="C42" s="7" t="n">
        <v>1</v>
      </c>
      <c r="D42" s="7" t="n">
        <v>1</v>
      </c>
      <c r="E42" s="7" t="n">
        <v>0</v>
      </c>
      <c r="F42" s="7" t="s">
        <v>1337</v>
      </c>
      <c r="G42" s="7"/>
      <c r="H42" s="7"/>
      <c r="I42" s="7"/>
      <c r="J42" s="7"/>
      <c r="K42" s="7"/>
      <c r="L42" s="7"/>
      <c r="M42" s="7" t="n">
        <v>0</v>
      </c>
      <c r="N42" s="7"/>
      <c r="O42" s="7"/>
      <c r="P42" s="7"/>
      <c r="Q42" s="7"/>
      <c r="R42" s="7" t="s">
        <v>1337</v>
      </c>
    </row>
    <row r="43" customFormat="false" ht="14.25" hidden="false" customHeight="false" outlineLevel="0" collapsed="false">
      <c r="A43" s="7" t="s">
        <v>228</v>
      </c>
      <c r="B43" s="7" t="s">
        <v>1445</v>
      </c>
      <c r="C43" s="7" t="n">
        <v>1</v>
      </c>
      <c r="D43" s="7" t="n">
        <v>1</v>
      </c>
      <c r="E43" s="7" t="n">
        <v>0</v>
      </c>
      <c r="F43" s="7" t="s">
        <v>1337</v>
      </c>
      <c r="G43" s="7" t="s">
        <v>1446</v>
      </c>
      <c r="H43" s="7" t="n">
        <v>1</v>
      </c>
      <c r="I43" s="7" t="s">
        <v>147</v>
      </c>
      <c r="J43" s="7" t="n">
        <v>0</v>
      </c>
      <c r="K43" s="7" t="n">
        <v>0</v>
      </c>
      <c r="L43" s="7" t="n">
        <v>2</v>
      </c>
      <c r="M43" s="7" t="n">
        <v>0</v>
      </c>
      <c r="N43" s="7"/>
      <c r="O43" s="7"/>
      <c r="P43" s="7" t="s">
        <v>1371</v>
      </c>
      <c r="Q43" s="7" t="s">
        <v>1371</v>
      </c>
      <c r="R43" s="7" t="s">
        <v>1337</v>
      </c>
    </row>
    <row r="44" customFormat="false" ht="14.25" hidden="false" customHeight="false" outlineLevel="0" collapsed="false">
      <c r="A44" s="7" t="s">
        <v>228</v>
      </c>
      <c r="B44" s="7" t="s">
        <v>1447</v>
      </c>
      <c r="C44" s="7" t="n">
        <v>1</v>
      </c>
      <c r="D44" s="7" t="n">
        <v>1</v>
      </c>
      <c r="E44" s="7" t="n">
        <v>0</v>
      </c>
      <c r="F44" s="7" t="s">
        <v>1337</v>
      </c>
      <c r="G44" s="7" t="s">
        <v>1448</v>
      </c>
      <c r="H44" s="7" t="n">
        <v>1</v>
      </c>
      <c r="I44" s="7" t="s">
        <v>147</v>
      </c>
      <c r="J44" s="7" t="n">
        <v>0</v>
      </c>
      <c r="K44" s="7" t="n">
        <v>1</v>
      </c>
      <c r="L44" s="7"/>
      <c r="M44" s="7" t="n">
        <v>0</v>
      </c>
      <c r="N44" s="7"/>
      <c r="O44" s="7"/>
      <c r="P44" s="7" t="s">
        <v>1449</v>
      </c>
      <c r="Q44" s="7" t="s">
        <v>1371</v>
      </c>
      <c r="R44" s="7" t="s">
        <v>1337</v>
      </c>
    </row>
    <row r="45" customFormat="false" ht="14.25" hidden="false" customHeight="false" outlineLevel="0" collapsed="false">
      <c r="A45" s="7" t="s">
        <v>228</v>
      </c>
      <c r="B45" s="7" t="s">
        <v>1450</v>
      </c>
      <c r="C45" s="7" t="n">
        <v>1</v>
      </c>
      <c r="D45" s="7" t="n">
        <v>1</v>
      </c>
      <c r="E45" s="7" t="n">
        <v>0</v>
      </c>
      <c r="F45" s="7" t="s">
        <v>1337</v>
      </c>
      <c r="G45" s="7" t="s">
        <v>1451</v>
      </c>
      <c r="H45" s="7" t="n">
        <v>1</v>
      </c>
      <c r="I45" s="7" t="s">
        <v>147</v>
      </c>
      <c r="J45" s="7" t="n">
        <v>1</v>
      </c>
      <c r="K45" s="7" t="n">
        <v>1</v>
      </c>
      <c r="L45" s="7"/>
      <c r="M45" s="7" t="n">
        <v>0</v>
      </c>
      <c r="N45" s="7"/>
      <c r="O45" s="7"/>
      <c r="P45" s="7" t="s">
        <v>1452</v>
      </c>
      <c r="Q45" s="7" t="s">
        <v>1355</v>
      </c>
      <c r="R45" s="7" t="s">
        <v>1337</v>
      </c>
    </row>
    <row r="46" customFormat="false" ht="14.25" hidden="false" customHeight="false" outlineLevel="0" collapsed="false">
      <c r="A46" s="7" t="s">
        <v>233</v>
      </c>
      <c r="B46" s="7" t="s">
        <v>1453</v>
      </c>
      <c r="C46" s="7" t="n">
        <v>1</v>
      </c>
      <c r="D46" s="7" t="n">
        <v>1</v>
      </c>
      <c r="E46" s="7" t="n">
        <v>0</v>
      </c>
      <c r="F46" s="7" t="s">
        <v>1337</v>
      </c>
      <c r="G46" s="7"/>
      <c r="H46" s="7"/>
      <c r="I46" s="7"/>
      <c r="J46" s="7"/>
      <c r="K46" s="7"/>
      <c r="L46" s="7"/>
      <c r="M46" s="7" t="n">
        <v>0</v>
      </c>
      <c r="N46" s="7"/>
      <c r="O46" s="7"/>
      <c r="P46" s="7"/>
      <c r="Q46" s="7"/>
      <c r="R46" s="7" t="s">
        <v>1337</v>
      </c>
    </row>
    <row r="47" customFormat="false" ht="14.25" hidden="false" customHeight="false" outlineLevel="0" collapsed="false">
      <c r="A47" s="7" t="s">
        <v>233</v>
      </c>
      <c r="B47" s="7" t="s">
        <v>1454</v>
      </c>
      <c r="C47" s="7" t="n">
        <v>1</v>
      </c>
      <c r="D47" s="7" t="n">
        <v>1</v>
      </c>
      <c r="E47" s="7" t="n">
        <v>0</v>
      </c>
      <c r="F47" s="7" t="s">
        <v>1337</v>
      </c>
      <c r="G47" s="7"/>
      <c r="H47" s="7"/>
      <c r="I47" s="7"/>
      <c r="J47" s="7"/>
      <c r="K47" s="7"/>
      <c r="L47" s="7"/>
      <c r="M47" s="7" t="n">
        <v>0</v>
      </c>
      <c r="N47" s="7"/>
      <c r="O47" s="7"/>
      <c r="P47" s="7"/>
      <c r="Q47" s="7"/>
      <c r="R47" s="7" t="s">
        <v>1337</v>
      </c>
    </row>
    <row r="48" customFormat="false" ht="14.25" hidden="false" customHeight="false" outlineLevel="0" collapsed="false">
      <c r="A48" s="7" t="s">
        <v>233</v>
      </c>
      <c r="B48" s="7" t="s">
        <v>1455</v>
      </c>
      <c r="C48" s="7" t="n">
        <v>1</v>
      </c>
      <c r="D48" s="7" t="n">
        <v>1</v>
      </c>
      <c r="E48" s="7" t="n">
        <v>0</v>
      </c>
      <c r="F48" s="7" t="s">
        <v>1337</v>
      </c>
      <c r="G48" s="7"/>
      <c r="H48" s="7"/>
      <c r="I48" s="7"/>
      <c r="J48" s="7"/>
      <c r="K48" s="7"/>
      <c r="L48" s="7"/>
      <c r="M48" s="7" t="n">
        <v>0</v>
      </c>
      <c r="N48" s="7"/>
      <c r="O48" s="7"/>
      <c r="P48" s="7"/>
      <c r="Q48" s="7"/>
      <c r="R48" s="7" t="s">
        <v>1337</v>
      </c>
    </row>
    <row r="49" customFormat="false" ht="14.25" hidden="false" customHeight="false" outlineLevel="0" collapsed="false">
      <c r="A49" s="7" t="s">
        <v>233</v>
      </c>
      <c r="B49" s="7" t="s">
        <v>1456</v>
      </c>
      <c r="C49" s="7" t="n">
        <v>1</v>
      </c>
      <c r="D49" s="7" t="n">
        <v>1</v>
      </c>
      <c r="E49" s="7" t="n">
        <v>0</v>
      </c>
      <c r="F49" s="7" t="s">
        <v>1337</v>
      </c>
      <c r="G49" s="7"/>
      <c r="H49" s="7"/>
      <c r="I49" s="7"/>
      <c r="J49" s="7"/>
      <c r="K49" s="7"/>
      <c r="L49" s="7"/>
      <c r="M49" s="7" t="n">
        <v>0</v>
      </c>
      <c r="N49" s="7"/>
      <c r="O49" s="7"/>
      <c r="P49" s="7"/>
      <c r="Q49" s="7"/>
      <c r="R49" s="7" t="s">
        <v>1337</v>
      </c>
    </row>
    <row r="50" customFormat="false" ht="14.25" hidden="false" customHeight="false" outlineLevel="0" collapsed="false">
      <c r="A50" s="7" t="s">
        <v>237</v>
      </c>
      <c r="B50" s="7" t="s">
        <v>1457</v>
      </c>
      <c r="C50" s="7" t="n">
        <v>1</v>
      </c>
      <c r="D50" s="7" t="n">
        <v>1</v>
      </c>
      <c r="E50" s="7" t="n">
        <v>0</v>
      </c>
      <c r="F50" s="7" t="s">
        <v>1337</v>
      </c>
      <c r="G50" s="7"/>
      <c r="H50" s="7"/>
      <c r="I50" s="7"/>
      <c r="J50" s="7"/>
      <c r="K50" s="7"/>
      <c r="L50" s="7"/>
      <c r="M50" s="7" t="n">
        <v>0</v>
      </c>
      <c r="N50" s="7"/>
      <c r="O50" s="7"/>
      <c r="P50" s="7"/>
      <c r="Q50" s="7"/>
      <c r="R50" s="7" t="s">
        <v>1337</v>
      </c>
    </row>
    <row r="51" customFormat="false" ht="14.25" hidden="false" customHeight="false" outlineLevel="0" collapsed="false">
      <c r="A51" s="7" t="s">
        <v>237</v>
      </c>
      <c r="B51" s="7" t="s">
        <v>1458</v>
      </c>
      <c r="C51" s="7" t="n">
        <v>1</v>
      </c>
      <c r="D51" s="7" t="n">
        <v>1</v>
      </c>
      <c r="E51" s="7" t="n">
        <v>0</v>
      </c>
      <c r="F51" s="7" t="s">
        <v>1337</v>
      </c>
      <c r="G51" s="7"/>
      <c r="H51" s="7"/>
      <c r="I51" s="7"/>
      <c r="J51" s="7"/>
      <c r="K51" s="7"/>
      <c r="L51" s="7"/>
      <c r="M51" s="7" t="n">
        <v>0</v>
      </c>
      <c r="N51" s="7"/>
      <c r="O51" s="7"/>
      <c r="P51" s="7"/>
      <c r="Q51" s="7"/>
      <c r="R51" s="7" t="s">
        <v>1337</v>
      </c>
    </row>
    <row r="52" customFormat="false" ht="14.25" hidden="false" customHeight="false" outlineLevel="0" collapsed="false">
      <c r="A52" s="7" t="s">
        <v>241</v>
      </c>
      <c r="B52" s="7" t="s">
        <v>1459</v>
      </c>
      <c r="C52" s="7" t="n">
        <v>1</v>
      </c>
      <c r="D52" s="7" t="n">
        <v>1</v>
      </c>
      <c r="E52" s="7" t="n">
        <v>0</v>
      </c>
      <c r="F52" s="7" t="s">
        <v>1337</v>
      </c>
      <c r="G52" s="7"/>
      <c r="H52" s="7"/>
      <c r="I52" s="7"/>
      <c r="J52" s="7"/>
      <c r="K52" s="7"/>
      <c r="L52" s="7"/>
      <c r="M52" s="7" t="n">
        <v>0</v>
      </c>
      <c r="N52" s="7"/>
      <c r="O52" s="7"/>
      <c r="P52" s="7"/>
      <c r="Q52" s="7"/>
      <c r="R52" s="7" t="s">
        <v>1337</v>
      </c>
    </row>
    <row r="53" customFormat="false" ht="14.25" hidden="false" customHeight="false" outlineLevel="0" collapsed="false">
      <c r="A53" s="7" t="s">
        <v>241</v>
      </c>
      <c r="B53" s="7" t="s">
        <v>1460</v>
      </c>
      <c r="C53" s="7" t="n">
        <v>1</v>
      </c>
      <c r="D53" s="7" t="n">
        <v>1</v>
      </c>
      <c r="E53" s="7" t="n">
        <v>0</v>
      </c>
      <c r="F53" s="7" t="s">
        <v>1337</v>
      </c>
      <c r="G53" s="7"/>
      <c r="H53" s="7"/>
      <c r="I53" s="7"/>
      <c r="J53" s="7"/>
      <c r="K53" s="7"/>
      <c r="L53" s="7"/>
      <c r="M53" s="7" t="n">
        <v>0</v>
      </c>
      <c r="N53" s="7"/>
      <c r="O53" s="7"/>
      <c r="P53" s="7"/>
      <c r="Q53" s="7"/>
      <c r="R53" s="7" t="s">
        <v>1337</v>
      </c>
    </row>
    <row r="54" customFormat="false" ht="14.25" hidden="false" customHeight="false" outlineLevel="0" collapsed="false">
      <c r="A54" s="7" t="s">
        <v>241</v>
      </c>
      <c r="B54" s="7" t="s">
        <v>1461</v>
      </c>
      <c r="C54" s="7" t="n">
        <v>1</v>
      </c>
      <c r="D54" s="7" t="n">
        <v>1</v>
      </c>
      <c r="E54" s="7" t="n">
        <v>0</v>
      </c>
      <c r="F54" s="7" t="s">
        <v>1337</v>
      </c>
      <c r="G54" s="7"/>
      <c r="H54" s="7"/>
      <c r="I54" s="7"/>
      <c r="J54" s="7"/>
      <c r="K54" s="7"/>
      <c r="L54" s="7"/>
      <c r="M54" s="7" t="n">
        <v>0</v>
      </c>
      <c r="N54" s="7"/>
      <c r="O54" s="7"/>
      <c r="P54" s="7"/>
      <c r="Q54" s="7"/>
      <c r="R54" s="7" t="s">
        <v>1337</v>
      </c>
    </row>
    <row r="55" customFormat="false" ht="14.25" hidden="false" customHeight="false" outlineLevel="0" collapsed="false">
      <c r="A55" s="7" t="s">
        <v>247</v>
      </c>
      <c r="B55" s="7" t="s">
        <v>1462</v>
      </c>
      <c r="C55" s="7" t="n">
        <v>1</v>
      </c>
      <c r="D55" s="7" t="n">
        <v>0</v>
      </c>
      <c r="E55" s="7" t="n">
        <v>1</v>
      </c>
      <c r="F55" s="7" t="s">
        <v>1361</v>
      </c>
      <c r="G55" s="7"/>
      <c r="H55" s="7"/>
      <c r="I55" s="7"/>
      <c r="J55" s="7"/>
      <c r="K55" s="7"/>
      <c r="L55" s="7"/>
      <c r="M55" s="7" t="n">
        <v>0</v>
      </c>
      <c r="N55" s="7"/>
      <c r="O55" s="7"/>
      <c r="P55" s="7"/>
      <c r="Q55" s="7"/>
      <c r="R55" s="7" t="s">
        <v>1361</v>
      </c>
    </row>
    <row r="56" customFormat="false" ht="14.25" hidden="false" customHeight="false" outlineLevel="0" collapsed="false">
      <c r="A56" s="7" t="s">
        <v>247</v>
      </c>
      <c r="B56" s="7" t="s">
        <v>1463</v>
      </c>
      <c r="C56" s="7" t="n">
        <v>1</v>
      </c>
      <c r="D56" s="7" t="n">
        <v>1</v>
      </c>
      <c r="E56" s="7" t="n">
        <v>0</v>
      </c>
      <c r="F56" s="7" t="s">
        <v>1337</v>
      </c>
      <c r="G56" s="7"/>
      <c r="H56" s="7"/>
      <c r="I56" s="7"/>
      <c r="J56" s="7"/>
      <c r="K56" s="7"/>
      <c r="L56" s="7"/>
      <c r="M56" s="7" t="n">
        <v>0</v>
      </c>
      <c r="N56" s="7"/>
      <c r="O56" s="7"/>
      <c r="P56" s="7"/>
      <c r="Q56" s="7"/>
      <c r="R56" s="7" t="s">
        <v>1337</v>
      </c>
    </row>
    <row r="57" customFormat="false" ht="14.25" hidden="false" customHeight="false" outlineLevel="0" collapsed="false">
      <c r="A57" s="7" t="s">
        <v>250</v>
      </c>
      <c r="B57" s="7" t="s">
        <v>1464</v>
      </c>
      <c r="C57" s="7" t="n">
        <v>1</v>
      </c>
      <c r="D57" s="7" t="n">
        <v>1</v>
      </c>
      <c r="E57" s="7" t="n">
        <v>0</v>
      </c>
      <c r="F57" s="7" t="s">
        <v>1337</v>
      </c>
      <c r="G57" s="7" t="s">
        <v>1465</v>
      </c>
      <c r="H57" s="7" t="n">
        <v>1</v>
      </c>
      <c r="I57" s="7" t="s">
        <v>147</v>
      </c>
      <c r="J57" s="7" t="n">
        <v>1</v>
      </c>
      <c r="K57" s="7" t="n">
        <v>1</v>
      </c>
      <c r="L57" s="7" t="n">
        <v>9</v>
      </c>
      <c r="M57" s="7" t="n">
        <v>0</v>
      </c>
      <c r="N57" s="7"/>
      <c r="O57" s="7"/>
      <c r="P57" s="7" t="s">
        <v>1466</v>
      </c>
      <c r="Q57" s="7" t="s">
        <v>1355</v>
      </c>
      <c r="R57" s="7" t="s">
        <v>1337</v>
      </c>
    </row>
    <row r="58" customFormat="false" ht="14.25" hidden="false" customHeight="false" outlineLevel="0" collapsed="false">
      <c r="A58" s="7" t="s">
        <v>254</v>
      </c>
      <c r="B58" s="7" t="s">
        <v>1467</v>
      </c>
      <c r="C58" s="7" t="n">
        <v>1</v>
      </c>
      <c r="D58" s="7" t="n">
        <v>0</v>
      </c>
      <c r="E58" s="7" t="n">
        <v>1</v>
      </c>
      <c r="F58" s="7" t="s">
        <v>1361</v>
      </c>
      <c r="G58" s="7" t="s">
        <v>1468</v>
      </c>
      <c r="H58" s="7" t="n">
        <v>1</v>
      </c>
      <c r="I58" s="7" t="s">
        <v>147</v>
      </c>
      <c r="J58" s="7" t="n">
        <v>0</v>
      </c>
      <c r="K58" s="7" t="n">
        <v>0</v>
      </c>
      <c r="L58" s="7" t="n">
        <v>10</v>
      </c>
      <c r="M58" s="7" t="n">
        <v>0</v>
      </c>
      <c r="N58" s="7"/>
      <c r="O58" s="7"/>
      <c r="P58" s="7" t="s">
        <v>1371</v>
      </c>
      <c r="Q58" s="7" t="s">
        <v>1371</v>
      </c>
      <c r="R58" s="7" t="s">
        <v>1361</v>
      </c>
    </row>
    <row r="59" customFormat="false" ht="14.25" hidden="false" customHeight="false" outlineLevel="0" collapsed="false">
      <c r="A59" s="7" t="s">
        <v>254</v>
      </c>
      <c r="B59" s="7" t="s">
        <v>1469</v>
      </c>
      <c r="C59" s="7" t="n">
        <v>1</v>
      </c>
      <c r="D59" s="7" t="n">
        <v>1</v>
      </c>
      <c r="E59" s="7" t="n">
        <v>0</v>
      </c>
      <c r="F59" s="7" t="s">
        <v>1337</v>
      </c>
      <c r="G59" s="7" t="s">
        <v>1470</v>
      </c>
      <c r="H59" s="7"/>
      <c r="I59" s="7"/>
      <c r="J59" s="7"/>
      <c r="K59" s="7" t="n">
        <v>0</v>
      </c>
      <c r="L59" s="7" t="n">
        <v>10</v>
      </c>
      <c r="M59" s="7" t="n">
        <v>0</v>
      </c>
      <c r="N59" s="7"/>
      <c r="O59" s="7"/>
      <c r="P59" s="7" t="s">
        <v>1371</v>
      </c>
      <c r="Q59" s="7"/>
      <c r="R59" s="7" t="s">
        <v>1337</v>
      </c>
    </row>
    <row r="60" customFormat="false" ht="14.25" hidden="false" customHeight="false" outlineLevel="0" collapsed="false">
      <c r="A60" s="7" t="s">
        <v>256</v>
      </c>
      <c r="B60" s="7" t="s">
        <v>1471</v>
      </c>
      <c r="C60" s="7" t="n">
        <v>1</v>
      </c>
      <c r="D60" s="7" t="n">
        <v>1</v>
      </c>
      <c r="E60" s="7" t="n">
        <v>0</v>
      </c>
      <c r="F60" s="7" t="s">
        <v>1337</v>
      </c>
      <c r="G60" s="7"/>
      <c r="H60" s="7"/>
      <c r="I60" s="7"/>
      <c r="J60" s="7"/>
      <c r="K60" s="7"/>
      <c r="L60" s="7"/>
      <c r="M60" s="7" t="n">
        <v>0</v>
      </c>
      <c r="N60" s="7"/>
      <c r="O60" s="7"/>
      <c r="P60" s="7"/>
      <c r="Q60" s="7"/>
      <c r="R60" s="7" t="s">
        <v>1337</v>
      </c>
    </row>
    <row r="61" customFormat="false" ht="14.25" hidden="false" customHeight="false" outlineLevel="0" collapsed="false">
      <c r="A61" s="7" t="s">
        <v>265</v>
      </c>
      <c r="B61" s="7" t="s">
        <v>1472</v>
      </c>
      <c r="C61" s="7" t="n">
        <v>1</v>
      </c>
      <c r="D61" s="7" t="n">
        <v>1</v>
      </c>
      <c r="E61" s="7" t="n">
        <v>0</v>
      </c>
      <c r="F61" s="7" t="s">
        <v>1337</v>
      </c>
      <c r="G61" s="7" t="s">
        <v>1473</v>
      </c>
      <c r="H61" s="7" t="n">
        <v>1</v>
      </c>
      <c r="I61" s="7" t="s">
        <v>147</v>
      </c>
      <c r="J61" s="7" t="n">
        <v>0</v>
      </c>
      <c r="K61" s="7" t="n">
        <v>0</v>
      </c>
      <c r="L61" s="7" t="n">
        <v>0</v>
      </c>
      <c r="M61" s="7" t="n">
        <v>0</v>
      </c>
      <c r="N61" s="7"/>
      <c r="O61" s="7"/>
      <c r="P61" s="7" t="s">
        <v>1474</v>
      </c>
      <c r="Q61" s="7" t="s">
        <v>1371</v>
      </c>
      <c r="R61" s="7" t="s">
        <v>1337</v>
      </c>
    </row>
    <row r="62" customFormat="false" ht="14.25" hidden="false" customHeight="false" outlineLevel="0" collapsed="false">
      <c r="A62" s="7" t="s">
        <v>270</v>
      </c>
      <c r="B62" s="7" t="s">
        <v>1475</v>
      </c>
      <c r="C62" s="7" t="n">
        <v>1</v>
      </c>
      <c r="D62" s="7" t="n">
        <v>1</v>
      </c>
      <c r="E62" s="7" t="n">
        <v>0</v>
      </c>
      <c r="F62" s="7" t="s">
        <v>1337</v>
      </c>
      <c r="G62" s="7" t="s">
        <v>1476</v>
      </c>
      <c r="H62" s="7" t="n">
        <v>1</v>
      </c>
      <c r="I62" s="7" t="s">
        <v>147</v>
      </c>
      <c r="J62" s="7" t="n">
        <v>0</v>
      </c>
      <c r="K62" s="7" t="n">
        <v>0</v>
      </c>
      <c r="L62" s="7" t="n">
        <v>9</v>
      </c>
      <c r="M62" s="7" t="n">
        <v>0</v>
      </c>
      <c r="N62" s="7"/>
      <c r="O62" s="7"/>
      <c r="P62" s="7" t="s">
        <v>1371</v>
      </c>
      <c r="Q62" s="7" t="s">
        <v>1371</v>
      </c>
      <c r="R62" s="7" t="s">
        <v>1337</v>
      </c>
    </row>
    <row r="63" customFormat="false" ht="14.25" hidden="false" customHeight="false" outlineLevel="0" collapsed="false">
      <c r="A63" s="7" t="s">
        <v>270</v>
      </c>
      <c r="B63" s="7" t="s">
        <v>1477</v>
      </c>
      <c r="C63" s="7" t="n">
        <v>1</v>
      </c>
      <c r="D63" s="7" t="n">
        <v>1</v>
      </c>
      <c r="E63" s="7" t="n">
        <v>0</v>
      </c>
      <c r="F63" s="7" t="s">
        <v>1337</v>
      </c>
      <c r="G63" s="7" t="s">
        <v>1478</v>
      </c>
      <c r="H63" s="7"/>
      <c r="I63" s="7"/>
      <c r="J63" s="7" t="n">
        <v>0</v>
      </c>
      <c r="K63" s="7"/>
      <c r="L63" s="7" t="n">
        <v>10</v>
      </c>
      <c r="M63" s="7" t="n">
        <v>0</v>
      </c>
      <c r="N63" s="7"/>
      <c r="O63" s="7"/>
      <c r="P63" s="7"/>
      <c r="Q63" s="7" t="s">
        <v>1371</v>
      </c>
      <c r="R63" s="7" t="s">
        <v>1337</v>
      </c>
    </row>
    <row r="64" customFormat="false" ht="14.25" hidden="false" customHeight="false" outlineLevel="0" collapsed="false">
      <c r="A64" s="7" t="s">
        <v>272</v>
      </c>
      <c r="B64" s="7" t="s">
        <v>1479</v>
      </c>
      <c r="C64" s="7" t="n">
        <v>1</v>
      </c>
      <c r="D64" s="7" t="n">
        <v>1</v>
      </c>
      <c r="E64" s="7" t="n">
        <v>0</v>
      </c>
      <c r="F64" s="7" t="s">
        <v>1337</v>
      </c>
      <c r="G64" s="7"/>
      <c r="H64" s="7"/>
      <c r="I64" s="7"/>
      <c r="J64" s="7"/>
      <c r="K64" s="7"/>
      <c r="L64" s="7"/>
      <c r="M64" s="7" t="n">
        <v>0</v>
      </c>
      <c r="N64" s="7"/>
      <c r="O64" s="7"/>
      <c r="P64" s="7"/>
      <c r="Q64" s="7"/>
      <c r="R64" s="7" t="s">
        <v>1337</v>
      </c>
    </row>
    <row r="65" customFormat="false" ht="14.25" hidden="false" customHeight="false" outlineLevel="0" collapsed="false">
      <c r="A65" s="7" t="s">
        <v>272</v>
      </c>
      <c r="B65" s="7" t="s">
        <v>1480</v>
      </c>
      <c r="C65" s="7" t="n">
        <v>1</v>
      </c>
      <c r="D65" s="7" t="n">
        <v>1</v>
      </c>
      <c r="E65" s="7" t="n">
        <v>0</v>
      </c>
      <c r="F65" s="7" t="s">
        <v>1337</v>
      </c>
      <c r="G65" s="7"/>
      <c r="H65" s="7"/>
      <c r="I65" s="7"/>
      <c r="J65" s="7"/>
      <c r="K65" s="7"/>
      <c r="L65" s="7"/>
      <c r="M65" s="7" t="n">
        <v>0</v>
      </c>
      <c r="N65" s="7"/>
      <c r="O65" s="7"/>
      <c r="P65" s="7"/>
      <c r="Q65" s="7"/>
      <c r="R65" s="7" t="s">
        <v>1337</v>
      </c>
    </row>
    <row r="66" customFormat="false" ht="14.25" hidden="false" customHeight="false" outlineLevel="0" collapsed="false">
      <c r="A66" s="7" t="s">
        <v>275</v>
      </c>
      <c r="B66" s="7" t="s">
        <v>1481</v>
      </c>
      <c r="C66" s="7" t="n">
        <v>1</v>
      </c>
      <c r="D66" s="7" t="n">
        <v>1</v>
      </c>
      <c r="E66" s="7" t="n">
        <v>0</v>
      </c>
      <c r="F66" s="7" t="s">
        <v>1337</v>
      </c>
      <c r="G66" s="7"/>
      <c r="H66" s="7"/>
      <c r="I66" s="7"/>
      <c r="J66" s="7"/>
      <c r="K66" s="7"/>
      <c r="L66" s="7"/>
      <c r="M66" s="7" t="n">
        <v>0</v>
      </c>
      <c r="N66" s="7"/>
      <c r="O66" s="7"/>
      <c r="P66" s="7"/>
      <c r="Q66" s="7"/>
      <c r="R66" s="7" t="s">
        <v>1337</v>
      </c>
    </row>
    <row r="67" customFormat="false" ht="14.25" hidden="false" customHeight="false" outlineLevel="0" collapsed="false">
      <c r="A67" s="7" t="s">
        <v>279</v>
      </c>
      <c r="B67" s="7" t="s">
        <v>1482</v>
      </c>
      <c r="C67" s="7" t="n">
        <v>1</v>
      </c>
      <c r="D67" s="7" t="n">
        <v>1</v>
      </c>
      <c r="E67" s="7" t="n">
        <v>0</v>
      </c>
      <c r="F67" s="7" t="s">
        <v>1337</v>
      </c>
      <c r="G67" s="7"/>
      <c r="H67" s="7"/>
      <c r="I67" s="7"/>
      <c r="J67" s="7"/>
      <c r="K67" s="7"/>
      <c r="L67" s="7"/>
      <c r="M67" s="7" t="n">
        <v>0</v>
      </c>
      <c r="N67" s="7"/>
      <c r="O67" s="7"/>
      <c r="P67" s="7"/>
      <c r="Q67" s="7"/>
      <c r="R67" s="7" t="s">
        <v>1337</v>
      </c>
    </row>
    <row r="68" customFormat="false" ht="14.25" hidden="false" customHeight="false" outlineLevel="0" collapsed="false">
      <c r="A68" s="7" t="s">
        <v>203</v>
      </c>
      <c r="B68" s="7" t="s">
        <v>1483</v>
      </c>
      <c r="C68" s="7" t="n">
        <v>1</v>
      </c>
      <c r="D68" s="7" t="n">
        <v>1</v>
      </c>
      <c r="E68" s="7" t="n">
        <v>0</v>
      </c>
      <c r="F68" s="7" t="s">
        <v>1337</v>
      </c>
      <c r="G68" s="7" t="s">
        <v>1484</v>
      </c>
      <c r="H68" s="7"/>
      <c r="I68" s="7"/>
      <c r="J68" s="7"/>
      <c r="K68" s="7"/>
      <c r="L68" s="7"/>
      <c r="M68" s="7" t="n">
        <v>0</v>
      </c>
      <c r="N68" s="7"/>
      <c r="O68" s="7"/>
      <c r="P68" s="7"/>
      <c r="Q68" s="7"/>
      <c r="R68" s="7" t="s">
        <v>1337</v>
      </c>
    </row>
    <row r="69" customFormat="false" ht="14.25" hidden="false" customHeight="false" outlineLevel="0" collapsed="false">
      <c r="A69" s="7" t="s">
        <v>203</v>
      </c>
      <c r="B69" s="7" t="s">
        <v>1485</v>
      </c>
      <c r="C69" s="7" t="n">
        <v>1</v>
      </c>
      <c r="D69" s="7" t="n">
        <v>1</v>
      </c>
      <c r="E69" s="7" t="n">
        <v>0</v>
      </c>
      <c r="F69" s="7" t="s">
        <v>1337</v>
      </c>
      <c r="G69" s="7" t="s">
        <v>1484</v>
      </c>
      <c r="H69" s="7"/>
      <c r="I69" s="7"/>
      <c r="J69" s="7"/>
      <c r="K69" s="7"/>
      <c r="L69" s="7"/>
      <c r="M69" s="7" t="n">
        <v>0</v>
      </c>
      <c r="N69" s="7"/>
      <c r="O69" s="7"/>
      <c r="P69" s="7"/>
      <c r="Q69" s="7"/>
      <c r="R69" s="7" t="s">
        <v>1337</v>
      </c>
    </row>
    <row r="70" customFormat="false" ht="14.25" hidden="false" customHeight="false" outlineLevel="0" collapsed="false">
      <c r="A70" s="7" t="s">
        <v>284</v>
      </c>
      <c r="B70" s="7" t="s">
        <v>1486</v>
      </c>
      <c r="C70" s="7" t="n">
        <v>1</v>
      </c>
      <c r="D70" s="7" t="n">
        <v>1</v>
      </c>
      <c r="E70" s="7" t="n">
        <v>0</v>
      </c>
      <c r="F70" s="7" t="s">
        <v>1337</v>
      </c>
      <c r="G70" s="7"/>
      <c r="H70" s="7"/>
      <c r="I70" s="7"/>
      <c r="J70" s="7"/>
      <c r="K70" s="7"/>
      <c r="L70" s="7"/>
      <c r="M70" s="7" t="n">
        <v>0</v>
      </c>
      <c r="N70" s="7"/>
      <c r="O70" s="7"/>
      <c r="P70" s="7"/>
      <c r="Q70" s="7"/>
      <c r="R70" s="7" t="s">
        <v>1337</v>
      </c>
    </row>
    <row r="71" customFormat="false" ht="14.25" hidden="false" customHeight="false" outlineLevel="0" collapsed="false">
      <c r="A71" s="7" t="s">
        <v>284</v>
      </c>
      <c r="B71" s="7" t="s">
        <v>1487</v>
      </c>
      <c r="C71" s="7" t="n">
        <v>1</v>
      </c>
      <c r="D71" s="7" t="n">
        <v>1</v>
      </c>
      <c r="E71" s="7" t="n">
        <v>0</v>
      </c>
      <c r="F71" s="7" t="s">
        <v>1337</v>
      </c>
      <c r="G71" s="7"/>
      <c r="H71" s="7"/>
      <c r="I71" s="7"/>
      <c r="J71" s="7"/>
      <c r="K71" s="7"/>
      <c r="L71" s="7"/>
      <c r="M71" s="7" t="n">
        <v>0</v>
      </c>
      <c r="N71" s="7"/>
      <c r="O71" s="7"/>
      <c r="P71" s="7"/>
      <c r="Q71" s="7"/>
      <c r="R71" s="7" t="s">
        <v>1337</v>
      </c>
    </row>
    <row r="72" customFormat="false" ht="14.25" hidden="false" customHeight="false" outlineLevel="0" collapsed="false">
      <c r="A72" s="7" t="s">
        <v>284</v>
      </c>
      <c r="B72" s="7" t="s">
        <v>1488</v>
      </c>
      <c r="C72" s="7" t="n">
        <v>1</v>
      </c>
      <c r="D72" s="7" t="n">
        <v>1</v>
      </c>
      <c r="E72" s="7" t="n">
        <v>0</v>
      </c>
      <c r="F72" s="7" t="s">
        <v>1337</v>
      </c>
      <c r="G72" s="7"/>
      <c r="H72" s="7"/>
      <c r="I72" s="7"/>
      <c r="J72" s="7"/>
      <c r="K72" s="7"/>
      <c r="L72" s="7"/>
      <c r="M72" s="7" t="n">
        <v>0</v>
      </c>
      <c r="N72" s="7"/>
      <c r="O72" s="7"/>
      <c r="P72" s="7"/>
      <c r="Q72" s="7"/>
      <c r="R72" s="7" t="s">
        <v>1337</v>
      </c>
    </row>
    <row r="73" customFormat="false" ht="14.25" hidden="false" customHeight="false" outlineLevel="0" collapsed="false">
      <c r="A73" s="7" t="s">
        <v>289</v>
      </c>
      <c r="B73" s="7" t="s">
        <v>1489</v>
      </c>
      <c r="C73" s="7" t="n">
        <v>1</v>
      </c>
      <c r="D73" s="7" t="n">
        <v>1</v>
      </c>
      <c r="E73" s="7" t="n">
        <v>0</v>
      </c>
      <c r="F73" s="7" t="s">
        <v>1337</v>
      </c>
      <c r="G73" s="7"/>
      <c r="H73" s="7"/>
      <c r="I73" s="7"/>
      <c r="J73" s="7"/>
      <c r="K73" s="7"/>
      <c r="L73" s="7"/>
      <c r="M73" s="7" t="n">
        <v>0</v>
      </c>
      <c r="N73" s="7"/>
      <c r="O73" s="7"/>
      <c r="P73" s="7"/>
      <c r="Q73" s="7"/>
      <c r="R73" s="7" t="s">
        <v>1337</v>
      </c>
    </row>
    <row r="74" customFormat="false" ht="14.25" hidden="false" customHeight="false" outlineLevel="0" collapsed="false">
      <c r="A74" s="7" t="s">
        <v>289</v>
      </c>
      <c r="B74" s="7" t="s">
        <v>1490</v>
      </c>
      <c r="C74" s="7" t="n">
        <v>1</v>
      </c>
      <c r="D74" s="7" t="n">
        <v>0</v>
      </c>
      <c r="E74" s="7" t="n">
        <v>1</v>
      </c>
      <c r="F74" s="7" t="s">
        <v>1361</v>
      </c>
      <c r="G74" s="7"/>
      <c r="H74" s="7"/>
      <c r="I74" s="7"/>
      <c r="J74" s="7"/>
      <c r="K74" s="7"/>
      <c r="L74" s="7"/>
      <c r="M74" s="7" t="n">
        <v>0</v>
      </c>
      <c r="N74" s="7"/>
      <c r="O74" s="7"/>
      <c r="P74" s="7"/>
      <c r="Q74" s="7"/>
      <c r="R74" s="7" t="s">
        <v>1361</v>
      </c>
    </row>
    <row r="75" customFormat="false" ht="14.25" hidden="false" customHeight="false" outlineLevel="0" collapsed="false">
      <c r="A75" s="7" t="s">
        <v>295</v>
      </c>
      <c r="B75" s="7" t="s">
        <v>1491</v>
      </c>
      <c r="C75" s="7" t="n">
        <v>1</v>
      </c>
      <c r="D75" s="7" t="n">
        <v>1</v>
      </c>
      <c r="E75" s="7" t="n">
        <v>0</v>
      </c>
      <c r="F75" s="7" t="s">
        <v>1337</v>
      </c>
      <c r="G75" s="7"/>
      <c r="H75" s="7"/>
      <c r="I75" s="7"/>
      <c r="J75" s="7"/>
      <c r="K75" s="7"/>
      <c r="L75" s="7"/>
      <c r="M75" s="7" t="n">
        <v>0</v>
      </c>
      <c r="N75" s="7"/>
      <c r="O75" s="7"/>
      <c r="P75" s="7"/>
      <c r="Q75" s="7"/>
      <c r="R75" s="7" t="s">
        <v>1337</v>
      </c>
    </row>
    <row r="76" customFormat="false" ht="14.25" hidden="false" customHeight="false" outlineLevel="0" collapsed="false">
      <c r="A76" s="7" t="s">
        <v>299</v>
      </c>
      <c r="B76" s="7" t="s">
        <v>1492</v>
      </c>
      <c r="C76" s="7" t="n">
        <v>1</v>
      </c>
      <c r="D76" s="7" t="n">
        <v>1</v>
      </c>
      <c r="E76" s="7" t="n">
        <v>0</v>
      </c>
      <c r="F76" s="7" t="s">
        <v>1337</v>
      </c>
      <c r="G76" s="7" t="s">
        <v>1493</v>
      </c>
      <c r="H76" s="7" t="n">
        <v>2</v>
      </c>
      <c r="I76" s="7" t="s">
        <v>98</v>
      </c>
      <c r="J76" s="7" t="n">
        <v>1</v>
      </c>
      <c r="K76" s="7" t="n">
        <v>0</v>
      </c>
      <c r="L76" s="7"/>
      <c r="M76" s="7" t="n">
        <v>0</v>
      </c>
      <c r="N76" s="7"/>
      <c r="O76" s="7"/>
      <c r="P76" s="7" t="s">
        <v>1371</v>
      </c>
      <c r="Q76" s="7" t="s">
        <v>1355</v>
      </c>
      <c r="R76" s="7" t="s">
        <v>1337</v>
      </c>
    </row>
    <row r="77" customFormat="false" ht="14.25" hidden="false" customHeight="false" outlineLevel="0" collapsed="false">
      <c r="A77" s="7" t="s">
        <v>302</v>
      </c>
      <c r="B77" s="7" t="s">
        <v>1494</v>
      </c>
      <c r="C77" s="7" t="n">
        <v>1</v>
      </c>
      <c r="D77" s="7" t="n">
        <v>1</v>
      </c>
      <c r="E77" s="7" t="n">
        <v>0</v>
      </c>
      <c r="F77" s="7" t="s">
        <v>1337</v>
      </c>
      <c r="G77" s="7" t="s">
        <v>1495</v>
      </c>
      <c r="H77" s="7" t="n">
        <v>1</v>
      </c>
      <c r="I77" s="7" t="s">
        <v>147</v>
      </c>
      <c r="J77" s="7" t="n">
        <v>1</v>
      </c>
      <c r="K77" s="7" t="n">
        <v>0</v>
      </c>
      <c r="L77" s="7"/>
      <c r="M77" s="7" t="n">
        <v>0</v>
      </c>
      <c r="N77" s="7"/>
      <c r="O77" s="7"/>
      <c r="P77" s="7" t="s">
        <v>1371</v>
      </c>
      <c r="Q77" s="7" t="s">
        <v>1355</v>
      </c>
      <c r="R77" s="7" t="s">
        <v>1337</v>
      </c>
    </row>
    <row r="78" customFormat="false" ht="14.25" hidden="false" customHeight="false" outlineLevel="0" collapsed="false">
      <c r="A78" s="7" t="s">
        <v>307</v>
      </c>
      <c r="B78" s="7" t="s">
        <v>1496</v>
      </c>
      <c r="C78" s="7" t="n">
        <v>1</v>
      </c>
      <c r="D78" s="7" t="n">
        <v>1</v>
      </c>
      <c r="E78" s="7" t="n">
        <v>0</v>
      </c>
      <c r="F78" s="7" t="s">
        <v>1337</v>
      </c>
      <c r="G78" s="7"/>
      <c r="H78" s="7"/>
      <c r="I78" s="7"/>
      <c r="J78" s="7"/>
      <c r="K78" s="7"/>
      <c r="L78" s="7"/>
      <c r="M78" s="7" t="n">
        <v>0</v>
      </c>
      <c r="N78" s="7"/>
      <c r="O78" s="7"/>
      <c r="P78" s="7"/>
      <c r="Q78" s="7"/>
      <c r="R78" s="7" t="s">
        <v>1337</v>
      </c>
    </row>
    <row r="79" customFormat="false" ht="14.25" hidden="false" customHeight="false" outlineLevel="0" collapsed="false">
      <c r="A79" s="7" t="s">
        <v>310</v>
      </c>
      <c r="B79" s="7" t="s">
        <v>1497</v>
      </c>
      <c r="C79" s="7" t="n">
        <v>1</v>
      </c>
      <c r="D79" s="7" t="n">
        <v>1</v>
      </c>
      <c r="E79" s="7" t="n">
        <v>0</v>
      </c>
      <c r="F79" s="7" t="s">
        <v>1337</v>
      </c>
      <c r="G79" s="7" t="s">
        <v>1498</v>
      </c>
      <c r="H79" s="7" t="n">
        <v>0</v>
      </c>
      <c r="I79" s="7" t="s">
        <v>136</v>
      </c>
      <c r="J79" s="7" t="n">
        <v>1</v>
      </c>
      <c r="K79" s="7" t="n">
        <v>0</v>
      </c>
      <c r="L79" s="7"/>
      <c r="M79" s="7" t="n">
        <v>0</v>
      </c>
      <c r="N79" s="7"/>
      <c r="O79" s="7"/>
      <c r="P79" s="7" t="s">
        <v>1371</v>
      </c>
      <c r="Q79" s="7" t="s">
        <v>1355</v>
      </c>
      <c r="R79" s="7" t="s">
        <v>1337</v>
      </c>
    </row>
    <row r="80" customFormat="false" ht="14.25" hidden="false" customHeight="false" outlineLevel="0" collapsed="false">
      <c r="A80" s="7" t="s">
        <v>314</v>
      </c>
      <c r="B80" s="7" t="s">
        <v>1499</v>
      </c>
      <c r="C80" s="7" t="n">
        <v>1</v>
      </c>
      <c r="D80" s="7" t="n">
        <v>1</v>
      </c>
      <c r="E80" s="7" t="n">
        <v>0</v>
      </c>
      <c r="F80" s="7" t="s">
        <v>1337</v>
      </c>
      <c r="G80" s="7" t="s">
        <v>1500</v>
      </c>
      <c r="H80" s="7" t="n">
        <v>1</v>
      </c>
      <c r="I80" s="7" t="s">
        <v>147</v>
      </c>
      <c r="J80" s="7" t="n">
        <v>1</v>
      </c>
      <c r="K80" s="7" t="n">
        <v>0</v>
      </c>
      <c r="L80" s="7"/>
      <c r="M80" s="7" t="n">
        <v>0</v>
      </c>
      <c r="N80" s="7"/>
      <c r="O80" s="7"/>
      <c r="P80" s="7" t="s">
        <v>1371</v>
      </c>
      <c r="Q80" s="7" t="s">
        <v>1355</v>
      </c>
      <c r="R80" s="7" t="s">
        <v>1337</v>
      </c>
    </row>
    <row r="81" customFormat="false" ht="14.25" hidden="false" customHeight="false" outlineLevel="0" collapsed="false">
      <c r="A81" s="7" t="s">
        <v>314</v>
      </c>
      <c r="B81" s="7" t="s">
        <v>1501</v>
      </c>
      <c r="C81" s="7" t="n">
        <v>1</v>
      </c>
      <c r="D81" s="7" t="n">
        <v>1</v>
      </c>
      <c r="E81" s="7" t="n">
        <v>0</v>
      </c>
      <c r="F81" s="7" t="s">
        <v>1337</v>
      </c>
      <c r="G81" s="7"/>
      <c r="H81" s="7"/>
      <c r="I81" s="7"/>
      <c r="J81" s="7"/>
      <c r="K81" s="7"/>
      <c r="L81" s="7"/>
      <c r="M81" s="7" t="n">
        <v>0</v>
      </c>
      <c r="N81" s="7"/>
      <c r="O81" s="7"/>
      <c r="P81" s="7"/>
      <c r="Q81" s="7"/>
      <c r="R81" s="7" t="s">
        <v>1337</v>
      </c>
    </row>
    <row r="82" customFormat="false" ht="14.25" hidden="false" customHeight="false" outlineLevel="0" collapsed="false">
      <c r="A82" s="7" t="s">
        <v>314</v>
      </c>
      <c r="B82" s="7" t="s">
        <v>1502</v>
      </c>
      <c r="C82" s="7" t="n">
        <v>1</v>
      </c>
      <c r="D82" s="7" t="n">
        <v>1</v>
      </c>
      <c r="E82" s="7" t="n">
        <v>0</v>
      </c>
      <c r="F82" s="7" t="s">
        <v>1337</v>
      </c>
      <c r="G82" s="7"/>
      <c r="H82" s="7"/>
      <c r="I82" s="7"/>
      <c r="J82" s="7"/>
      <c r="K82" s="7"/>
      <c r="L82" s="7"/>
      <c r="M82" s="7" t="n">
        <v>0</v>
      </c>
      <c r="N82" s="7"/>
      <c r="O82" s="7"/>
      <c r="P82" s="7"/>
      <c r="Q82" s="7"/>
      <c r="R82" s="7" t="s">
        <v>1337</v>
      </c>
    </row>
    <row r="83" customFormat="false" ht="14.25" hidden="false" customHeight="false" outlineLevel="0" collapsed="false">
      <c r="A83" s="7" t="s">
        <v>318</v>
      </c>
      <c r="B83" s="7" t="s">
        <v>1395</v>
      </c>
      <c r="C83" s="7" t="n">
        <v>1</v>
      </c>
      <c r="D83" s="7" t="n">
        <v>1</v>
      </c>
      <c r="E83" s="7" t="n">
        <v>0</v>
      </c>
      <c r="F83" s="7" t="s">
        <v>1337</v>
      </c>
      <c r="G83" s="7"/>
      <c r="H83" s="7"/>
      <c r="I83" s="7"/>
      <c r="J83" s="7"/>
      <c r="K83" s="7" t="n">
        <v>1</v>
      </c>
      <c r="L83" s="7"/>
      <c r="M83" s="7" t="n">
        <v>0</v>
      </c>
      <c r="N83" s="7"/>
      <c r="O83" s="7"/>
      <c r="P83" s="7" t="s">
        <v>1503</v>
      </c>
      <c r="Q83" s="7"/>
      <c r="R83" s="7" t="s">
        <v>1337</v>
      </c>
    </row>
    <row r="84" customFormat="false" ht="14.25" hidden="false" customHeight="false" outlineLevel="0" collapsed="false">
      <c r="A84" s="7" t="s">
        <v>321</v>
      </c>
      <c r="B84" s="7"/>
      <c r="C84" s="7" t="n">
        <v>0</v>
      </c>
      <c r="D84" s="7" t="n">
        <v>0</v>
      </c>
      <c r="E84" s="7" t="n">
        <v>0</v>
      </c>
      <c r="F84" s="7" t="s">
        <v>262</v>
      </c>
      <c r="G84" s="7"/>
      <c r="H84" s="7"/>
      <c r="I84" s="7"/>
      <c r="J84" s="7"/>
      <c r="K84" s="7"/>
      <c r="L84" s="7"/>
      <c r="M84" s="7" t="n">
        <v>0</v>
      </c>
      <c r="N84" s="7"/>
      <c r="O84" s="7"/>
      <c r="P84" s="7"/>
      <c r="Q84" s="7"/>
      <c r="R84" s="7"/>
    </row>
    <row r="85" customFormat="false" ht="14.25" hidden="false" customHeight="false" outlineLevel="0" collapsed="false">
      <c r="A85" s="7" t="s">
        <v>325</v>
      </c>
      <c r="B85" s="7" t="s">
        <v>1504</v>
      </c>
      <c r="C85" s="7" t="n">
        <v>1</v>
      </c>
      <c r="D85" s="7" t="n">
        <v>0</v>
      </c>
      <c r="E85" s="7" t="n">
        <v>1</v>
      </c>
      <c r="F85" s="7" t="s">
        <v>1361</v>
      </c>
      <c r="G85" s="7" t="s">
        <v>1505</v>
      </c>
      <c r="H85" s="7" t="n">
        <v>2</v>
      </c>
      <c r="I85" s="7" t="s">
        <v>98</v>
      </c>
      <c r="J85" s="7" t="n">
        <v>0</v>
      </c>
      <c r="K85" s="7" t="n">
        <v>0</v>
      </c>
      <c r="L85" s="7" t="n">
        <v>20</v>
      </c>
      <c r="M85" s="7" t="n">
        <v>1</v>
      </c>
      <c r="N85" s="7"/>
      <c r="O85" s="7"/>
      <c r="P85" s="7" t="s">
        <v>1371</v>
      </c>
      <c r="Q85" s="7" t="s">
        <v>1371</v>
      </c>
      <c r="R85" s="7" t="s">
        <v>1361</v>
      </c>
    </row>
    <row r="86" customFormat="false" ht="14.25" hidden="false" customHeight="false" outlineLevel="0" collapsed="false">
      <c r="A86" s="7" t="s">
        <v>330</v>
      </c>
      <c r="B86" s="7" t="s">
        <v>1506</v>
      </c>
      <c r="C86" s="7" t="n">
        <v>1</v>
      </c>
      <c r="D86" s="7" t="n">
        <v>1</v>
      </c>
      <c r="E86" s="7" t="n">
        <v>0</v>
      </c>
      <c r="F86" s="7" t="s">
        <v>1337</v>
      </c>
      <c r="G86" s="7"/>
      <c r="H86" s="7"/>
      <c r="I86" s="7"/>
      <c r="J86" s="7"/>
      <c r="K86" s="7"/>
      <c r="L86" s="7"/>
      <c r="M86" s="7" t="n">
        <v>0</v>
      </c>
      <c r="N86" s="7"/>
      <c r="O86" s="7"/>
      <c r="P86" s="7"/>
      <c r="Q86" s="7"/>
      <c r="R86" s="7" t="s">
        <v>1337</v>
      </c>
    </row>
    <row r="87" customFormat="false" ht="14.25" hidden="false" customHeight="false" outlineLevel="0" collapsed="false">
      <c r="A87" s="7" t="s">
        <v>330</v>
      </c>
      <c r="B87" s="7" t="s">
        <v>1507</v>
      </c>
      <c r="C87" s="7" t="n">
        <v>1</v>
      </c>
      <c r="D87" s="7" t="n">
        <v>1</v>
      </c>
      <c r="E87" s="7" t="n">
        <v>0</v>
      </c>
      <c r="F87" s="7" t="s">
        <v>1337</v>
      </c>
      <c r="G87" s="7"/>
      <c r="H87" s="7"/>
      <c r="I87" s="7"/>
      <c r="J87" s="7"/>
      <c r="K87" s="7" t="n">
        <v>1</v>
      </c>
      <c r="L87" s="7"/>
      <c r="M87" s="7" t="n">
        <v>0</v>
      </c>
      <c r="N87" s="7"/>
      <c r="O87" s="7"/>
      <c r="P87" s="7" t="s">
        <v>1508</v>
      </c>
      <c r="Q87" s="7"/>
      <c r="R87" s="7" t="s">
        <v>1337</v>
      </c>
    </row>
    <row r="88" customFormat="false" ht="14.25" hidden="false" customHeight="false" outlineLevel="0" collapsed="false">
      <c r="A88" s="7" t="s">
        <v>334</v>
      </c>
      <c r="B88" s="7" t="s">
        <v>1509</v>
      </c>
      <c r="C88" s="7" t="n">
        <v>1</v>
      </c>
      <c r="D88" s="7" t="n">
        <v>0</v>
      </c>
      <c r="E88" s="7" t="n">
        <v>1</v>
      </c>
      <c r="F88" s="7" t="s">
        <v>1361</v>
      </c>
      <c r="G88" s="7"/>
      <c r="H88" s="7"/>
      <c r="I88" s="7"/>
      <c r="J88" s="7" t="n">
        <v>0</v>
      </c>
      <c r="K88" s="7" t="n">
        <v>1</v>
      </c>
      <c r="L88" s="7" t="n">
        <v>10</v>
      </c>
      <c r="M88" s="7" t="n">
        <v>1</v>
      </c>
      <c r="N88" s="7"/>
      <c r="O88" s="7"/>
      <c r="P88" s="7" t="s">
        <v>1510</v>
      </c>
      <c r="Q88" s="7" t="s">
        <v>1371</v>
      </c>
      <c r="R88" s="7" t="s">
        <v>1361</v>
      </c>
    </row>
    <row r="89" customFormat="false" ht="14.25" hidden="false" customHeight="false" outlineLevel="0" collapsed="false">
      <c r="A89" s="7" t="s">
        <v>334</v>
      </c>
      <c r="B89" s="7" t="s">
        <v>1511</v>
      </c>
      <c r="C89" s="7" t="n">
        <v>1</v>
      </c>
      <c r="D89" s="7" t="n">
        <v>1</v>
      </c>
      <c r="E89" s="7" t="n">
        <v>0</v>
      </c>
      <c r="F89" s="7" t="s">
        <v>1337</v>
      </c>
      <c r="G89" s="7"/>
      <c r="H89" s="7"/>
      <c r="I89" s="7"/>
      <c r="J89" s="7"/>
      <c r="K89" s="7"/>
      <c r="L89" s="7"/>
      <c r="M89" s="7" t="n">
        <v>0</v>
      </c>
      <c r="N89" s="7"/>
      <c r="O89" s="7"/>
      <c r="P89" s="7"/>
      <c r="Q89" s="7"/>
      <c r="R89" s="7" t="s">
        <v>1337</v>
      </c>
    </row>
    <row r="90" customFormat="false" ht="14.25" hidden="false" customHeight="false" outlineLevel="0" collapsed="false">
      <c r="A90" s="7" t="s">
        <v>334</v>
      </c>
      <c r="B90" s="7" t="s">
        <v>1512</v>
      </c>
      <c r="C90" s="7" t="n">
        <v>1</v>
      </c>
      <c r="D90" s="7" t="n">
        <v>1</v>
      </c>
      <c r="E90" s="7" t="n">
        <v>0</v>
      </c>
      <c r="F90" s="7" t="s">
        <v>1337</v>
      </c>
      <c r="G90" s="7"/>
      <c r="H90" s="7"/>
      <c r="I90" s="7"/>
      <c r="J90" s="7"/>
      <c r="K90" s="7"/>
      <c r="L90" s="7"/>
      <c r="M90" s="7" t="n">
        <v>0</v>
      </c>
      <c r="N90" s="7"/>
      <c r="O90" s="7"/>
      <c r="P90" s="7"/>
      <c r="Q90" s="7"/>
      <c r="R90" s="7" t="s">
        <v>1337</v>
      </c>
    </row>
    <row r="91" customFormat="false" ht="14.25" hidden="false" customHeight="false" outlineLevel="0" collapsed="false">
      <c r="A91" s="7" t="s">
        <v>334</v>
      </c>
      <c r="B91" s="7" t="s">
        <v>1513</v>
      </c>
      <c r="C91" s="7" t="n">
        <v>1</v>
      </c>
      <c r="D91" s="7" t="n">
        <v>1</v>
      </c>
      <c r="E91" s="7" t="n">
        <v>0</v>
      </c>
      <c r="F91" s="7" t="s">
        <v>1337</v>
      </c>
      <c r="G91" s="7"/>
      <c r="H91" s="7"/>
      <c r="I91" s="7"/>
      <c r="J91" s="7"/>
      <c r="K91" s="7"/>
      <c r="L91" s="7"/>
      <c r="M91" s="7" t="n">
        <v>0</v>
      </c>
      <c r="N91" s="7"/>
      <c r="O91" s="7"/>
      <c r="P91" s="7"/>
      <c r="Q91" s="7"/>
      <c r="R91" s="7" t="s">
        <v>1337</v>
      </c>
    </row>
    <row r="92" customFormat="false" ht="14.25" hidden="false" customHeight="false" outlineLevel="0" collapsed="false">
      <c r="A92" s="7" t="s">
        <v>339</v>
      </c>
      <c r="B92" s="7" t="s">
        <v>1514</v>
      </c>
      <c r="C92" s="7" t="n">
        <v>1</v>
      </c>
      <c r="D92" s="7" t="n">
        <v>0</v>
      </c>
      <c r="E92" s="7" t="n">
        <v>1</v>
      </c>
      <c r="F92" s="7" t="s">
        <v>1361</v>
      </c>
      <c r="G92" s="7" t="s">
        <v>1515</v>
      </c>
      <c r="H92" s="7" t="n">
        <v>2</v>
      </c>
      <c r="I92" s="7" t="s">
        <v>98</v>
      </c>
      <c r="J92" s="7" t="n">
        <v>0</v>
      </c>
      <c r="K92" s="7" t="n">
        <v>0</v>
      </c>
      <c r="L92" s="7" t="n">
        <v>13</v>
      </c>
      <c r="M92" s="7" t="n">
        <v>0</v>
      </c>
      <c r="N92" s="7" t="s">
        <v>161</v>
      </c>
      <c r="O92" s="7" t="n">
        <v>30.5</v>
      </c>
      <c r="P92" s="7" t="s">
        <v>1371</v>
      </c>
      <c r="Q92" s="7" t="s">
        <v>1371</v>
      </c>
      <c r="R92" s="7" t="s">
        <v>1361</v>
      </c>
    </row>
    <row r="93" customFormat="false" ht="14.25" hidden="false" customHeight="false" outlineLevel="0" collapsed="false">
      <c r="A93" s="7" t="s">
        <v>344</v>
      </c>
      <c r="B93" s="7" t="s">
        <v>1516</v>
      </c>
      <c r="C93" s="7" t="n">
        <v>1</v>
      </c>
      <c r="D93" s="7" t="n">
        <v>0</v>
      </c>
      <c r="E93" s="7" t="n">
        <v>1</v>
      </c>
      <c r="F93" s="7" t="s">
        <v>1361</v>
      </c>
      <c r="G93" s="7" t="s">
        <v>1517</v>
      </c>
      <c r="H93" s="7" t="n">
        <v>1</v>
      </c>
      <c r="I93" s="7" t="s">
        <v>147</v>
      </c>
      <c r="J93" s="7" t="n">
        <v>0</v>
      </c>
      <c r="K93" s="7" t="n">
        <v>0</v>
      </c>
      <c r="L93" s="7"/>
      <c r="M93" s="7" t="n">
        <v>0</v>
      </c>
      <c r="N93" s="7"/>
      <c r="O93" s="7"/>
      <c r="P93" s="7" t="s">
        <v>1371</v>
      </c>
      <c r="Q93" s="7" t="s">
        <v>1371</v>
      </c>
      <c r="R93" s="7" t="s">
        <v>1361</v>
      </c>
    </row>
    <row r="94" customFormat="false" ht="14.25" hidden="false" customHeight="false" outlineLevel="0" collapsed="false">
      <c r="A94" s="7" t="s">
        <v>349</v>
      </c>
      <c r="B94" s="7" t="s">
        <v>1518</v>
      </c>
      <c r="C94" s="7" t="n">
        <v>1</v>
      </c>
      <c r="D94" s="7" t="n">
        <v>1</v>
      </c>
      <c r="E94" s="7" t="n">
        <v>0</v>
      </c>
      <c r="F94" s="7" t="s">
        <v>1337</v>
      </c>
      <c r="G94" s="7" t="s">
        <v>1519</v>
      </c>
      <c r="H94" s="7" t="n">
        <v>2</v>
      </c>
      <c r="I94" s="7" t="s">
        <v>98</v>
      </c>
      <c r="J94" s="7" t="n">
        <v>1</v>
      </c>
      <c r="K94" s="7" t="n">
        <v>1</v>
      </c>
      <c r="L94" s="7" t="n">
        <v>6.5</v>
      </c>
      <c r="M94" s="7" t="n">
        <v>0</v>
      </c>
      <c r="N94" s="7" t="s">
        <v>1520</v>
      </c>
      <c r="O94" s="7" t="n">
        <v>6</v>
      </c>
      <c r="P94" s="7" t="s">
        <v>1521</v>
      </c>
      <c r="Q94" s="7" t="s">
        <v>1522</v>
      </c>
      <c r="R94" s="7" t="s">
        <v>1337</v>
      </c>
    </row>
    <row r="95" customFormat="false" ht="14.25" hidden="false" customHeight="false" outlineLevel="0" collapsed="false">
      <c r="A95" s="7" t="s">
        <v>354</v>
      </c>
      <c r="B95" s="7" t="s">
        <v>1523</v>
      </c>
      <c r="C95" s="7" t="n">
        <v>1</v>
      </c>
      <c r="D95" s="7" t="n">
        <v>1</v>
      </c>
      <c r="E95" s="7" t="n">
        <v>0</v>
      </c>
      <c r="F95" s="7" t="s">
        <v>1337</v>
      </c>
      <c r="G95" s="7"/>
      <c r="H95" s="7"/>
      <c r="I95" s="7"/>
      <c r="J95" s="7"/>
      <c r="K95" s="7"/>
      <c r="L95" s="7"/>
      <c r="M95" s="7" t="n">
        <v>0</v>
      </c>
      <c r="N95" s="7"/>
      <c r="O95" s="7"/>
      <c r="P95" s="7"/>
      <c r="Q95" s="7"/>
      <c r="R95" s="7" t="s">
        <v>1337</v>
      </c>
    </row>
    <row r="96" customFormat="false" ht="14.25" hidden="false" customHeight="false" outlineLevel="0" collapsed="false">
      <c r="A96" s="7" t="s">
        <v>359</v>
      </c>
      <c r="B96" s="7" t="s">
        <v>1524</v>
      </c>
      <c r="C96" s="7" t="n">
        <v>1</v>
      </c>
      <c r="D96" s="7" t="n">
        <v>1</v>
      </c>
      <c r="E96" s="7" t="n">
        <v>0</v>
      </c>
      <c r="F96" s="7" t="s">
        <v>1337</v>
      </c>
      <c r="G96" s="7"/>
      <c r="H96" s="7"/>
      <c r="I96" s="7"/>
      <c r="J96" s="7" t="n">
        <v>1</v>
      </c>
      <c r="K96" s="7" t="n">
        <v>1</v>
      </c>
      <c r="L96" s="7"/>
      <c r="M96" s="7" t="n">
        <v>0</v>
      </c>
      <c r="N96" s="7"/>
      <c r="O96" s="7"/>
      <c r="P96" s="7" t="s">
        <v>1525</v>
      </c>
      <c r="Q96" s="7" t="s">
        <v>1526</v>
      </c>
      <c r="R96" s="7" t="s">
        <v>1337</v>
      </c>
    </row>
    <row r="97" customFormat="false" ht="14.25" hidden="false" customHeight="false" outlineLevel="0" collapsed="false">
      <c r="A97" s="7" t="s">
        <v>362</v>
      </c>
      <c r="B97" s="7" t="s">
        <v>1527</v>
      </c>
      <c r="C97" s="7" t="n">
        <v>1</v>
      </c>
      <c r="D97" s="7" t="n">
        <v>1</v>
      </c>
      <c r="E97" s="7" t="n">
        <v>0</v>
      </c>
      <c r="F97" s="7" t="s">
        <v>1337</v>
      </c>
      <c r="G97" s="7"/>
      <c r="H97" s="7"/>
      <c r="I97" s="7"/>
      <c r="J97" s="7"/>
      <c r="K97" s="7"/>
      <c r="L97" s="7"/>
      <c r="M97" s="7" t="n">
        <v>0</v>
      </c>
      <c r="N97" s="7"/>
      <c r="O97" s="7"/>
      <c r="P97" s="7"/>
      <c r="Q97" s="7"/>
      <c r="R97" s="7" t="s">
        <v>1337</v>
      </c>
    </row>
    <row r="98" customFormat="false" ht="14.25" hidden="false" customHeight="false" outlineLevel="0" collapsed="false">
      <c r="A98" s="7" t="s">
        <v>362</v>
      </c>
      <c r="B98" s="7" t="s">
        <v>1528</v>
      </c>
      <c r="C98" s="7" t="n">
        <v>1</v>
      </c>
      <c r="D98" s="7" t="n">
        <v>1</v>
      </c>
      <c r="E98" s="7" t="n">
        <v>0</v>
      </c>
      <c r="F98" s="7" t="s">
        <v>1337</v>
      </c>
      <c r="G98" s="7"/>
      <c r="H98" s="7"/>
      <c r="I98" s="7"/>
      <c r="J98" s="7"/>
      <c r="K98" s="7"/>
      <c r="L98" s="7"/>
      <c r="M98" s="7" t="n">
        <v>0</v>
      </c>
      <c r="N98" s="7"/>
      <c r="O98" s="7"/>
      <c r="P98" s="7"/>
      <c r="Q98" s="7"/>
      <c r="R98" s="7" t="s">
        <v>1337</v>
      </c>
    </row>
    <row r="99" customFormat="false" ht="14.25" hidden="false" customHeight="false" outlineLevel="0" collapsed="false">
      <c r="A99" s="7" t="s">
        <v>365</v>
      </c>
      <c r="B99" s="7"/>
      <c r="C99" s="7" t="n">
        <v>0</v>
      </c>
      <c r="D99" s="7" t="n">
        <v>0</v>
      </c>
      <c r="E99" s="7" t="n">
        <v>0</v>
      </c>
      <c r="F99" s="7" t="s">
        <v>262</v>
      </c>
      <c r="G99" s="7"/>
      <c r="H99" s="7"/>
      <c r="I99" s="7"/>
      <c r="J99" s="7"/>
      <c r="K99" s="7"/>
      <c r="L99" s="7"/>
      <c r="M99" s="7" t="n">
        <v>0</v>
      </c>
      <c r="N99" s="7"/>
      <c r="O99" s="7"/>
      <c r="P99" s="7"/>
      <c r="Q99" s="7"/>
      <c r="R99" s="7"/>
    </row>
    <row r="100" customFormat="false" ht="14.25" hidden="false" customHeight="false" outlineLevel="0" collapsed="false">
      <c r="A100" s="7" t="s">
        <v>367</v>
      </c>
      <c r="B100" s="7" t="s">
        <v>1529</v>
      </c>
      <c r="C100" s="7" t="n">
        <v>1</v>
      </c>
      <c r="D100" s="7" t="n">
        <v>0</v>
      </c>
      <c r="E100" s="7" t="n">
        <v>1</v>
      </c>
      <c r="F100" s="7" t="s">
        <v>1361</v>
      </c>
      <c r="G100" s="7" t="s">
        <v>1530</v>
      </c>
      <c r="H100" s="7" t="n">
        <v>1</v>
      </c>
      <c r="I100" s="7" t="s">
        <v>147</v>
      </c>
      <c r="J100" s="7" t="n">
        <v>1</v>
      </c>
      <c r="K100" s="7" t="n">
        <v>1</v>
      </c>
      <c r="L100" s="7" t="n">
        <v>7</v>
      </c>
      <c r="M100" s="7" t="n">
        <v>0</v>
      </c>
      <c r="N100" s="7"/>
      <c r="O100" s="7"/>
      <c r="P100" s="7" t="s">
        <v>1355</v>
      </c>
      <c r="Q100" s="7" t="s">
        <v>1355</v>
      </c>
      <c r="R100" s="7" t="s">
        <v>1361</v>
      </c>
    </row>
    <row r="101" customFormat="false" ht="14.25" hidden="false" customHeight="false" outlineLevel="0" collapsed="false">
      <c r="A101" s="7" t="s">
        <v>373</v>
      </c>
      <c r="B101" s="7" t="s">
        <v>1531</v>
      </c>
      <c r="C101" s="7" t="n">
        <v>1</v>
      </c>
      <c r="D101" s="7" t="n">
        <v>1</v>
      </c>
      <c r="E101" s="7" t="n">
        <v>0</v>
      </c>
      <c r="F101" s="7" t="s">
        <v>1337</v>
      </c>
      <c r="G101" s="7" t="s">
        <v>1532</v>
      </c>
      <c r="H101" s="7" t="n">
        <v>2</v>
      </c>
      <c r="I101" s="7" t="s">
        <v>98</v>
      </c>
      <c r="J101" s="7" t="n">
        <v>1</v>
      </c>
      <c r="K101" s="7" t="n">
        <v>1</v>
      </c>
      <c r="L101" s="7" t="n">
        <v>5</v>
      </c>
      <c r="M101" s="7" t="n">
        <v>0</v>
      </c>
      <c r="N101" s="7"/>
      <c r="O101" s="7"/>
      <c r="P101" s="7" t="s">
        <v>1355</v>
      </c>
      <c r="Q101" s="7" t="s">
        <v>1355</v>
      </c>
      <c r="R101" s="7" t="s">
        <v>1337</v>
      </c>
    </row>
    <row r="102" customFormat="false" ht="14.25" hidden="false" customHeight="false" outlineLevel="0" collapsed="false">
      <c r="A102" s="7" t="s">
        <v>379</v>
      </c>
      <c r="B102" s="7" t="s">
        <v>1533</v>
      </c>
      <c r="C102" s="7" t="n">
        <v>1</v>
      </c>
      <c r="D102" s="7" t="n">
        <v>0</v>
      </c>
      <c r="E102" s="7" t="n">
        <v>1</v>
      </c>
      <c r="F102" s="7" t="s">
        <v>1361</v>
      </c>
      <c r="G102" s="7" t="s">
        <v>1534</v>
      </c>
      <c r="H102" s="7" t="n">
        <v>2</v>
      </c>
      <c r="I102" s="7" t="s">
        <v>98</v>
      </c>
      <c r="J102" s="7" t="n">
        <v>0</v>
      </c>
      <c r="K102" s="7" t="n">
        <v>0</v>
      </c>
      <c r="L102" s="7" t="n">
        <v>23</v>
      </c>
      <c r="M102" s="7" t="n">
        <v>0</v>
      </c>
      <c r="N102" s="7" t="s">
        <v>161</v>
      </c>
      <c r="O102" s="7" t="n">
        <v>30.5</v>
      </c>
      <c r="P102" s="7" t="s">
        <v>1371</v>
      </c>
      <c r="Q102" s="7" t="s">
        <v>1371</v>
      </c>
      <c r="R102" s="7" t="s">
        <v>1361</v>
      </c>
    </row>
    <row r="103" customFormat="false" ht="14.25" hidden="false" customHeight="false" outlineLevel="0" collapsed="false">
      <c r="A103" s="7" t="s">
        <v>379</v>
      </c>
      <c r="B103" s="7" t="s">
        <v>1360</v>
      </c>
      <c r="C103" s="7" t="n">
        <v>1</v>
      </c>
      <c r="D103" s="7" t="n">
        <v>0</v>
      </c>
      <c r="E103" s="7" t="n">
        <v>1</v>
      </c>
      <c r="F103" s="7" t="s">
        <v>1361</v>
      </c>
      <c r="G103" s="7" t="s">
        <v>1535</v>
      </c>
      <c r="H103" s="7" t="n">
        <v>2</v>
      </c>
      <c r="I103" s="7" t="s">
        <v>98</v>
      </c>
      <c r="J103" s="7" t="n">
        <v>1</v>
      </c>
      <c r="K103" s="7" t="n">
        <v>1</v>
      </c>
      <c r="L103" s="7" t="n">
        <v>30</v>
      </c>
      <c r="M103" s="7" t="n">
        <v>0</v>
      </c>
      <c r="N103" s="7" t="s">
        <v>161</v>
      </c>
      <c r="O103" s="7" t="n">
        <v>30.5</v>
      </c>
      <c r="P103" s="7" t="s">
        <v>1355</v>
      </c>
      <c r="Q103" s="7" t="s">
        <v>1355</v>
      </c>
      <c r="R103" s="7" t="s">
        <v>1361</v>
      </c>
    </row>
    <row r="104" customFormat="false" ht="14.25" hidden="false" customHeight="false" outlineLevel="0" collapsed="false">
      <c r="A104" s="7" t="s">
        <v>383</v>
      </c>
      <c r="B104" s="7" t="s">
        <v>1536</v>
      </c>
      <c r="C104" s="7" t="n">
        <v>1</v>
      </c>
      <c r="D104" s="7" t="n">
        <v>1</v>
      </c>
      <c r="E104" s="7" t="n">
        <v>0</v>
      </c>
      <c r="F104" s="7" t="s">
        <v>1337</v>
      </c>
      <c r="G104" s="7" t="s">
        <v>1537</v>
      </c>
      <c r="H104" s="7" t="n">
        <v>2</v>
      </c>
      <c r="I104" s="7" t="s">
        <v>98</v>
      </c>
      <c r="J104" s="7" t="n">
        <v>0</v>
      </c>
      <c r="K104" s="7" t="n">
        <v>1</v>
      </c>
      <c r="L104" s="7" t="n">
        <v>15</v>
      </c>
      <c r="M104" s="7" t="n">
        <v>1</v>
      </c>
      <c r="N104" s="7"/>
      <c r="O104" s="7"/>
      <c r="P104" s="7" t="s">
        <v>1355</v>
      </c>
      <c r="Q104" s="7" t="s">
        <v>1371</v>
      </c>
      <c r="R104" s="7" t="s">
        <v>1337</v>
      </c>
    </row>
    <row r="105" customFormat="false" ht="14.25" hidden="false" customHeight="false" outlineLevel="0" collapsed="false">
      <c r="A105" s="7" t="s">
        <v>389</v>
      </c>
      <c r="B105" s="7" t="s">
        <v>1538</v>
      </c>
      <c r="C105" s="7" t="n">
        <v>1</v>
      </c>
      <c r="D105" s="7" t="n">
        <v>1</v>
      </c>
      <c r="E105" s="7" t="n">
        <v>0</v>
      </c>
      <c r="F105" s="7" t="s">
        <v>1337</v>
      </c>
      <c r="G105" s="7" t="s">
        <v>1539</v>
      </c>
      <c r="H105" s="7" t="n">
        <v>1</v>
      </c>
      <c r="I105" s="7" t="s">
        <v>147</v>
      </c>
      <c r="J105" s="7" t="n">
        <v>1</v>
      </c>
      <c r="K105" s="7" t="n">
        <v>1</v>
      </c>
      <c r="L105" s="7" t="n">
        <v>20</v>
      </c>
      <c r="M105" s="7" t="n">
        <v>1</v>
      </c>
      <c r="N105" s="7" t="s">
        <v>161</v>
      </c>
      <c r="O105" s="7" t="n">
        <v>30.5</v>
      </c>
      <c r="P105" s="7" t="s">
        <v>1355</v>
      </c>
      <c r="Q105" s="7" t="s">
        <v>1355</v>
      </c>
      <c r="R105" s="7" t="s">
        <v>1337</v>
      </c>
    </row>
    <row r="106" customFormat="false" ht="14.25" hidden="false" customHeight="false" outlineLevel="0" collapsed="false">
      <c r="A106" s="7" t="s">
        <v>389</v>
      </c>
      <c r="B106" s="7" t="s">
        <v>1540</v>
      </c>
      <c r="C106" s="7" t="n">
        <v>1</v>
      </c>
      <c r="D106" s="7" t="n">
        <v>1</v>
      </c>
      <c r="E106" s="7" t="n">
        <v>0</v>
      </c>
      <c r="F106" s="7" t="s">
        <v>1337</v>
      </c>
      <c r="G106" s="7" t="s">
        <v>1541</v>
      </c>
      <c r="H106" s="7" t="n">
        <v>2</v>
      </c>
      <c r="I106" s="7" t="s">
        <v>98</v>
      </c>
      <c r="J106" s="7" t="n">
        <v>1</v>
      </c>
      <c r="K106" s="7" t="n">
        <v>0</v>
      </c>
      <c r="L106" s="7" t="n">
        <v>12</v>
      </c>
      <c r="M106" s="7" t="n">
        <v>1</v>
      </c>
      <c r="N106" s="7" t="s">
        <v>161</v>
      </c>
      <c r="O106" s="7" t="n">
        <v>30.5</v>
      </c>
      <c r="P106" s="7" t="s">
        <v>1371</v>
      </c>
      <c r="Q106" s="7" t="s">
        <v>1355</v>
      </c>
      <c r="R106" s="7" t="s">
        <v>1337</v>
      </c>
    </row>
    <row r="107" customFormat="false" ht="14.25" hidden="false" customHeight="false" outlineLevel="0" collapsed="false">
      <c r="A107" s="7" t="s">
        <v>393</v>
      </c>
      <c r="B107" s="7" t="s">
        <v>1542</v>
      </c>
      <c r="C107" s="7" t="n">
        <v>1</v>
      </c>
      <c r="D107" s="7" t="n">
        <v>1</v>
      </c>
      <c r="E107" s="7" t="n">
        <v>0</v>
      </c>
      <c r="F107" s="7" t="s">
        <v>1337</v>
      </c>
      <c r="G107" s="7" t="s">
        <v>1543</v>
      </c>
      <c r="H107" s="7" t="n">
        <v>3</v>
      </c>
      <c r="I107" s="7" t="s">
        <v>120</v>
      </c>
      <c r="J107" s="7" t="n">
        <v>1</v>
      </c>
      <c r="K107" s="7" t="n">
        <v>1</v>
      </c>
      <c r="L107" s="7" t="n">
        <v>16</v>
      </c>
      <c r="M107" s="7" t="n">
        <v>0</v>
      </c>
      <c r="N107" s="7" t="s">
        <v>130</v>
      </c>
      <c r="O107" s="7" t="n">
        <v>125.5</v>
      </c>
      <c r="P107" s="7" t="s">
        <v>1355</v>
      </c>
      <c r="Q107" s="7" t="s">
        <v>1355</v>
      </c>
      <c r="R107" s="7" t="s">
        <v>1337</v>
      </c>
    </row>
    <row r="108" customFormat="false" ht="14.25" hidden="false" customHeight="false" outlineLevel="0" collapsed="false">
      <c r="A108" s="7" t="s">
        <v>397</v>
      </c>
      <c r="B108" s="7" t="s">
        <v>1544</v>
      </c>
      <c r="C108" s="7" t="n">
        <v>1</v>
      </c>
      <c r="D108" s="7" t="n">
        <v>1</v>
      </c>
      <c r="E108" s="7" t="n">
        <v>0</v>
      </c>
      <c r="F108" s="7" t="s">
        <v>1337</v>
      </c>
      <c r="G108" s="7" t="s">
        <v>1545</v>
      </c>
      <c r="H108" s="7" t="n">
        <v>1</v>
      </c>
      <c r="I108" s="7" t="s">
        <v>147</v>
      </c>
      <c r="J108" s="7" t="n">
        <v>0</v>
      </c>
      <c r="K108" s="7" t="n">
        <v>1</v>
      </c>
      <c r="L108" s="7" t="n">
        <v>30</v>
      </c>
      <c r="M108" s="7" t="n">
        <v>1</v>
      </c>
      <c r="N108" s="7" t="s">
        <v>161</v>
      </c>
      <c r="O108" s="7" t="n">
        <v>30.5</v>
      </c>
      <c r="P108" s="7" t="s">
        <v>1355</v>
      </c>
      <c r="Q108" s="7" t="s">
        <v>1371</v>
      </c>
      <c r="R108" s="7" t="s">
        <v>1337</v>
      </c>
    </row>
    <row r="109" customFormat="false" ht="14.25" hidden="false" customHeight="false" outlineLevel="0" collapsed="false">
      <c r="A109" s="7" t="s">
        <v>397</v>
      </c>
      <c r="B109" s="7" t="s">
        <v>1546</v>
      </c>
      <c r="C109" s="7" t="n">
        <v>1</v>
      </c>
      <c r="D109" s="7" t="n">
        <v>1</v>
      </c>
      <c r="E109" s="7" t="n">
        <v>0</v>
      </c>
      <c r="F109" s="7" t="s">
        <v>1337</v>
      </c>
      <c r="G109" s="7" t="s">
        <v>1547</v>
      </c>
      <c r="H109" s="7" t="n">
        <v>2</v>
      </c>
      <c r="I109" s="7" t="s">
        <v>98</v>
      </c>
      <c r="J109" s="7" t="n">
        <v>1</v>
      </c>
      <c r="K109" s="7"/>
      <c r="L109" s="7" t="n">
        <v>18</v>
      </c>
      <c r="M109" s="7" t="n">
        <v>1</v>
      </c>
      <c r="N109" s="7" t="s">
        <v>161</v>
      </c>
      <c r="O109" s="7" t="n">
        <v>30.5</v>
      </c>
      <c r="P109" s="7"/>
      <c r="Q109" s="7" t="s">
        <v>1355</v>
      </c>
      <c r="R109" s="7" t="s">
        <v>1337</v>
      </c>
    </row>
    <row r="110" customFormat="false" ht="14.25" hidden="false" customHeight="false" outlineLevel="0" collapsed="false">
      <c r="A110" s="7" t="s">
        <v>402</v>
      </c>
      <c r="B110" s="7" t="s">
        <v>1548</v>
      </c>
      <c r="C110" s="7" t="n">
        <v>1</v>
      </c>
      <c r="D110" s="7" t="n">
        <v>1</v>
      </c>
      <c r="E110" s="7" t="n">
        <v>0</v>
      </c>
      <c r="F110" s="7" t="s">
        <v>1337</v>
      </c>
      <c r="G110" s="7" t="s">
        <v>1549</v>
      </c>
      <c r="H110" s="7" t="n">
        <v>2</v>
      </c>
      <c r="I110" s="7" t="s">
        <v>98</v>
      </c>
      <c r="J110" s="7" t="n">
        <v>0</v>
      </c>
      <c r="K110" s="7" t="n">
        <v>1</v>
      </c>
      <c r="L110" s="7" t="n">
        <v>15</v>
      </c>
      <c r="M110" s="7" t="n">
        <v>1</v>
      </c>
      <c r="N110" s="7" t="s">
        <v>121</v>
      </c>
      <c r="O110" s="7" t="n">
        <v>350.5</v>
      </c>
      <c r="P110" s="7" t="s">
        <v>1355</v>
      </c>
      <c r="Q110" s="7" t="s">
        <v>1371</v>
      </c>
      <c r="R110" s="7" t="s">
        <v>1337</v>
      </c>
    </row>
    <row r="111" customFormat="false" ht="14.25" hidden="false" customHeight="false" outlineLevel="0" collapsed="false">
      <c r="A111" s="7" t="s">
        <v>402</v>
      </c>
      <c r="B111" s="7" t="s">
        <v>1550</v>
      </c>
      <c r="C111" s="7" t="n">
        <v>1</v>
      </c>
      <c r="D111" s="7" t="n">
        <v>1</v>
      </c>
      <c r="E111" s="7" t="n">
        <v>0</v>
      </c>
      <c r="F111" s="7" t="s">
        <v>1337</v>
      </c>
      <c r="G111" s="7" t="s">
        <v>1551</v>
      </c>
      <c r="H111" s="7" t="n">
        <v>1</v>
      </c>
      <c r="I111" s="7" t="s">
        <v>147</v>
      </c>
      <c r="J111" s="7" t="n">
        <v>1</v>
      </c>
      <c r="K111" s="7" t="n">
        <v>1</v>
      </c>
      <c r="L111" s="7" t="n">
        <v>14</v>
      </c>
      <c r="M111" s="7" t="n">
        <v>1</v>
      </c>
      <c r="N111" s="7" t="s">
        <v>121</v>
      </c>
      <c r="O111" s="7" t="n">
        <v>350.5</v>
      </c>
      <c r="P111" s="7" t="s">
        <v>1355</v>
      </c>
      <c r="Q111" s="7" t="s">
        <v>1355</v>
      </c>
      <c r="R111" s="7" t="s">
        <v>1337</v>
      </c>
    </row>
    <row r="112" customFormat="false" ht="14.25" hidden="false" customHeight="false" outlineLevel="0" collapsed="false">
      <c r="A112" s="7" t="s">
        <v>406</v>
      </c>
      <c r="B112" s="7" t="s">
        <v>1552</v>
      </c>
      <c r="C112" s="7" t="n">
        <v>1</v>
      </c>
      <c r="D112" s="7" t="n">
        <v>1</v>
      </c>
      <c r="E112" s="7" t="n">
        <v>0</v>
      </c>
      <c r="F112" s="7" t="s">
        <v>1337</v>
      </c>
      <c r="G112" s="7" t="s">
        <v>1553</v>
      </c>
      <c r="H112" s="7" t="n">
        <v>1</v>
      </c>
      <c r="I112" s="7" t="s">
        <v>147</v>
      </c>
      <c r="J112" s="7" t="n">
        <v>0</v>
      </c>
      <c r="K112" s="7" t="n">
        <v>0</v>
      </c>
      <c r="L112" s="7" t="n">
        <v>6</v>
      </c>
      <c r="M112" s="7" t="n">
        <v>0</v>
      </c>
      <c r="N112" s="7" t="s">
        <v>130</v>
      </c>
      <c r="O112" s="7" t="n">
        <v>125.5</v>
      </c>
      <c r="P112" s="7" t="s">
        <v>1371</v>
      </c>
      <c r="Q112" s="7" t="s">
        <v>1371</v>
      </c>
      <c r="R112" s="7" t="s">
        <v>1337</v>
      </c>
    </row>
    <row r="113" customFormat="false" ht="14.25" hidden="false" customHeight="false" outlineLevel="0" collapsed="false">
      <c r="A113" s="7" t="s">
        <v>406</v>
      </c>
      <c r="B113" s="7" t="s">
        <v>1554</v>
      </c>
      <c r="C113" s="7" t="n">
        <v>1</v>
      </c>
      <c r="D113" s="7" t="n">
        <v>1</v>
      </c>
      <c r="E113" s="7" t="n">
        <v>0</v>
      </c>
      <c r="F113" s="7" t="s">
        <v>1337</v>
      </c>
      <c r="G113" s="7" t="s">
        <v>1555</v>
      </c>
      <c r="H113" s="7" t="n">
        <v>2</v>
      </c>
      <c r="I113" s="7" t="s">
        <v>98</v>
      </c>
      <c r="J113" s="7" t="n">
        <v>0</v>
      </c>
      <c r="K113" s="7"/>
      <c r="L113" s="7" t="n">
        <v>18</v>
      </c>
      <c r="M113" s="7" t="n">
        <v>0</v>
      </c>
      <c r="N113" s="7" t="s">
        <v>130</v>
      </c>
      <c r="O113" s="7" t="n">
        <v>125.5</v>
      </c>
      <c r="P113" s="7"/>
      <c r="Q113" s="7" t="s">
        <v>1371</v>
      </c>
      <c r="R113" s="7" t="s">
        <v>1337</v>
      </c>
    </row>
    <row r="114" customFormat="false" ht="14.25" hidden="false" customHeight="false" outlineLevel="0" collapsed="false">
      <c r="A114" s="7" t="s">
        <v>406</v>
      </c>
      <c r="B114" s="7" t="s">
        <v>1556</v>
      </c>
      <c r="C114" s="7" t="n">
        <v>1</v>
      </c>
      <c r="D114" s="7" t="n">
        <v>1</v>
      </c>
      <c r="E114" s="7" t="n">
        <v>0</v>
      </c>
      <c r="F114" s="7" t="s">
        <v>1337</v>
      </c>
      <c r="G114" s="7" t="s">
        <v>1557</v>
      </c>
      <c r="H114" s="7"/>
      <c r="I114" s="7"/>
      <c r="J114" s="7" t="n">
        <v>0</v>
      </c>
      <c r="K114" s="7"/>
      <c r="L114" s="7" t="n">
        <v>10</v>
      </c>
      <c r="M114" s="7" t="n">
        <v>1</v>
      </c>
      <c r="N114" s="7" t="s">
        <v>130</v>
      </c>
      <c r="O114" s="7" t="n">
        <v>125.5</v>
      </c>
      <c r="P114" s="7"/>
      <c r="Q114" s="7" t="s">
        <v>1371</v>
      </c>
      <c r="R114" s="7" t="s">
        <v>1337</v>
      </c>
    </row>
    <row r="115" customFormat="false" ht="14.25" hidden="false" customHeight="false" outlineLevel="0" collapsed="false">
      <c r="A115" s="7" t="s">
        <v>412</v>
      </c>
      <c r="B115" s="7" t="s">
        <v>1558</v>
      </c>
      <c r="C115" s="7" t="n">
        <v>1</v>
      </c>
      <c r="D115" s="7" t="n">
        <v>0</v>
      </c>
      <c r="E115" s="7" t="n">
        <v>1</v>
      </c>
      <c r="F115" s="7" t="s">
        <v>1361</v>
      </c>
      <c r="G115" s="7" t="s">
        <v>1559</v>
      </c>
      <c r="H115" s="7" t="n">
        <v>1</v>
      </c>
      <c r="I115" s="7" t="s">
        <v>147</v>
      </c>
      <c r="J115" s="7" t="n">
        <v>1</v>
      </c>
      <c r="K115" s="7" t="n">
        <v>1</v>
      </c>
      <c r="L115" s="7" t="n">
        <v>7</v>
      </c>
      <c r="M115" s="7" t="n">
        <v>1</v>
      </c>
      <c r="N115" s="7" t="s">
        <v>1520</v>
      </c>
      <c r="O115" s="7" t="n">
        <v>6</v>
      </c>
      <c r="P115" s="7" t="s">
        <v>1355</v>
      </c>
      <c r="Q115" s="7" t="s">
        <v>1355</v>
      </c>
      <c r="R115" s="7" t="s">
        <v>1361</v>
      </c>
    </row>
    <row r="116" customFormat="false" ht="14.25" hidden="false" customHeight="false" outlineLevel="0" collapsed="false">
      <c r="A116" s="7" t="s">
        <v>416</v>
      </c>
      <c r="B116" s="7" t="s">
        <v>1560</v>
      </c>
      <c r="C116" s="7" t="n">
        <v>1</v>
      </c>
      <c r="D116" s="7" t="n">
        <v>1</v>
      </c>
      <c r="E116" s="7" t="n">
        <v>0</v>
      </c>
      <c r="F116" s="7" t="s">
        <v>1337</v>
      </c>
      <c r="G116" s="7" t="s">
        <v>1561</v>
      </c>
      <c r="H116" s="7" t="n">
        <v>1</v>
      </c>
      <c r="I116" s="7" t="s">
        <v>147</v>
      </c>
      <c r="J116" s="7" t="n">
        <v>1</v>
      </c>
      <c r="K116" s="7" t="n">
        <v>1</v>
      </c>
      <c r="L116" s="7" t="n">
        <v>7</v>
      </c>
      <c r="M116" s="7" t="n">
        <v>0</v>
      </c>
      <c r="N116" s="7" t="s">
        <v>161</v>
      </c>
      <c r="O116" s="7" t="n">
        <v>30.5</v>
      </c>
      <c r="P116" s="7" t="s">
        <v>1355</v>
      </c>
      <c r="Q116" s="7" t="s">
        <v>1355</v>
      </c>
      <c r="R116" s="7" t="s">
        <v>1337</v>
      </c>
    </row>
    <row r="117" customFormat="false" ht="14.25" hidden="false" customHeight="false" outlineLevel="0" collapsed="false">
      <c r="A117" s="7" t="s">
        <v>416</v>
      </c>
      <c r="B117" s="7" t="s">
        <v>1562</v>
      </c>
      <c r="C117" s="7" t="n">
        <v>1</v>
      </c>
      <c r="D117" s="7" t="n">
        <v>1</v>
      </c>
      <c r="E117" s="7" t="n">
        <v>0</v>
      </c>
      <c r="F117" s="7" t="s">
        <v>1337</v>
      </c>
      <c r="G117" s="7" t="s">
        <v>120</v>
      </c>
      <c r="H117" s="7" t="n">
        <v>3</v>
      </c>
      <c r="I117" s="7" t="s">
        <v>120</v>
      </c>
      <c r="J117" s="7" t="n">
        <v>1</v>
      </c>
      <c r="K117" s="7"/>
      <c r="L117" s="7"/>
      <c r="M117" s="7" t="n">
        <v>0</v>
      </c>
      <c r="N117" s="7" t="s">
        <v>161</v>
      </c>
      <c r="O117" s="7" t="n">
        <v>30.5</v>
      </c>
      <c r="P117" s="7"/>
      <c r="Q117" s="7" t="s">
        <v>1355</v>
      </c>
      <c r="R117" s="7" t="s">
        <v>1337</v>
      </c>
    </row>
    <row r="118" customFormat="false" ht="14.25" hidden="false" customHeight="false" outlineLevel="0" collapsed="false">
      <c r="A118" s="7" t="s">
        <v>416</v>
      </c>
      <c r="B118" s="7" t="s">
        <v>1563</v>
      </c>
      <c r="C118" s="7" t="n">
        <v>1</v>
      </c>
      <c r="D118" s="7" t="n">
        <v>1</v>
      </c>
      <c r="E118" s="7" t="n">
        <v>0</v>
      </c>
      <c r="F118" s="7" t="s">
        <v>1337</v>
      </c>
      <c r="G118" s="7" t="s">
        <v>1553</v>
      </c>
      <c r="H118" s="7" t="n">
        <v>1</v>
      </c>
      <c r="I118" s="7" t="s">
        <v>147</v>
      </c>
      <c r="J118" s="7" t="n">
        <v>0</v>
      </c>
      <c r="K118" s="7" t="n">
        <v>0</v>
      </c>
      <c r="L118" s="7" t="n">
        <v>6</v>
      </c>
      <c r="M118" s="7" t="n">
        <v>0</v>
      </c>
      <c r="N118" s="7" t="s">
        <v>161</v>
      </c>
      <c r="O118" s="7" t="n">
        <v>30.5</v>
      </c>
      <c r="P118" s="7" t="s">
        <v>1371</v>
      </c>
      <c r="Q118" s="7" t="s">
        <v>1371</v>
      </c>
      <c r="R118" s="7" t="s">
        <v>1337</v>
      </c>
    </row>
    <row r="119" customFormat="false" ht="14.25" hidden="false" customHeight="false" outlineLevel="0" collapsed="false">
      <c r="A119" s="7" t="s">
        <v>421</v>
      </c>
      <c r="B119" s="7" t="s">
        <v>1564</v>
      </c>
      <c r="C119" s="7" t="n">
        <v>1</v>
      </c>
      <c r="D119" s="7" t="n">
        <v>1</v>
      </c>
      <c r="E119" s="7" t="n">
        <v>0</v>
      </c>
      <c r="F119" s="7" t="s">
        <v>1337</v>
      </c>
      <c r="G119" s="7" t="s">
        <v>1565</v>
      </c>
      <c r="H119" s="7" t="n">
        <v>2</v>
      </c>
      <c r="I119" s="7" t="s">
        <v>98</v>
      </c>
      <c r="J119" s="7" t="n">
        <v>1</v>
      </c>
      <c r="K119" s="7" t="n">
        <v>0</v>
      </c>
      <c r="L119" s="7" t="n">
        <v>7</v>
      </c>
      <c r="M119" s="7" t="n">
        <v>0</v>
      </c>
      <c r="N119" s="7" t="s">
        <v>161</v>
      </c>
      <c r="O119" s="7" t="n">
        <v>30.5</v>
      </c>
      <c r="P119" s="7" t="s">
        <v>1371</v>
      </c>
      <c r="Q119" s="7" t="s">
        <v>1355</v>
      </c>
      <c r="R119" s="7" t="s">
        <v>1337</v>
      </c>
    </row>
    <row r="120" customFormat="false" ht="14.25" hidden="false" customHeight="false" outlineLevel="0" collapsed="false">
      <c r="A120" s="7" t="s">
        <v>421</v>
      </c>
      <c r="B120" s="7" t="s">
        <v>1566</v>
      </c>
      <c r="C120" s="7" t="n">
        <v>1</v>
      </c>
      <c r="D120" s="7" t="n">
        <v>1</v>
      </c>
      <c r="E120" s="7" t="n">
        <v>0</v>
      </c>
      <c r="F120" s="7" t="s">
        <v>1337</v>
      </c>
      <c r="G120" s="7" t="s">
        <v>1567</v>
      </c>
      <c r="H120" s="7" t="n">
        <v>2</v>
      </c>
      <c r="I120" s="7" t="s">
        <v>98</v>
      </c>
      <c r="J120" s="7" t="n">
        <v>0</v>
      </c>
      <c r="K120" s="7"/>
      <c r="L120" s="7" t="n">
        <v>7</v>
      </c>
      <c r="M120" s="7" t="n">
        <v>0</v>
      </c>
      <c r="N120" s="7" t="s">
        <v>161</v>
      </c>
      <c r="O120" s="7" t="n">
        <v>30.5</v>
      </c>
      <c r="P120" s="7"/>
      <c r="Q120" s="7" t="s">
        <v>1371</v>
      </c>
      <c r="R120" s="7" t="s">
        <v>1337</v>
      </c>
    </row>
    <row r="121" customFormat="false" ht="14.25" hidden="false" customHeight="false" outlineLevel="0" collapsed="false">
      <c r="A121" s="7" t="s">
        <v>425</v>
      </c>
      <c r="B121" s="7" t="s">
        <v>442</v>
      </c>
      <c r="C121" s="7" t="n">
        <v>0</v>
      </c>
      <c r="D121" s="7" t="n">
        <v>0</v>
      </c>
      <c r="E121" s="7" t="n">
        <v>0</v>
      </c>
      <c r="F121" s="7" t="s">
        <v>262</v>
      </c>
      <c r="G121" s="7" t="s">
        <v>442</v>
      </c>
      <c r="H121" s="7"/>
      <c r="I121" s="7"/>
      <c r="J121" s="7"/>
      <c r="K121" s="7"/>
      <c r="L121" s="7"/>
      <c r="M121" s="7" t="n">
        <v>0</v>
      </c>
      <c r="N121" s="7" t="s">
        <v>442</v>
      </c>
      <c r="O121" s="7"/>
      <c r="P121" s="7" t="s">
        <v>442</v>
      </c>
      <c r="Q121" s="7" t="s">
        <v>442</v>
      </c>
      <c r="R121" s="7" t="s">
        <v>442</v>
      </c>
    </row>
    <row r="122" customFormat="false" ht="14.25" hidden="false" customHeight="false" outlineLevel="0" collapsed="false">
      <c r="A122" s="7" t="s">
        <v>431</v>
      </c>
      <c r="B122" s="7" t="s">
        <v>1568</v>
      </c>
      <c r="C122" s="7" t="n">
        <v>1</v>
      </c>
      <c r="D122" s="7" t="n">
        <v>1</v>
      </c>
      <c r="E122" s="7" t="n">
        <v>0</v>
      </c>
      <c r="F122" s="7" t="s">
        <v>1337</v>
      </c>
      <c r="G122" s="7" t="s">
        <v>1569</v>
      </c>
      <c r="H122" s="7" t="n">
        <v>2</v>
      </c>
      <c r="I122" s="7" t="s">
        <v>98</v>
      </c>
      <c r="J122" s="7" t="n">
        <v>1</v>
      </c>
      <c r="K122" s="7" t="n">
        <v>1</v>
      </c>
      <c r="L122" s="7" t="n">
        <v>20</v>
      </c>
      <c r="M122" s="7" t="n">
        <v>1</v>
      </c>
      <c r="N122" s="7" t="s">
        <v>161</v>
      </c>
      <c r="O122" s="7" t="n">
        <v>30.5</v>
      </c>
      <c r="P122" s="7" t="s">
        <v>1355</v>
      </c>
      <c r="Q122" s="7" t="s">
        <v>1355</v>
      </c>
      <c r="R122" s="7" t="s">
        <v>1337</v>
      </c>
    </row>
    <row r="123" customFormat="false" ht="14.25" hidden="false" customHeight="false" outlineLevel="0" collapsed="false">
      <c r="A123" s="7" t="s">
        <v>436</v>
      </c>
      <c r="B123" s="7" t="s">
        <v>1570</v>
      </c>
      <c r="C123" s="7" t="n">
        <v>1</v>
      </c>
      <c r="D123" s="7" t="n">
        <v>1</v>
      </c>
      <c r="E123" s="7" t="n">
        <v>0</v>
      </c>
      <c r="F123" s="7" t="s">
        <v>1337</v>
      </c>
      <c r="G123" s="7" t="s">
        <v>1571</v>
      </c>
      <c r="H123" s="7" t="n">
        <v>2</v>
      </c>
      <c r="I123" s="7" t="s">
        <v>98</v>
      </c>
      <c r="J123" s="7" t="n">
        <v>0</v>
      </c>
      <c r="K123" s="7" t="n">
        <v>0</v>
      </c>
      <c r="L123" s="7" t="n">
        <v>8</v>
      </c>
      <c r="M123" s="7" t="n">
        <v>0</v>
      </c>
      <c r="N123" s="7" t="s">
        <v>161</v>
      </c>
      <c r="O123" s="7" t="n">
        <v>30.5</v>
      </c>
      <c r="P123" s="7" t="s">
        <v>1371</v>
      </c>
      <c r="Q123" s="7" t="s">
        <v>1371</v>
      </c>
      <c r="R123" s="7" t="s">
        <v>1337</v>
      </c>
    </row>
    <row r="124" customFormat="false" ht="14.25" hidden="false" customHeight="false" outlineLevel="0" collapsed="false">
      <c r="A124" s="7" t="s">
        <v>436</v>
      </c>
      <c r="B124" s="7" t="s">
        <v>1572</v>
      </c>
      <c r="C124" s="7" t="n">
        <v>1</v>
      </c>
      <c r="D124" s="7" t="n">
        <v>1</v>
      </c>
      <c r="E124" s="7" t="n">
        <v>0</v>
      </c>
      <c r="F124" s="7" t="s">
        <v>1337</v>
      </c>
      <c r="G124" s="7" t="s">
        <v>1553</v>
      </c>
      <c r="H124" s="7" t="n">
        <v>1</v>
      </c>
      <c r="I124" s="7" t="s">
        <v>147</v>
      </c>
      <c r="J124" s="7" t="n">
        <v>0</v>
      </c>
      <c r="K124" s="7" t="n">
        <v>0</v>
      </c>
      <c r="L124" s="7" t="n">
        <v>8</v>
      </c>
      <c r="M124" s="7" t="n">
        <v>0</v>
      </c>
      <c r="N124" s="7" t="s">
        <v>161</v>
      </c>
      <c r="O124" s="7" t="n">
        <v>30.5</v>
      </c>
      <c r="P124" s="7" t="s">
        <v>1371</v>
      </c>
      <c r="Q124" s="7" t="s">
        <v>1371</v>
      </c>
      <c r="R124" s="7" t="s">
        <v>1337</v>
      </c>
    </row>
    <row r="125" customFormat="false" ht="14.25" hidden="false" customHeight="false" outlineLevel="0" collapsed="false">
      <c r="A125" s="7" t="s">
        <v>439</v>
      </c>
      <c r="B125" s="7" t="s">
        <v>442</v>
      </c>
      <c r="C125" s="7" t="n">
        <v>0</v>
      </c>
      <c r="D125" s="7" t="n">
        <v>0</v>
      </c>
      <c r="E125" s="7" t="n">
        <v>0</v>
      </c>
      <c r="F125" s="7" t="s">
        <v>262</v>
      </c>
      <c r="G125" s="7" t="s">
        <v>442</v>
      </c>
      <c r="H125" s="7"/>
      <c r="I125" s="7"/>
      <c r="J125" s="7"/>
      <c r="K125" s="7"/>
      <c r="L125" s="7"/>
      <c r="M125" s="7" t="n">
        <v>0</v>
      </c>
      <c r="N125" s="7" t="s">
        <v>442</v>
      </c>
      <c r="O125" s="7"/>
      <c r="P125" s="7" t="s">
        <v>442</v>
      </c>
      <c r="Q125" s="7" t="s">
        <v>442</v>
      </c>
      <c r="R125" s="7" t="s">
        <v>442</v>
      </c>
    </row>
    <row r="126" customFormat="false" ht="14.25" hidden="false" customHeight="false" outlineLevel="0" collapsed="false">
      <c r="A126" s="7" t="s">
        <v>443</v>
      </c>
      <c r="B126" s="7" t="s">
        <v>1573</v>
      </c>
      <c r="C126" s="7" t="n">
        <v>1</v>
      </c>
      <c r="D126" s="7" t="n">
        <v>0</v>
      </c>
      <c r="E126" s="7" t="n">
        <v>1</v>
      </c>
      <c r="F126" s="7" t="s">
        <v>1361</v>
      </c>
      <c r="G126" s="7" t="s">
        <v>1574</v>
      </c>
      <c r="H126" s="7" t="n">
        <v>1</v>
      </c>
      <c r="I126" s="7" t="s">
        <v>147</v>
      </c>
      <c r="J126" s="7" t="n">
        <v>1</v>
      </c>
      <c r="K126" s="7" t="n">
        <v>1</v>
      </c>
      <c r="L126" s="7" t="n">
        <v>6</v>
      </c>
      <c r="M126" s="7" t="n">
        <v>1</v>
      </c>
      <c r="N126" s="7" t="s">
        <v>130</v>
      </c>
      <c r="O126" s="7" t="n">
        <v>125.5</v>
      </c>
      <c r="P126" s="7" t="s">
        <v>1355</v>
      </c>
      <c r="Q126" s="7" t="s">
        <v>1355</v>
      </c>
      <c r="R126" s="7" t="s">
        <v>1361</v>
      </c>
    </row>
    <row r="127" customFormat="false" ht="14.25" hidden="false" customHeight="false" outlineLevel="0" collapsed="false">
      <c r="A127" s="7" t="s">
        <v>443</v>
      </c>
      <c r="B127" s="7" t="s">
        <v>1575</v>
      </c>
      <c r="C127" s="7" t="n">
        <v>1</v>
      </c>
      <c r="D127" s="7" t="n">
        <v>1</v>
      </c>
      <c r="E127" s="7" t="n">
        <v>0</v>
      </c>
      <c r="F127" s="7" t="s">
        <v>1337</v>
      </c>
      <c r="G127" s="7" t="s">
        <v>1576</v>
      </c>
      <c r="H127" s="7" t="n">
        <v>2</v>
      </c>
      <c r="I127" s="7" t="s">
        <v>98</v>
      </c>
      <c r="J127" s="7" t="n">
        <v>1</v>
      </c>
      <c r="K127" s="7" t="n">
        <v>1</v>
      </c>
      <c r="L127" s="7" t="n">
        <v>6</v>
      </c>
      <c r="M127" s="7" t="n">
        <v>1</v>
      </c>
      <c r="N127" s="7" t="s">
        <v>130</v>
      </c>
      <c r="O127" s="7" t="n">
        <v>125.5</v>
      </c>
      <c r="P127" s="7" t="s">
        <v>1355</v>
      </c>
      <c r="Q127" s="7" t="s">
        <v>1355</v>
      </c>
      <c r="R127" s="7" t="s">
        <v>1337</v>
      </c>
    </row>
    <row r="128" customFormat="false" ht="14.25" hidden="false" customHeight="false" outlineLevel="0" collapsed="false">
      <c r="A128" s="7" t="s">
        <v>443</v>
      </c>
      <c r="B128" s="7" t="s">
        <v>1577</v>
      </c>
      <c r="C128" s="7" t="n">
        <v>1</v>
      </c>
      <c r="D128" s="7" t="n">
        <v>1</v>
      </c>
      <c r="E128" s="7" t="n">
        <v>0</v>
      </c>
      <c r="F128" s="7" t="s">
        <v>1337</v>
      </c>
      <c r="G128" s="7" t="s">
        <v>1578</v>
      </c>
      <c r="H128" s="7"/>
      <c r="I128" s="7"/>
      <c r="J128" s="7" t="n">
        <v>1</v>
      </c>
      <c r="K128" s="7" t="n">
        <v>1</v>
      </c>
      <c r="L128" s="7" t="n">
        <v>6</v>
      </c>
      <c r="M128" s="7" t="n">
        <v>0</v>
      </c>
      <c r="N128" s="7" t="s">
        <v>130</v>
      </c>
      <c r="O128" s="7" t="n">
        <v>125.5</v>
      </c>
      <c r="P128" s="7" t="s">
        <v>1355</v>
      </c>
      <c r="Q128" s="7" t="s">
        <v>1355</v>
      </c>
      <c r="R128" s="7" t="s">
        <v>1337</v>
      </c>
    </row>
    <row r="129" customFormat="false" ht="14.25" hidden="false" customHeight="false" outlineLevel="0" collapsed="false">
      <c r="A129" s="7" t="s">
        <v>449</v>
      </c>
      <c r="B129" s="7" t="s">
        <v>1579</v>
      </c>
      <c r="C129" s="7" t="n">
        <v>1</v>
      </c>
      <c r="D129" s="7" t="n">
        <v>1</v>
      </c>
      <c r="E129" s="7" t="n">
        <v>0</v>
      </c>
      <c r="F129" s="7" t="s">
        <v>1337</v>
      </c>
      <c r="G129" s="7" t="s">
        <v>1580</v>
      </c>
      <c r="H129" s="7" t="n">
        <v>1</v>
      </c>
      <c r="I129" s="7" t="s">
        <v>147</v>
      </c>
      <c r="J129" s="7" t="n">
        <v>0</v>
      </c>
      <c r="K129" s="7" t="n">
        <v>1</v>
      </c>
      <c r="L129" s="7" t="n">
        <v>12</v>
      </c>
      <c r="M129" s="7" t="n">
        <v>0</v>
      </c>
      <c r="N129" s="7" t="s">
        <v>161</v>
      </c>
      <c r="O129" s="7" t="n">
        <v>30.5</v>
      </c>
      <c r="P129" s="7" t="s">
        <v>1355</v>
      </c>
      <c r="Q129" s="7" t="s">
        <v>1371</v>
      </c>
      <c r="R129" s="7" t="s">
        <v>1337</v>
      </c>
    </row>
    <row r="130" customFormat="false" ht="14.25" hidden="false" customHeight="false" outlineLevel="0" collapsed="false">
      <c r="A130" s="7" t="s">
        <v>454</v>
      </c>
      <c r="B130" s="7" t="s">
        <v>1581</v>
      </c>
      <c r="C130" s="7" t="n">
        <v>1</v>
      </c>
      <c r="D130" s="7" t="n">
        <v>1</v>
      </c>
      <c r="E130" s="7" t="n">
        <v>0</v>
      </c>
      <c r="F130" s="7" t="s">
        <v>1337</v>
      </c>
      <c r="G130" s="7" t="s">
        <v>1582</v>
      </c>
      <c r="H130" s="7" t="n">
        <v>1</v>
      </c>
      <c r="I130" s="7" t="s">
        <v>147</v>
      </c>
      <c r="J130" s="7" t="n">
        <v>1</v>
      </c>
      <c r="K130" s="7" t="n">
        <v>1</v>
      </c>
      <c r="L130" s="7" t="n">
        <v>6</v>
      </c>
      <c r="M130" s="7" t="n">
        <v>1</v>
      </c>
      <c r="N130" s="7" t="s">
        <v>161</v>
      </c>
      <c r="O130" s="7" t="n">
        <v>30.5</v>
      </c>
      <c r="P130" s="7" t="s">
        <v>1355</v>
      </c>
      <c r="Q130" s="7" t="s">
        <v>1355</v>
      </c>
      <c r="R130" s="7" t="s">
        <v>1337</v>
      </c>
    </row>
    <row r="131" customFormat="false" ht="14.25" hidden="false" customHeight="false" outlineLevel="0" collapsed="false">
      <c r="A131" s="7" t="s">
        <v>459</v>
      </c>
      <c r="B131" s="7" t="s">
        <v>1583</v>
      </c>
      <c r="C131" s="7" t="n">
        <v>1</v>
      </c>
      <c r="D131" s="7" t="n">
        <v>1</v>
      </c>
      <c r="E131" s="7" t="n">
        <v>0</v>
      </c>
      <c r="F131" s="7" t="s">
        <v>1337</v>
      </c>
      <c r="G131" s="7" t="s">
        <v>1553</v>
      </c>
      <c r="H131" s="7" t="n">
        <v>1</v>
      </c>
      <c r="I131" s="7" t="s">
        <v>147</v>
      </c>
      <c r="J131" s="7" t="n">
        <v>1</v>
      </c>
      <c r="K131" s="7" t="n">
        <v>1</v>
      </c>
      <c r="L131" s="7" t="n">
        <v>15</v>
      </c>
      <c r="M131" s="7" t="n">
        <v>1</v>
      </c>
      <c r="N131" s="7" t="s">
        <v>130</v>
      </c>
      <c r="O131" s="7" t="n">
        <v>125.5</v>
      </c>
      <c r="P131" s="7" t="s">
        <v>1355</v>
      </c>
      <c r="Q131" s="7" t="s">
        <v>1355</v>
      </c>
      <c r="R131" s="7" t="s">
        <v>1337</v>
      </c>
    </row>
    <row r="132" customFormat="false" ht="14.25" hidden="false" customHeight="false" outlineLevel="0" collapsed="false">
      <c r="A132" s="7" t="s">
        <v>459</v>
      </c>
      <c r="B132" s="7" t="s">
        <v>1584</v>
      </c>
      <c r="C132" s="7" t="n">
        <v>1</v>
      </c>
      <c r="D132" s="7" t="n">
        <v>1</v>
      </c>
      <c r="E132" s="7" t="n">
        <v>0</v>
      </c>
      <c r="F132" s="7" t="s">
        <v>1337</v>
      </c>
      <c r="G132" s="7" t="s">
        <v>1585</v>
      </c>
      <c r="H132" s="7" t="n">
        <v>2</v>
      </c>
      <c r="I132" s="7" t="s">
        <v>98</v>
      </c>
      <c r="J132" s="7" t="n">
        <v>1</v>
      </c>
      <c r="K132" s="7" t="n">
        <v>1</v>
      </c>
      <c r="L132" s="7" t="n">
        <v>15</v>
      </c>
      <c r="M132" s="7" t="n">
        <v>1</v>
      </c>
      <c r="N132" s="7" t="s">
        <v>130</v>
      </c>
      <c r="O132" s="7" t="n">
        <v>125.5</v>
      </c>
      <c r="P132" s="7" t="s">
        <v>1355</v>
      </c>
      <c r="Q132" s="7" t="s">
        <v>1355</v>
      </c>
      <c r="R132" s="7" t="s">
        <v>1337</v>
      </c>
    </row>
    <row r="133" customFormat="false" ht="14.25" hidden="false" customHeight="false" outlineLevel="0" collapsed="false">
      <c r="A133" s="7" t="s">
        <v>459</v>
      </c>
      <c r="B133" s="7" t="s">
        <v>1586</v>
      </c>
      <c r="C133" s="7" t="n">
        <v>1</v>
      </c>
      <c r="D133" s="7" t="n">
        <v>0</v>
      </c>
      <c r="E133" s="7" t="n">
        <v>1</v>
      </c>
      <c r="F133" s="7" t="s">
        <v>1361</v>
      </c>
      <c r="G133" s="7" t="s">
        <v>1553</v>
      </c>
      <c r="H133" s="7" t="n">
        <v>1</v>
      </c>
      <c r="I133" s="7" t="s">
        <v>147</v>
      </c>
      <c r="J133" s="7" t="n">
        <v>0</v>
      </c>
      <c r="K133" s="7" t="n">
        <v>1</v>
      </c>
      <c r="L133" s="7" t="n">
        <v>10</v>
      </c>
      <c r="M133" s="7" t="n">
        <v>1</v>
      </c>
      <c r="N133" s="7" t="s">
        <v>130</v>
      </c>
      <c r="O133" s="7" t="n">
        <v>125.5</v>
      </c>
      <c r="P133" s="7" t="s">
        <v>1355</v>
      </c>
      <c r="Q133" s="7" t="s">
        <v>1371</v>
      </c>
      <c r="R133" s="7" t="s">
        <v>1361</v>
      </c>
    </row>
    <row r="134" customFormat="false" ht="14.25" hidden="false" customHeight="false" outlineLevel="0" collapsed="false">
      <c r="A134" s="7" t="s">
        <v>459</v>
      </c>
      <c r="B134" s="7" t="s">
        <v>1587</v>
      </c>
      <c r="C134" s="7" t="n">
        <v>1</v>
      </c>
      <c r="D134" s="7" t="n">
        <v>1</v>
      </c>
      <c r="E134" s="7" t="n">
        <v>0</v>
      </c>
      <c r="F134" s="7" t="s">
        <v>1337</v>
      </c>
      <c r="G134" s="7" t="s">
        <v>1553</v>
      </c>
      <c r="H134" s="7" t="n">
        <v>1</v>
      </c>
      <c r="I134" s="7" t="s">
        <v>147</v>
      </c>
      <c r="J134" s="7" t="n">
        <v>0</v>
      </c>
      <c r="K134" s="7" t="n">
        <v>1</v>
      </c>
      <c r="L134" s="7" t="n">
        <v>8</v>
      </c>
      <c r="M134" s="7" t="n">
        <v>1</v>
      </c>
      <c r="N134" s="7" t="s">
        <v>130</v>
      </c>
      <c r="O134" s="7" t="n">
        <v>125.5</v>
      </c>
      <c r="P134" s="7" t="s">
        <v>1355</v>
      </c>
      <c r="Q134" s="7" t="s">
        <v>1371</v>
      </c>
      <c r="R134" s="7" t="s">
        <v>1337</v>
      </c>
    </row>
    <row r="135" customFormat="false" ht="14.25" hidden="false" customHeight="false" outlineLevel="0" collapsed="false">
      <c r="A135" s="7" t="s">
        <v>465</v>
      </c>
      <c r="B135" s="7" t="s">
        <v>1588</v>
      </c>
      <c r="C135" s="7" t="n">
        <v>2</v>
      </c>
      <c r="D135" s="7" t="n">
        <v>2</v>
      </c>
      <c r="E135" s="7" t="n">
        <v>0</v>
      </c>
      <c r="F135" s="7" t="s">
        <v>1337</v>
      </c>
      <c r="G135" s="7" t="s">
        <v>1589</v>
      </c>
      <c r="H135" s="7" t="n">
        <v>2</v>
      </c>
      <c r="I135" s="7" t="s">
        <v>98</v>
      </c>
      <c r="J135" s="7" t="n">
        <v>1</v>
      </c>
      <c r="K135" s="7"/>
      <c r="L135" s="7" t="n">
        <v>11</v>
      </c>
      <c r="M135" s="7" t="n">
        <v>0</v>
      </c>
      <c r="N135" s="7" t="s">
        <v>1590</v>
      </c>
      <c r="O135" s="7" t="n">
        <v>30.5</v>
      </c>
      <c r="P135" s="7"/>
      <c r="Q135" s="7" t="s">
        <v>1355</v>
      </c>
      <c r="R135" s="7" t="s">
        <v>1591</v>
      </c>
    </row>
    <row r="136" customFormat="false" ht="14.25" hidden="false" customHeight="false" outlineLevel="0" collapsed="false">
      <c r="A136" s="7" t="s">
        <v>471</v>
      </c>
      <c r="B136" s="7" t="s">
        <v>1592</v>
      </c>
      <c r="C136" s="7" t="n">
        <v>2</v>
      </c>
      <c r="D136" s="7" t="n">
        <v>2</v>
      </c>
      <c r="E136" s="7" t="n">
        <v>0</v>
      </c>
      <c r="F136" s="7" t="s">
        <v>1337</v>
      </c>
      <c r="G136" s="7" t="s">
        <v>1593</v>
      </c>
      <c r="H136" s="7" t="n">
        <v>2</v>
      </c>
      <c r="I136" s="7" t="s">
        <v>98</v>
      </c>
      <c r="J136" s="7"/>
      <c r="K136" s="7"/>
      <c r="L136" s="7" t="n">
        <v>23</v>
      </c>
      <c r="M136" s="7" t="n">
        <v>0</v>
      </c>
      <c r="N136" s="7" t="s">
        <v>1590</v>
      </c>
      <c r="O136" s="7" t="n">
        <v>30.5</v>
      </c>
      <c r="P136" s="7"/>
      <c r="Q136" s="7"/>
      <c r="R136" s="7" t="s">
        <v>1591</v>
      </c>
    </row>
    <row r="137" customFormat="false" ht="14.25" hidden="false" customHeight="false" outlineLevel="0" collapsed="false">
      <c r="A137" s="7" t="s">
        <v>476</v>
      </c>
      <c r="B137" s="7" t="s">
        <v>1594</v>
      </c>
      <c r="C137" s="7" t="n">
        <v>1</v>
      </c>
      <c r="D137" s="7" t="n">
        <v>1</v>
      </c>
      <c r="E137" s="7" t="n">
        <v>0</v>
      </c>
      <c r="F137" s="7" t="s">
        <v>1337</v>
      </c>
      <c r="G137" s="7" t="s">
        <v>1595</v>
      </c>
      <c r="H137" s="7" t="n">
        <v>1</v>
      </c>
      <c r="I137" s="7" t="s">
        <v>147</v>
      </c>
      <c r="J137" s="7"/>
      <c r="K137" s="7" t="n">
        <v>1</v>
      </c>
      <c r="L137" s="7" t="n">
        <v>11</v>
      </c>
      <c r="M137" s="7" t="n">
        <v>0</v>
      </c>
      <c r="N137" s="7" t="s">
        <v>1596</v>
      </c>
      <c r="O137" s="7" t="n">
        <v>350.5</v>
      </c>
      <c r="P137" s="7" t="s">
        <v>1597</v>
      </c>
      <c r="Q137" s="7"/>
      <c r="R137" s="7" t="s">
        <v>1598</v>
      </c>
    </row>
    <row r="138" customFormat="false" ht="14.25" hidden="false" customHeight="false" outlineLevel="0" collapsed="false">
      <c r="A138" s="7" t="s">
        <v>481</v>
      </c>
      <c r="B138" s="7" t="s">
        <v>1599</v>
      </c>
      <c r="C138" s="7" t="n">
        <v>2</v>
      </c>
      <c r="D138" s="7" t="n">
        <v>0</v>
      </c>
      <c r="E138" s="7" t="n">
        <v>2</v>
      </c>
      <c r="F138" s="7" t="s">
        <v>1361</v>
      </c>
      <c r="G138" s="7" t="s">
        <v>1600</v>
      </c>
      <c r="H138" s="7" t="n">
        <v>2</v>
      </c>
      <c r="I138" s="7" t="s">
        <v>98</v>
      </c>
      <c r="J138" s="7" t="n">
        <v>1</v>
      </c>
      <c r="K138" s="7"/>
      <c r="L138" s="7" t="n">
        <v>8</v>
      </c>
      <c r="M138" s="7" t="n">
        <v>0</v>
      </c>
      <c r="N138" s="7" t="s">
        <v>1590</v>
      </c>
      <c r="O138" s="7" t="n">
        <v>30.5</v>
      </c>
      <c r="P138" s="7"/>
      <c r="Q138" s="7" t="s">
        <v>1601</v>
      </c>
      <c r="R138" s="7" t="s">
        <v>1602</v>
      </c>
    </row>
    <row r="139" customFormat="false" ht="14.25" hidden="false" customHeight="false" outlineLevel="0" collapsed="false">
      <c r="A139" s="7" t="s">
        <v>487</v>
      </c>
      <c r="B139" s="7" t="s">
        <v>1588</v>
      </c>
      <c r="C139" s="7" t="n">
        <v>2</v>
      </c>
      <c r="D139" s="7" t="n">
        <v>2</v>
      </c>
      <c r="E139" s="7" t="n">
        <v>0</v>
      </c>
      <c r="F139" s="7" t="s">
        <v>1337</v>
      </c>
      <c r="G139" s="7" t="s">
        <v>1589</v>
      </c>
      <c r="H139" s="7" t="n">
        <v>2</v>
      </c>
      <c r="I139" s="7" t="s">
        <v>98</v>
      </c>
      <c r="J139" s="7" t="n">
        <v>1</v>
      </c>
      <c r="K139" s="7" t="n">
        <v>1</v>
      </c>
      <c r="L139" s="7" t="n">
        <v>11</v>
      </c>
      <c r="M139" s="7" t="n">
        <v>0</v>
      </c>
      <c r="N139" s="7" t="s">
        <v>1590</v>
      </c>
      <c r="O139" s="7" t="n">
        <v>30.5</v>
      </c>
      <c r="P139" s="7" t="s">
        <v>1603</v>
      </c>
      <c r="Q139" s="7" t="s">
        <v>1601</v>
      </c>
      <c r="R139" s="7" t="s">
        <v>1604</v>
      </c>
    </row>
    <row r="140" customFormat="false" ht="14.25" hidden="false" customHeight="false" outlineLevel="0" collapsed="false">
      <c r="A140" s="7" t="s">
        <v>491</v>
      </c>
      <c r="B140" s="7" t="s">
        <v>1605</v>
      </c>
      <c r="C140" s="7" t="n">
        <v>2</v>
      </c>
      <c r="D140" s="7" t="n">
        <v>2</v>
      </c>
      <c r="E140" s="7" t="n">
        <v>0</v>
      </c>
      <c r="F140" s="7" t="s">
        <v>1337</v>
      </c>
      <c r="G140" s="7" t="s">
        <v>1593</v>
      </c>
      <c r="H140" s="7" t="n">
        <v>2</v>
      </c>
      <c r="I140" s="7" t="s">
        <v>98</v>
      </c>
      <c r="J140" s="7"/>
      <c r="K140" s="7"/>
      <c r="L140" s="7" t="n">
        <v>25</v>
      </c>
      <c r="M140" s="7" t="n">
        <v>0</v>
      </c>
      <c r="N140" s="7" t="s">
        <v>1590</v>
      </c>
      <c r="O140" s="7" t="n">
        <v>30.5</v>
      </c>
      <c r="P140" s="7"/>
      <c r="Q140" s="7"/>
      <c r="R140" s="7" t="s">
        <v>1604</v>
      </c>
    </row>
    <row r="141" customFormat="false" ht="14.25" hidden="false" customHeight="false" outlineLevel="0" collapsed="false">
      <c r="A141" s="7" t="s">
        <v>496</v>
      </c>
      <c r="B141" s="7" t="s">
        <v>1606</v>
      </c>
      <c r="C141" s="7" t="n">
        <v>1</v>
      </c>
      <c r="D141" s="7" t="n">
        <v>1</v>
      </c>
      <c r="E141" s="7" t="n">
        <v>0</v>
      </c>
      <c r="F141" s="7" t="s">
        <v>1337</v>
      </c>
      <c r="G141" s="7" t="s">
        <v>1607</v>
      </c>
      <c r="H141" s="7" t="n">
        <v>1</v>
      </c>
      <c r="I141" s="7" t="s">
        <v>147</v>
      </c>
      <c r="J141" s="7" t="n">
        <v>1</v>
      </c>
      <c r="K141" s="7"/>
      <c r="L141" s="7" t="n">
        <v>12</v>
      </c>
      <c r="M141" s="7" t="n">
        <v>0</v>
      </c>
      <c r="N141" s="7" t="s">
        <v>1590</v>
      </c>
      <c r="O141" s="7" t="n">
        <v>30.5</v>
      </c>
      <c r="P141" s="7"/>
      <c r="Q141" s="7" t="s">
        <v>1601</v>
      </c>
      <c r="R141" s="7" t="s">
        <v>1608</v>
      </c>
    </row>
    <row r="142" customFormat="false" ht="14.25" hidden="false" customHeight="false" outlineLevel="0" collapsed="false">
      <c r="A142" s="7" t="s">
        <v>501</v>
      </c>
      <c r="B142" s="7" t="s">
        <v>1609</v>
      </c>
      <c r="C142" s="7" t="n">
        <v>1</v>
      </c>
      <c r="D142" s="7" t="n">
        <v>1</v>
      </c>
      <c r="E142" s="7" t="n">
        <v>0</v>
      </c>
      <c r="F142" s="7" t="s">
        <v>1337</v>
      </c>
      <c r="G142" s="7" t="s">
        <v>1610</v>
      </c>
      <c r="H142" s="7" t="n">
        <v>2</v>
      </c>
      <c r="I142" s="7" t="s">
        <v>98</v>
      </c>
      <c r="J142" s="7"/>
      <c r="K142" s="7"/>
      <c r="L142" s="7" t="n">
        <v>12</v>
      </c>
      <c r="M142" s="7" t="n">
        <v>0</v>
      </c>
      <c r="N142" s="7" t="s">
        <v>1611</v>
      </c>
      <c r="O142" s="7" t="n">
        <v>125.5</v>
      </c>
      <c r="P142" s="7"/>
      <c r="Q142" s="7"/>
      <c r="R142" s="7" t="s">
        <v>1608</v>
      </c>
    </row>
    <row r="143" customFormat="false" ht="14.25" hidden="false" customHeight="false" outlineLevel="0" collapsed="false">
      <c r="A143" s="7" t="s">
        <v>505</v>
      </c>
      <c r="B143" s="7" t="s">
        <v>1612</v>
      </c>
      <c r="C143" s="7" t="n">
        <v>2</v>
      </c>
      <c r="D143" s="7" t="n">
        <v>2</v>
      </c>
      <c r="E143" s="7" t="n">
        <v>0</v>
      </c>
      <c r="F143" s="7" t="s">
        <v>1337</v>
      </c>
      <c r="G143" s="7" t="s">
        <v>1613</v>
      </c>
      <c r="H143" s="7" t="n">
        <v>2</v>
      </c>
      <c r="I143" s="7" t="s">
        <v>98</v>
      </c>
      <c r="J143" s="7" t="n">
        <v>1</v>
      </c>
      <c r="K143" s="7"/>
      <c r="L143" s="7" t="n">
        <v>12</v>
      </c>
      <c r="M143" s="7" t="n">
        <v>0</v>
      </c>
      <c r="N143" s="7" t="s">
        <v>1611</v>
      </c>
      <c r="O143" s="7" t="n">
        <v>125.5</v>
      </c>
      <c r="P143" s="7"/>
      <c r="Q143" s="7" t="s">
        <v>1601</v>
      </c>
      <c r="R143" s="7" t="s">
        <v>1604</v>
      </c>
    </row>
    <row r="144" customFormat="false" ht="14.25" hidden="false" customHeight="false" outlineLevel="0" collapsed="false">
      <c r="A144" s="7" t="s">
        <v>508</v>
      </c>
      <c r="B144" s="7" t="s">
        <v>1614</v>
      </c>
      <c r="C144" s="7" t="n">
        <v>3</v>
      </c>
      <c r="D144" s="7" t="n">
        <v>3</v>
      </c>
      <c r="E144" s="7" t="n">
        <v>0</v>
      </c>
      <c r="F144" s="7" t="s">
        <v>1337</v>
      </c>
      <c r="G144" s="7" t="s">
        <v>1615</v>
      </c>
      <c r="H144" s="7" t="n">
        <v>3</v>
      </c>
      <c r="I144" s="7" t="s">
        <v>120</v>
      </c>
      <c r="J144" s="7"/>
      <c r="K144" s="7"/>
      <c r="L144" s="7" t="n">
        <v>15</v>
      </c>
      <c r="M144" s="7" t="n">
        <v>0</v>
      </c>
      <c r="N144" s="7" t="s">
        <v>1616</v>
      </c>
      <c r="O144" s="7" t="n">
        <v>54</v>
      </c>
      <c r="P144" s="7"/>
      <c r="Q144" s="7"/>
      <c r="R144" s="7" t="s">
        <v>1617</v>
      </c>
    </row>
    <row r="145" customFormat="false" ht="14.25" hidden="false" customHeight="false" outlineLevel="0" collapsed="false">
      <c r="A145" s="7" t="s">
        <v>513</v>
      </c>
      <c r="B145" s="7" t="s">
        <v>1618</v>
      </c>
      <c r="C145" s="7" t="n">
        <v>2</v>
      </c>
      <c r="D145" s="7" t="n">
        <v>2</v>
      </c>
      <c r="E145" s="7" t="n">
        <v>0</v>
      </c>
      <c r="F145" s="7" t="s">
        <v>1337</v>
      </c>
      <c r="G145" s="7" t="s">
        <v>1619</v>
      </c>
      <c r="H145" s="7" t="n">
        <v>1</v>
      </c>
      <c r="I145" s="7" t="s">
        <v>147</v>
      </c>
      <c r="J145" s="7"/>
      <c r="K145" s="7"/>
      <c r="L145" s="7" t="n">
        <v>18</v>
      </c>
      <c r="M145" s="7" t="n">
        <v>0</v>
      </c>
      <c r="N145" s="7" t="s">
        <v>1596</v>
      </c>
      <c r="O145" s="7" t="n">
        <v>350.5</v>
      </c>
      <c r="P145" s="7"/>
      <c r="Q145" s="7"/>
      <c r="R145" s="7" t="s">
        <v>1617</v>
      </c>
    </row>
    <row r="146" customFormat="false" ht="14.25" hidden="false" customHeight="false" outlineLevel="0" collapsed="false">
      <c r="A146" s="7" t="s">
        <v>519</v>
      </c>
      <c r="B146" s="7" t="s">
        <v>1620</v>
      </c>
      <c r="C146" s="7" t="n">
        <v>1</v>
      </c>
      <c r="D146" s="7" t="n">
        <v>1</v>
      </c>
      <c r="E146" s="7" t="n">
        <v>0</v>
      </c>
      <c r="F146" s="7" t="s">
        <v>1337</v>
      </c>
      <c r="G146" s="7" t="s">
        <v>1621</v>
      </c>
      <c r="H146" s="7" t="n">
        <v>1</v>
      </c>
      <c r="I146" s="7" t="s">
        <v>147</v>
      </c>
      <c r="J146" s="7"/>
      <c r="K146" s="7"/>
      <c r="L146" s="7" t="n">
        <v>19</v>
      </c>
      <c r="M146" s="7" t="n">
        <v>0</v>
      </c>
      <c r="N146" s="7" t="s">
        <v>1611</v>
      </c>
      <c r="O146" s="7" t="n">
        <v>125.5</v>
      </c>
      <c r="P146" s="7"/>
      <c r="Q146" s="7"/>
      <c r="R146" s="7" t="s">
        <v>1608</v>
      </c>
    </row>
    <row r="147" customFormat="false" ht="14.25" hidden="false" customHeight="false" outlineLevel="0" collapsed="false">
      <c r="A147" s="7" t="s">
        <v>524</v>
      </c>
      <c r="B147" s="7" t="s">
        <v>1622</v>
      </c>
      <c r="C147" s="7" t="n">
        <v>1</v>
      </c>
      <c r="D147" s="7" t="n">
        <v>1</v>
      </c>
      <c r="E147" s="7" t="n">
        <v>0</v>
      </c>
      <c r="F147" s="7" t="s">
        <v>1337</v>
      </c>
      <c r="G147" s="7" t="s">
        <v>1593</v>
      </c>
      <c r="H147" s="7" t="n">
        <v>2</v>
      </c>
      <c r="I147" s="7" t="s">
        <v>98</v>
      </c>
      <c r="J147" s="7"/>
      <c r="K147" s="7"/>
      <c r="L147" s="7" t="n">
        <v>26</v>
      </c>
      <c r="M147" s="7" t="n">
        <v>0</v>
      </c>
      <c r="N147" s="7" t="s">
        <v>1596</v>
      </c>
      <c r="O147" s="7" t="n">
        <v>350.5</v>
      </c>
      <c r="P147" s="7"/>
      <c r="Q147" s="7"/>
      <c r="R147" s="7" t="s">
        <v>1608</v>
      </c>
    </row>
    <row r="148" customFormat="false" ht="14.25" hidden="false" customHeight="false" outlineLevel="0" collapsed="false">
      <c r="A148" s="7" t="s">
        <v>530</v>
      </c>
      <c r="B148" s="7" t="s">
        <v>1623</v>
      </c>
      <c r="C148" s="7" t="n">
        <v>2</v>
      </c>
      <c r="D148" s="7" t="n">
        <v>1</v>
      </c>
      <c r="E148" s="7" t="n">
        <v>1</v>
      </c>
      <c r="F148" s="7" t="s">
        <v>1624</v>
      </c>
      <c r="G148" s="7" t="s">
        <v>1625</v>
      </c>
      <c r="H148" s="7" t="n">
        <v>1</v>
      </c>
      <c r="I148" s="7" t="s">
        <v>147</v>
      </c>
      <c r="J148" s="7"/>
      <c r="K148" s="7"/>
      <c r="L148" s="7" t="n">
        <v>6</v>
      </c>
      <c r="M148" s="7" t="n">
        <v>0</v>
      </c>
      <c r="N148" s="7" t="s">
        <v>1626</v>
      </c>
      <c r="O148" s="7" t="n">
        <v>5.5</v>
      </c>
      <c r="P148" s="7"/>
      <c r="Q148" s="7"/>
      <c r="R148" s="7" t="s">
        <v>1627</v>
      </c>
    </row>
    <row r="149" customFormat="false" ht="14.25" hidden="false" customHeight="false" outlineLevel="0" collapsed="false">
      <c r="A149" s="7" t="s">
        <v>535</v>
      </c>
      <c r="B149" s="7" t="s">
        <v>1628</v>
      </c>
      <c r="C149" s="7" t="n">
        <v>2</v>
      </c>
      <c r="D149" s="7" t="n">
        <v>1</v>
      </c>
      <c r="E149" s="7" t="n">
        <v>0</v>
      </c>
      <c r="F149" s="7" t="s">
        <v>1337</v>
      </c>
      <c r="G149" s="7" t="s">
        <v>1629</v>
      </c>
      <c r="H149" s="7" t="n">
        <v>1</v>
      </c>
      <c r="I149" s="7" t="s">
        <v>147</v>
      </c>
      <c r="J149" s="7" t="n">
        <v>1</v>
      </c>
      <c r="K149" s="7"/>
      <c r="L149" s="7" t="n">
        <v>15</v>
      </c>
      <c r="M149" s="7" t="n">
        <v>0</v>
      </c>
      <c r="N149" s="7" t="s">
        <v>1596</v>
      </c>
      <c r="O149" s="7" t="n">
        <v>350.5</v>
      </c>
      <c r="P149" s="7"/>
      <c r="Q149" s="7" t="s">
        <v>1601</v>
      </c>
      <c r="R149" s="7" t="s">
        <v>1608</v>
      </c>
    </row>
    <row r="150" customFormat="false" ht="14.25" hidden="false" customHeight="false" outlineLevel="0" collapsed="false">
      <c r="A150" s="7" t="s">
        <v>540</v>
      </c>
      <c r="B150" s="7" t="s">
        <v>1630</v>
      </c>
      <c r="C150" s="7" t="n">
        <v>1</v>
      </c>
      <c r="D150" s="7" t="n">
        <v>1</v>
      </c>
      <c r="E150" s="7" t="n">
        <v>0</v>
      </c>
      <c r="F150" s="7" t="s">
        <v>1337</v>
      </c>
      <c r="G150" s="7" t="s">
        <v>1593</v>
      </c>
      <c r="H150" s="7" t="n">
        <v>2</v>
      </c>
      <c r="I150" s="7" t="s">
        <v>98</v>
      </c>
      <c r="J150" s="7" t="n">
        <v>1</v>
      </c>
      <c r="K150" s="7"/>
      <c r="L150" s="7" t="n">
        <v>35</v>
      </c>
      <c r="M150" s="7" t="n">
        <v>0</v>
      </c>
      <c r="N150" s="7" t="s">
        <v>1631</v>
      </c>
      <c r="O150" s="7" t="n">
        <v>2500</v>
      </c>
      <c r="P150" s="7"/>
      <c r="Q150" s="7" t="s">
        <v>1601</v>
      </c>
      <c r="R150" s="7" t="s">
        <v>1608</v>
      </c>
    </row>
    <row r="151" customFormat="false" ht="14.25" hidden="false" customHeight="false" outlineLevel="0" collapsed="false">
      <c r="A151" s="7" t="s">
        <v>545</v>
      </c>
      <c r="B151" s="7" t="s">
        <v>1632</v>
      </c>
      <c r="C151" s="7" t="n">
        <v>1</v>
      </c>
      <c r="D151" s="7" t="n">
        <v>1</v>
      </c>
      <c r="E151" s="7" t="n">
        <v>0</v>
      </c>
      <c r="F151" s="7" t="s">
        <v>1337</v>
      </c>
      <c r="G151" s="7" t="s">
        <v>1633</v>
      </c>
      <c r="H151" s="7" t="n">
        <v>1</v>
      </c>
      <c r="I151" s="7" t="s">
        <v>147</v>
      </c>
      <c r="J151" s="7"/>
      <c r="K151" s="7"/>
      <c r="L151" s="7" t="n">
        <v>4</v>
      </c>
      <c r="M151" s="7" t="n">
        <v>0</v>
      </c>
      <c r="N151" s="7" t="s">
        <v>1590</v>
      </c>
      <c r="O151" s="7" t="n">
        <v>30.5</v>
      </c>
      <c r="P151" s="7"/>
      <c r="Q151" s="7"/>
      <c r="R151" s="7" t="s">
        <v>1608</v>
      </c>
    </row>
    <row r="152" customFormat="false" ht="14.25" hidden="false" customHeight="false" outlineLevel="0" collapsed="false">
      <c r="A152" s="7" t="s">
        <v>550</v>
      </c>
      <c r="B152" s="7" t="s">
        <v>1634</v>
      </c>
      <c r="C152" s="7" t="n">
        <v>2</v>
      </c>
      <c r="D152" s="7" t="n">
        <v>2</v>
      </c>
      <c r="E152" s="7" t="n">
        <v>0</v>
      </c>
      <c r="F152" s="7" t="s">
        <v>1337</v>
      </c>
      <c r="G152" s="7" t="s">
        <v>1635</v>
      </c>
      <c r="H152" s="7" t="n">
        <v>1</v>
      </c>
      <c r="I152" s="7" t="s">
        <v>147</v>
      </c>
      <c r="J152" s="7" t="n">
        <v>1</v>
      </c>
      <c r="K152" s="7"/>
      <c r="L152" s="7" t="n">
        <v>6</v>
      </c>
      <c r="M152" s="7" t="n">
        <v>0</v>
      </c>
      <c r="N152" s="7" t="s">
        <v>1590</v>
      </c>
      <c r="O152" s="7" t="n">
        <v>30.5</v>
      </c>
      <c r="P152" s="7"/>
      <c r="Q152" s="7" t="s">
        <v>1601</v>
      </c>
      <c r="R152" s="7" t="s">
        <v>1617</v>
      </c>
    </row>
    <row r="153" customFormat="false" ht="14.25" hidden="false" customHeight="false" outlineLevel="0" collapsed="false">
      <c r="A153" s="7" t="s">
        <v>554</v>
      </c>
      <c r="B153" s="7" t="s">
        <v>1636</v>
      </c>
      <c r="C153" s="7" t="n">
        <v>1</v>
      </c>
      <c r="D153" s="7" t="n">
        <v>1</v>
      </c>
      <c r="E153" s="7" t="n">
        <v>0</v>
      </c>
      <c r="F153" s="7" t="s">
        <v>1337</v>
      </c>
      <c r="G153" s="7" t="s">
        <v>1637</v>
      </c>
      <c r="H153" s="7" t="n">
        <v>2</v>
      </c>
      <c r="I153" s="7" t="s">
        <v>98</v>
      </c>
      <c r="J153" s="7" t="n">
        <v>1</v>
      </c>
      <c r="K153" s="7"/>
      <c r="L153" s="7" t="n">
        <v>30</v>
      </c>
      <c r="M153" s="7" t="n">
        <v>1</v>
      </c>
      <c r="N153" s="7" t="s">
        <v>1611</v>
      </c>
      <c r="O153" s="7" t="n">
        <v>125.5</v>
      </c>
      <c r="P153" s="7"/>
      <c r="Q153" s="7" t="s">
        <v>1601</v>
      </c>
      <c r="R153" s="7" t="s">
        <v>1608</v>
      </c>
    </row>
    <row r="154" customFormat="false" ht="14.25" hidden="false" customHeight="false" outlineLevel="0" collapsed="false">
      <c r="A154" s="7" t="s">
        <v>125</v>
      </c>
      <c r="B154" s="7" t="s">
        <v>1638</v>
      </c>
      <c r="C154" s="7" t="n">
        <v>1</v>
      </c>
      <c r="D154" s="7" t="n">
        <v>0</v>
      </c>
      <c r="E154" s="7" t="n">
        <v>0</v>
      </c>
      <c r="F154" s="7" t="s">
        <v>262</v>
      </c>
      <c r="G154" s="7" t="s">
        <v>1637</v>
      </c>
      <c r="H154" s="7" t="n">
        <v>2</v>
      </c>
      <c r="I154" s="7" t="s">
        <v>98</v>
      </c>
      <c r="J154" s="7" t="n">
        <v>1</v>
      </c>
      <c r="K154" s="7"/>
      <c r="L154" s="7" t="n">
        <v>30</v>
      </c>
      <c r="M154" s="7" t="n">
        <v>0</v>
      </c>
      <c r="N154" s="7" t="s">
        <v>1639</v>
      </c>
      <c r="O154" s="7" t="n">
        <v>125.5</v>
      </c>
      <c r="P154" s="7"/>
      <c r="Q154" s="7" t="s">
        <v>1601</v>
      </c>
      <c r="R154" s="7" t="s">
        <v>1608</v>
      </c>
    </row>
    <row r="155" customFormat="false" ht="14.25" hidden="false" customHeight="false" outlineLevel="0" collapsed="false">
      <c r="A155" s="7" t="s">
        <v>168</v>
      </c>
      <c r="B155" s="7" t="s">
        <v>1640</v>
      </c>
      <c r="C155" s="7" t="n">
        <v>2</v>
      </c>
      <c r="D155" s="7" t="n">
        <v>0</v>
      </c>
      <c r="E155" s="7" t="n">
        <v>0</v>
      </c>
      <c r="F155" s="7" t="s">
        <v>262</v>
      </c>
      <c r="G155" s="7"/>
      <c r="H155" s="7"/>
      <c r="I155" s="7"/>
      <c r="J155" s="7"/>
      <c r="K155" s="7"/>
      <c r="L155" s="7"/>
      <c r="M155" s="7" t="n">
        <v>0</v>
      </c>
      <c r="N155" s="7" t="s">
        <v>1639</v>
      </c>
      <c r="O155" s="7"/>
      <c r="P155" s="7"/>
      <c r="Q155" s="7"/>
      <c r="R155" s="7"/>
    </row>
    <row r="156" customFormat="false" ht="14.25" hidden="false" customHeight="false" outlineLevel="0" collapsed="false">
      <c r="A156" s="7" t="s">
        <v>224</v>
      </c>
      <c r="B156" s="7" t="s">
        <v>1641</v>
      </c>
      <c r="C156" s="7" t="n">
        <v>1</v>
      </c>
      <c r="D156" s="7" t="n">
        <v>1</v>
      </c>
      <c r="E156" s="7" t="n">
        <v>0</v>
      </c>
      <c r="F156" s="7" t="s">
        <v>1337</v>
      </c>
      <c r="G156" s="7"/>
      <c r="H156" s="7"/>
      <c r="I156" s="7"/>
      <c r="J156" s="7"/>
      <c r="K156" s="7" t="n">
        <v>0</v>
      </c>
      <c r="L156" s="7"/>
      <c r="M156" s="7" t="n">
        <v>0</v>
      </c>
      <c r="N156" s="7"/>
      <c r="O156" s="7"/>
      <c r="P156" s="7" t="s">
        <v>1371</v>
      </c>
      <c r="Q156" s="7"/>
      <c r="R156" s="7" t="s">
        <v>1337</v>
      </c>
    </row>
    <row r="157" customFormat="false" ht="14.25" hidden="false" customHeight="false" outlineLevel="0" collapsed="false">
      <c r="A157" s="7" t="s">
        <v>224</v>
      </c>
      <c r="B157" s="7" t="s">
        <v>1642</v>
      </c>
      <c r="C157" s="7" t="n">
        <v>1</v>
      </c>
      <c r="D157" s="7" t="n">
        <v>1</v>
      </c>
      <c r="E157" s="7" t="n">
        <v>0</v>
      </c>
      <c r="F157" s="7" t="s">
        <v>1337</v>
      </c>
      <c r="G157" s="7"/>
      <c r="H157" s="7"/>
      <c r="I157" s="7"/>
      <c r="J157" s="7"/>
      <c r="K157" s="7" t="n">
        <v>0</v>
      </c>
      <c r="L157" s="7"/>
      <c r="M157" s="7" t="n">
        <v>0</v>
      </c>
      <c r="N157" s="7"/>
      <c r="O157" s="7"/>
      <c r="P157" s="7" t="s">
        <v>1371</v>
      </c>
      <c r="Q157" s="7"/>
      <c r="R157" s="7" t="s">
        <v>1337</v>
      </c>
    </row>
    <row r="158" customFormat="false" ht="14.25" hidden="false" customHeight="false" outlineLevel="0" collapsed="false">
      <c r="A158" s="7" t="s">
        <v>224</v>
      </c>
      <c r="B158" s="7" t="s">
        <v>1643</v>
      </c>
      <c r="C158" s="7" t="n">
        <v>1</v>
      </c>
      <c r="D158" s="7" t="n">
        <v>1</v>
      </c>
      <c r="E158" s="7" t="n">
        <v>0</v>
      </c>
      <c r="F158" s="7" t="s">
        <v>1337</v>
      </c>
      <c r="G158" s="7"/>
      <c r="H158" s="7"/>
      <c r="I158" s="7"/>
      <c r="J158" s="7"/>
      <c r="K158" s="7" t="n">
        <v>0</v>
      </c>
      <c r="L158" s="7"/>
      <c r="M158" s="7" t="n">
        <v>0</v>
      </c>
      <c r="N158" s="7"/>
      <c r="O158" s="7"/>
      <c r="P158" s="7" t="s">
        <v>1371</v>
      </c>
      <c r="Q158" s="7"/>
      <c r="R158" s="7" t="s">
        <v>1337</v>
      </c>
    </row>
    <row r="159" customFormat="false" ht="14.25" hidden="false" customHeight="false" outlineLevel="0" collapsed="false">
      <c r="A159" s="7" t="s">
        <v>558</v>
      </c>
      <c r="B159" s="7" t="s">
        <v>1644</v>
      </c>
      <c r="C159" s="7" t="n">
        <v>2</v>
      </c>
      <c r="D159" s="7" t="n">
        <v>1</v>
      </c>
      <c r="E159" s="7" t="n">
        <v>0</v>
      </c>
      <c r="F159" s="7" t="s">
        <v>1337</v>
      </c>
      <c r="G159" s="7"/>
      <c r="H159" s="7"/>
      <c r="I159" s="7"/>
      <c r="J159" s="7"/>
      <c r="K159" s="7" t="n">
        <v>0</v>
      </c>
      <c r="L159" s="7"/>
      <c r="M159" s="7" t="n">
        <v>0</v>
      </c>
      <c r="N159" s="7"/>
      <c r="O159" s="7"/>
      <c r="P159" s="7" t="s">
        <v>1371</v>
      </c>
      <c r="Q159" s="7"/>
      <c r="R159" s="7" t="s">
        <v>1337</v>
      </c>
    </row>
    <row r="160" customFormat="false" ht="14.25" hidden="false" customHeight="false" outlineLevel="0" collapsed="false">
      <c r="A160" s="0" t="s">
        <v>558</v>
      </c>
      <c r="B160" s="0" t="s">
        <v>1645</v>
      </c>
      <c r="C160" s="0" t="n">
        <v>2</v>
      </c>
    </row>
    <row r="161" customFormat="false" ht="14.25" hidden="false" customHeight="false" outlineLevel="0" collapsed="false">
      <c r="A161" s="0" t="s">
        <v>569</v>
      </c>
      <c r="B161" s="0" t="s">
        <v>1646</v>
      </c>
      <c r="C161" s="0" t="n">
        <v>3</v>
      </c>
    </row>
    <row r="162" customFormat="false" ht="14.25" hidden="false" customHeight="false" outlineLevel="0" collapsed="false">
      <c r="A162" s="0" t="s">
        <v>569</v>
      </c>
      <c r="B162" s="0" t="s">
        <v>1647</v>
      </c>
      <c r="C162" s="0" t="n">
        <v>3</v>
      </c>
    </row>
    <row r="163" customFormat="false" ht="14.25" hidden="false" customHeight="false" outlineLevel="0" collapsed="false">
      <c r="A163" s="0" t="s">
        <v>569</v>
      </c>
      <c r="B163" s="0" t="s">
        <v>1648</v>
      </c>
      <c r="C163" s="0" t="n">
        <v>3</v>
      </c>
    </row>
    <row r="164" customFormat="false" ht="14.25" hidden="false" customHeight="false" outlineLevel="0" collapsed="false">
      <c r="A164" s="0" t="s">
        <v>575</v>
      </c>
      <c r="B164" s="0" t="s">
        <v>1649</v>
      </c>
      <c r="C164" s="0" t="n">
        <v>2</v>
      </c>
    </row>
    <row r="165" customFormat="false" ht="14.25" hidden="false" customHeight="false" outlineLevel="0" collapsed="false">
      <c r="A165" s="0" t="s">
        <v>575</v>
      </c>
      <c r="B165" s="0" t="s">
        <v>1650</v>
      </c>
      <c r="C165" s="0" t="n">
        <v>2</v>
      </c>
    </row>
    <row r="166" customFormat="false" ht="14.25" hidden="false" customHeight="false" outlineLevel="0" collapsed="false">
      <c r="A166" s="0" t="s">
        <v>581</v>
      </c>
      <c r="B166" s="0" t="s">
        <v>1651</v>
      </c>
      <c r="C166" s="0" t="n">
        <v>2</v>
      </c>
    </row>
    <row r="167" customFormat="false" ht="14.25" hidden="false" customHeight="false" outlineLevel="0" collapsed="false">
      <c r="A167" s="0" t="s">
        <v>581</v>
      </c>
      <c r="B167" s="0" t="s">
        <v>1652</v>
      </c>
      <c r="C167" s="0" t="n">
        <v>2</v>
      </c>
    </row>
    <row r="168" customFormat="false" ht="14.25" hidden="false" customHeight="false" outlineLevel="0" collapsed="false">
      <c r="A168" s="0" t="s">
        <v>588</v>
      </c>
      <c r="B168" s="0" t="s">
        <v>1653</v>
      </c>
      <c r="C168" s="0" t="n">
        <v>1</v>
      </c>
    </row>
    <row r="169" customFormat="false" ht="14.25" hidden="false" customHeight="false" outlineLevel="0" collapsed="false">
      <c r="A169" s="0" t="s">
        <v>594</v>
      </c>
      <c r="B169" s="0" t="s">
        <v>1654</v>
      </c>
      <c r="C169" s="0" t="n">
        <v>2</v>
      </c>
    </row>
    <row r="170" customFormat="false" ht="14.25" hidden="false" customHeight="false" outlineLevel="0" collapsed="false">
      <c r="A170" s="0" t="s">
        <v>594</v>
      </c>
      <c r="B170" s="0" t="s">
        <v>1655</v>
      </c>
      <c r="C170" s="0" t="n">
        <v>2</v>
      </c>
    </row>
    <row r="171" customFormat="false" ht="14.25" hidden="false" customHeight="false" outlineLevel="0" collapsed="false">
      <c r="A171" s="0" t="s">
        <v>599</v>
      </c>
      <c r="B171" s="0" t="s">
        <v>1656</v>
      </c>
      <c r="C171" s="0" t="n">
        <v>5</v>
      </c>
    </row>
    <row r="172" customFormat="false" ht="14.25" hidden="false" customHeight="false" outlineLevel="0" collapsed="false">
      <c r="A172" s="0" t="s">
        <v>599</v>
      </c>
      <c r="B172" s="0" t="s">
        <v>1657</v>
      </c>
      <c r="C172" s="0" t="n">
        <v>5</v>
      </c>
    </row>
    <row r="173" customFormat="false" ht="14.25" hidden="false" customHeight="false" outlineLevel="0" collapsed="false">
      <c r="A173" s="0" t="s">
        <v>599</v>
      </c>
      <c r="B173" s="0" t="s">
        <v>1658</v>
      </c>
      <c r="C173" s="0" t="n">
        <v>5</v>
      </c>
    </row>
    <row r="174" customFormat="false" ht="14.25" hidden="false" customHeight="false" outlineLevel="0" collapsed="false">
      <c r="A174" s="0" t="s">
        <v>599</v>
      </c>
      <c r="B174" s="0" t="s">
        <v>1659</v>
      </c>
      <c r="C174" s="0" t="n">
        <v>5</v>
      </c>
    </row>
    <row r="175" customFormat="false" ht="14.25" hidden="false" customHeight="false" outlineLevel="0" collapsed="false">
      <c r="A175" s="0" t="s">
        <v>599</v>
      </c>
      <c r="B175" s="0" t="s">
        <v>1660</v>
      </c>
      <c r="C175" s="0" t="n">
        <v>5</v>
      </c>
    </row>
    <row r="176" customFormat="false" ht="14.25" hidden="false" customHeight="false" outlineLevel="0" collapsed="false">
      <c r="A176" s="0" t="s">
        <v>605</v>
      </c>
      <c r="B176" s="0" t="s">
        <v>1661</v>
      </c>
      <c r="C176" s="0" t="n">
        <v>3</v>
      </c>
    </row>
    <row r="177" customFormat="false" ht="14.25" hidden="false" customHeight="false" outlineLevel="0" collapsed="false">
      <c r="A177" s="0" t="s">
        <v>605</v>
      </c>
      <c r="B177" s="0" t="s">
        <v>1662</v>
      </c>
      <c r="C177" s="0" t="n">
        <v>3</v>
      </c>
    </row>
    <row r="178" customFormat="false" ht="14.25" hidden="false" customHeight="false" outlineLevel="0" collapsed="false">
      <c r="A178" s="0" t="s">
        <v>605</v>
      </c>
      <c r="B178" s="0" t="s">
        <v>1663</v>
      </c>
      <c r="C178" s="0" t="n">
        <v>3</v>
      </c>
    </row>
    <row r="179" customFormat="false" ht="14.25" hidden="false" customHeight="false" outlineLevel="0" collapsed="false">
      <c r="A179" s="0" t="s">
        <v>612</v>
      </c>
      <c r="B179" s="0" t="s">
        <v>1664</v>
      </c>
      <c r="C179" s="0" t="n">
        <v>1</v>
      </c>
    </row>
    <row r="180" customFormat="false" ht="14.25" hidden="false" customHeight="false" outlineLevel="0" collapsed="false">
      <c r="A180" s="0" t="s">
        <v>617</v>
      </c>
      <c r="B180" s="0" t="s">
        <v>1665</v>
      </c>
      <c r="C180" s="0" t="n">
        <v>1</v>
      </c>
    </row>
    <row r="181" customFormat="false" ht="14.25" hidden="false" customHeight="false" outlineLevel="0" collapsed="false">
      <c r="A181" s="0" t="s">
        <v>624</v>
      </c>
      <c r="B181" s="0" t="s">
        <v>1666</v>
      </c>
      <c r="C181" s="0" t="n">
        <v>2</v>
      </c>
    </row>
    <row r="182" customFormat="false" ht="14.25" hidden="false" customHeight="false" outlineLevel="0" collapsed="false">
      <c r="A182" s="0" t="s">
        <v>624</v>
      </c>
      <c r="B182" s="0" t="s">
        <v>1667</v>
      </c>
      <c r="C182" s="0" t="n">
        <v>2</v>
      </c>
    </row>
    <row r="183" customFormat="false" ht="14.25" hidden="false" customHeight="false" outlineLevel="0" collapsed="false">
      <c r="A183" s="0" t="s">
        <v>630</v>
      </c>
      <c r="B183" s="0" t="s">
        <v>1668</v>
      </c>
      <c r="C183" s="0" t="n">
        <v>5</v>
      </c>
    </row>
    <row r="184" customFormat="false" ht="14.25" hidden="false" customHeight="false" outlineLevel="0" collapsed="false">
      <c r="A184" s="0" t="s">
        <v>630</v>
      </c>
      <c r="B184" s="0" t="s">
        <v>1669</v>
      </c>
      <c r="C184" s="0" t="n">
        <v>5</v>
      </c>
    </row>
    <row r="185" customFormat="false" ht="14.25" hidden="false" customHeight="false" outlineLevel="0" collapsed="false">
      <c r="A185" s="0" t="s">
        <v>630</v>
      </c>
      <c r="B185" s="0" t="s">
        <v>1670</v>
      </c>
      <c r="C185" s="0" t="n">
        <v>5</v>
      </c>
    </row>
    <row r="186" customFormat="false" ht="14.25" hidden="false" customHeight="false" outlineLevel="0" collapsed="false">
      <c r="A186" s="0" t="s">
        <v>630</v>
      </c>
      <c r="B186" s="0" t="s">
        <v>1671</v>
      </c>
      <c r="C186" s="0" t="n">
        <v>5</v>
      </c>
    </row>
    <row r="187" customFormat="false" ht="14.25" hidden="false" customHeight="false" outlineLevel="0" collapsed="false">
      <c r="A187" s="0" t="s">
        <v>630</v>
      </c>
      <c r="B187" s="0" t="s">
        <v>1672</v>
      </c>
      <c r="C187" s="0" t="n">
        <v>5</v>
      </c>
    </row>
    <row r="188" customFormat="false" ht="14.25" hidden="false" customHeight="false" outlineLevel="0" collapsed="false">
      <c r="A188" s="0" t="s">
        <v>636</v>
      </c>
      <c r="B188" s="0" t="s">
        <v>1673</v>
      </c>
      <c r="C188" s="0" t="n">
        <v>1</v>
      </c>
    </row>
    <row r="189" customFormat="false" ht="14.25" hidden="false" customHeight="false" outlineLevel="0" collapsed="false">
      <c r="A189" s="0" t="s">
        <v>643</v>
      </c>
      <c r="B189" s="0" t="s">
        <v>1674</v>
      </c>
      <c r="C189" s="0" t="n">
        <v>3</v>
      </c>
    </row>
    <row r="190" customFormat="false" ht="14.25" hidden="false" customHeight="false" outlineLevel="0" collapsed="false">
      <c r="A190" s="0" t="s">
        <v>643</v>
      </c>
      <c r="B190" s="0" t="s">
        <v>1675</v>
      </c>
      <c r="C190" s="0" t="n">
        <v>3</v>
      </c>
    </row>
    <row r="191" customFormat="false" ht="14.25" hidden="false" customHeight="false" outlineLevel="0" collapsed="false">
      <c r="A191" s="0" t="s">
        <v>643</v>
      </c>
      <c r="B191" s="0" t="s">
        <v>1676</v>
      </c>
      <c r="C191" s="0" t="n">
        <v>3</v>
      </c>
    </row>
    <row r="192" customFormat="false" ht="14.25" hidden="false" customHeight="false" outlineLevel="0" collapsed="false">
      <c r="A192" s="0" t="s">
        <v>648</v>
      </c>
      <c r="B192" s="0" t="s">
        <v>1677</v>
      </c>
      <c r="C192" s="0" t="n">
        <v>2</v>
      </c>
    </row>
    <row r="193" customFormat="false" ht="14.25" hidden="false" customHeight="false" outlineLevel="0" collapsed="false">
      <c r="A193" s="0" t="s">
        <v>648</v>
      </c>
      <c r="B193" s="0" t="s">
        <v>1678</v>
      </c>
      <c r="C193" s="0" t="n">
        <v>2</v>
      </c>
    </row>
    <row r="194" customFormat="false" ht="14.25" hidden="false" customHeight="false" outlineLevel="0" collapsed="false">
      <c r="A194" s="0" t="s">
        <v>654</v>
      </c>
      <c r="B194" s="0" t="s">
        <v>1679</v>
      </c>
      <c r="C194" s="0" t="n">
        <v>4</v>
      </c>
    </row>
    <row r="195" customFormat="false" ht="14.25" hidden="false" customHeight="false" outlineLevel="0" collapsed="false">
      <c r="A195" s="0" t="s">
        <v>654</v>
      </c>
      <c r="B195" s="0" t="s">
        <v>1680</v>
      </c>
      <c r="C195" s="0" t="n">
        <v>4</v>
      </c>
    </row>
    <row r="196" customFormat="false" ht="14.25" hidden="false" customHeight="false" outlineLevel="0" collapsed="false">
      <c r="A196" s="0" t="s">
        <v>654</v>
      </c>
      <c r="B196" s="0" t="s">
        <v>1681</v>
      </c>
      <c r="C196" s="0" t="n">
        <v>4</v>
      </c>
    </row>
    <row r="197" customFormat="false" ht="14.25" hidden="false" customHeight="false" outlineLevel="0" collapsed="false">
      <c r="A197" s="0" t="s">
        <v>654</v>
      </c>
      <c r="B197" s="0" t="s">
        <v>1682</v>
      </c>
      <c r="C197" s="0" t="n">
        <v>4</v>
      </c>
    </row>
    <row r="198" customFormat="false" ht="14.25" hidden="false" customHeight="false" outlineLevel="0" collapsed="false">
      <c r="A198" s="0" t="s">
        <v>659</v>
      </c>
      <c r="B198" s="0" t="s">
        <v>1683</v>
      </c>
      <c r="C198" s="0" t="n">
        <v>3</v>
      </c>
    </row>
    <row r="199" customFormat="false" ht="14.25" hidden="false" customHeight="false" outlineLevel="0" collapsed="false">
      <c r="A199" s="0" t="s">
        <v>659</v>
      </c>
      <c r="B199" s="0" t="s">
        <v>1684</v>
      </c>
      <c r="C199" s="0" t="n">
        <v>3</v>
      </c>
    </row>
    <row r="200" customFormat="false" ht="14.25" hidden="false" customHeight="false" outlineLevel="0" collapsed="false">
      <c r="A200" s="0" t="s">
        <v>659</v>
      </c>
      <c r="B200" s="0" t="s">
        <v>1685</v>
      </c>
      <c r="C200" s="0" t="n">
        <v>3</v>
      </c>
    </row>
    <row r="201" customFormat="false" ht="14.25" hidden="false" customHeight="false" outlineLevel="0" collapsed="false">
      <c r="A201" s="0" t="s">
        <v>664</v>
      </c>
      <c r="B201" s="0" t="s">
        <v>1686</v>
      </c>
      <c r="C201" s="0" t="n">
        <v>4</v>
      </c>
    </row>
    <row r="202" customFormat="false" ht="14.25" hidden="false" customHeight="false" outlineLevel="0" collapsed="false">
      <c r="A202" s="0" t="s">
        <v>664</v>
      </c>
      <c r="B202" s="0" t="s">
        <v>1687</v>
      </c>
      <c r="C202" s="0" t="n">
        <v>4</v>
      </c>
    </row>
    <row r="203" customFormat="false" ht="14.25" hidden="false" customHeight="false" outlineLevel="0" collapsed="false">
      <c r="A203" s="0" t="s">
        <v>664</v>
      </c>
      <c r="B203" s="0" t="s">
        <v>1688</v>
      </c>
      <c r="C203" s="0" t="n">
        <v>4</v>
      </c>
    </row>
    <row r="204" customFormat="false" ht="14.25" hidden="false" customHeight="false" outlineLevel="0" collapsed="false">
      <c r="A204" s="0" t="s">
        <v>664</v>
      </c>
      <c r="B204" s="0" t="s">
        <v>1689</v>
      </c>
      <c r="C204" s="0" t="n">
        <v>4</v>
      </c>
    </row>
    <row r="205" customFormat="false" ht="14.25" hidden="false" customHeight="false" outlineLevel="0" collapsed="false">
      <c r="A205" s="0" t="s">
        <v>669</v>
      </c>
      <c r="B205" s="0" t="s">
        <v>1690</v>
      </c>
      <c r="C205" s="0" t="n">
        <v>2</v>
      </c>
    </row>
    <row r="206" customFormat="false" ht="14.25" hidden="false" customHeight="false" outlineLevel="0" collapsed="false">
      <c r="A206" s="0" t="s">
        <v>669</v>
      </c>
      <c r="B206" s="0" t="s">
        <v>1691</v>
      </c>
      <c r="C206" s="0" t="n">
        <v>2</v>
      </c>
    </row>
    <row r="207" customFormat="false" ht="14.25" hidden="false" customHeight="false" outlineLevel="0" collapsed="false">
      <c r="A207" s="0" t="s">
        <v>674</v>
      </c>
      <c r="B207" s="0" t="s">
        <v>1692</v>
      </c>
      <c r="C207" s="0" t="n">
        <v>2</v>
      </c>
    </row>
    <row r="208" customFormat="false" ht="14.25" hidden="false" customHeight="false" outlineLevel="0" collapsed="false">
      <c r="A208" s="0" t="s">
        <v>674</v>
      </c>
      <c r="B208" s="0" t="s">
        <v>1693</v>
      </c>
      <c r="C208" s="0" t="n">
        <v>2</v>
      </c>
    </row>
    <row r="209" customFormat="false" ht="14.25" hidden="false" customHeight="false" outlineLevel="0" collapsed="false">
      <c r="A209" s="0" t="s">
        <v>680</v>
      </c>
      <c r="B209" s="0" t="s">
        <v>1694</v>
      </c>
      <c r="C209" s="0" t="n">
        <v>2</v>
      </c>
    </row>
    <row r="210" customFormat="false" ht="14.25" hidden="false" customHeight="false" outlineLevel="0" collapsed="false">
      <c r="A210" s="0" t="s">
        <v>680</v>
      </c>
      <c r="B210" s="0" t="s">
        <v>1695</v>
      </c>
      <c r="C210" s="0" t="n">
        <v>2</v>
      </c>
    </row>
    <row r="211" customFormat="false" ht="14.25" hidden="false" customHeight="false" outlineLevel="0" collapsed="false">
      <c r="A211" s="0" t="s">
        <v>685</v>
      </c>
      <c r="B211" s="0" t="s">
        <v>1696</v>
      </c>
      <c r="C211" s="0" t="n">
        <v>4</v>
      </c>
    </row>
    <row r="212" customFormat="false" ht="14.25" hidden="false" customHeight="false" outlineLevel="0" collapsed="false">
      <c r="A212" s="0" t="s">
        <v>685</v>
      </c>
      <c r="B212" s="0" t="s">
        <v>1697</v>
      </c>
      <c r="C212" s="0" t="n">
        <v>4</v>
      </c>
    </row>
    <row r="213" customFormat="false" ht="14.25" hidden="false" customHeight="false" outlineLevel="0" collapsed="false">
      <c r="A213" s="0" t="s">
        <v>685</v>
      </c>
      <c r="B213" s="0" t="s">
        <v>1698</v>
      </c>
      <c r="C213" s="0" t="n">
        <v>4</v>
      </c>
    </row>
    <row r="214" customFormat="false" ht="14.25" hidden="false" customHeight="false" outlineLevel="0" collapsed="false">
      <c r="A214" s="0" t="s">
        <v>685</v>
      </c>
      <c r="B214" s="0" t="s">
        <v>1699</v>
      </c>
      <c r="C214" s="0" t="n">
        <v>4</v>
      </c>
    </row>
    <row r="215" customFormat="false" ht="14.25" hidden="false" customHeight="false" outlineLevel="0" collapsed="false">
      <c r="A215" s="0" t="s">
        <v>691</v>
      </c>
      <c r="B215" s="0" t="s">
        <v>1700</v>
      </c>
      <c r="C215" s="0" t="n">
        <v>3</v>
      </c>
    </row>
    <row r="216" customFormat="false" ht="14.25" hidden="false" customHeight="false" outlineLevel="0" collapsed="false">
      <c r="A216" s="0" t="s">
        <v>691</v>
      </c>
      <c r="B216" s="0" t="s">
        <v>1701</v>
      </c>
      <c r="C216" s="0" t="n">
        <v>3</v>
      </c>
    </row>
    <row r="217" customFormat="false" ht="14.25" hidden="false" customHeight="false" outlineLevel="0" collapsed="false">
      <c r="A217" s="0" t="s">
        <v>691</v>
      </c>
      <c r="B217" s="0" t="s">
        <v>1702</v>
      </c>
      <c r="C217" s="0" t="n">
        <v>3</v>
      </c>
    </row>
    <row r="218" customFormat="false" ht="14.25" hidden="false" customHeight="false" outlineLevel="0" collapsed="false">
      <c r="A218" s="0" t="s">
        <v>696</v>
      </c>
      <c r="B218" s="0" t="s">
        <v>1703</v>
      </c>
      <c r="C218" s="0" t="n">
        <v>2</v>
      </c>
    </row>
    <row r="219" customFormat="false" ht="14.25" hidden="false" customHeight="false" outlineLevel="0" collapsed="false">
      <c r="A219" s="0" t="s">
        <v>696</v>
      </c>
      <c r="B219" s="0" t="s">
        <v>1704</v>
      </c>
      <c r="C219" s="0" t="n">
        <v>2</v>
      </c>
    </row>
    <row r="220" customFormat="false" ht="14.25" hidden="false" customHeight="false" outlineLevel="0" collapsed="false">
      <c r="A220" s="0" t="s">
        <v>701</v>
      </c>
      <c r="B220" s="0" t="s">
        <v>1705</v>
      </c>
      <c r="C220" s="0" t="n">
        <v>1</v>
      </c>
    </row>
    <row r="221" customFormat="false" ht="14.25" hidden="false" customHeight="false" outlineLevel="0" collapsed="false">
      <c r="A221" s="0" t="s">
        <v>706</v>
      </c>
      <c r="B221" s="0" t="s">
        <v>1706</v>
      </c>
      <c r="C221" s="0" t="n">
        <v>1</v>
      </c>
    </row>
    <row r="222" customFormat="false" ht="14.25" hidden="false" customHeight="false" outlineLevel="0" collapsed="false">
      <c r="A222" s="0" t="s">
        <v>712</v>
      </c>
      <c r="B222" s="0" t="s">
        <v>1707</v>
      </c>
      <c r="C222" s="0" t="n">
        <v>4</v>
      </c>
    </row>
    <row r="223" customFormat="false" ht="14.25" hidden="false" customHeight="false" outlineLevel="0" collapsed="false">
      <c r="A223" s="0" t="s">
        <v>712</v>
      </c>
      <c r="B223" s="0" t="s">
        <v>1708</v>
      </c>
      <c r="C223" s="0" t="n">
        <v>4</v>
      </c>
    </row>
    <row r="224" customFormat="false" ht="14.25" hidden="false" customHeight="false" outlineLevel="0" collapsed="false">
      <c r="A224" s="0" t="s">
        <v>712</v>
      </c>
      <c r="B224" s="0" t="s">
        <v>1709</v>
      </c>
      <c r="C224" s="0" t="n">
        <v>4</v>
      </c>
    </row>
    <row r="225" customFormat="false" ht="14.25" hidden="false" customHeight="false" outlineLevel="0" collapsed="false">
      <c r="A225" s="0" t="s">
        <v>712</v>
      </c>
      <c r="B225" s="0" t="s">
        <v>1710</v>
      </c>
      <c r="C225" s="0" t="n">
        <v>4</v>
      </c>
    </row>
    <row r="226" customFormat="false" ht="14.25" hidden="false" customHeight="false" outlineLevel="0" collapsed="false">
      <c r="A226" s="0" t="s">
        <v>718</v>
      </c>
      <c r="B226" s="0" t="s">
        <v>1711</v>
      </c>
      <c r="C226" s="0" t="n">
        <v>2</v>
      </c>
    </row>
    <row r="227" customFormat="false" ht="14.25" hidden="false" customHeight="false" outlineLevel="0" collapsed="false">
      <c r="A227" s="0" t="s">
        <v>718</v>
      </c>
      <c r="B227" s="0" t="s">
        <v>1712</v>
      </c>
      <c r="C227" s="0" t="n">
        <v>2</v>
      </c>
    </row>
    <row r="228" customFormat="false" ht="14.25" hidden="false" customHeight="false" outlineLevel="0" collapsed="false">
      <c r="A228" s="0" t="s">
        <v>723</v>
      </c>
      <c r="B228" s="0" t="s">
        <v>1713</v>
      </c>
      <c r="C228" s="0" t="n">
        <v>4</v>
      </c>
    </row>
    <row r="229" customFormat="false" ht="14.25" hidden="false" customHeight="false" outlineLevel="0" collapsed="false">
      <c r="A229" s="0" t="s">
        <v>723</v>
      </c>
      <c r="B229" s="0" t="s">
        <v>1714</v>
      </c>
      <c r="C229" s="0" t="n">
        <v>4</v>
      </c>
    </row>
    <row r="230" customFormat="false" ht="14.25" hidden="false" customHeight="false" outlineLevel="0" collapsed="false">
      <c r="A230" s="0" t="s">
        <v>723</v>
      </c>
      <c r="B230" s="0" t="s">
        <v>1715</v>
      </c>
      <c r="C230" s="0" t="n">
        <v>4</v>
      </c>
    </row>
    <row r="231" customFormat="false" ht="14.25" hidden="false" customHeight="false" outlineLevel="0" collapsed="false">
      <c r="A231" s="0" t="s">
        <v>723</v>
      </c>
      <c r="B231" s="0" t="s">
        <v>1716</v>
      </c>
      <c r="C231" s="0" t="n">
        <v>4</v>
      </c>
    </row>
    <row r="232" customFormat="false" ht="14.25" hidden="false" customHeight="false" outlineLevel="0" collapsed="false">
      <c r="A232" s="0" t="s">
        <v>728</v>
      </c>
      <c r="B232" s="0" t="s">
        <v>1717</v>
      </c>
      <c r="C232" s="0" t="n">
        <v>2</v>
      </c>
    </row>
    <row r="233" customFormat="false" ht="14.25" hidden="false" customHeight="false" outlineLevel="0" collapsed="false">
      <c r="A233" s="0" t="s">
        <v>728</v>
      </c>
      <c r="B233" s="0" t="s">
        <v>1718</v>
      </c>
      <c r="C233" s="0" t="n">
        <v>2</v>
      </c>
    </row>
    <row r="234" customFormat="false" ht="14.25" hidden="false" customHeight="false" outlineLevel="0" collapsed="false">
      <c r="A234" s="0" t="s">
        <v>733</v>
      </c>
      <c r="B234" s="0" t="s">
        <v>1719</v>
      </c>
      <c r="C234" s="0" t="n">
        <v>2</v>
      </c>
    </row>
    <row r="235" customFormat="false" ht="14.25" hidden="false" customHeight="false" outlineLevel="0" collapsed="false">
      <c r="A235" s="0" t="s">
        <v>733</v>
      </c>
      <c r="B235" s="0" t="s">
        <v>1720</v>
      </c>
      <c r="C235" s="0" t="n">
        <v>2</v>
      </c>
    </row>
    <row r="236" customFormat="false" ht="14.25" hidden="false" customHeight="false" outlineLevel="0" collapsed="false">
      <c r="A236" s="0" t="s">
        <v>739</v>
      </c>
      <c r="B236" s="0" t="s">
        <v>1721</v>
      </c>
      <c r="C236" s="0" t="n">
        <v>3</v>
      </c>
    </row>
    <row r="237" customFormat="false" ht="14.25" hidden="false" customHeight="false" outlineLevel="0" collapsed="false">
      <c r="A237" s="0" t="s">
        <v>739</v>
      </c>
      <c r="B237" s="0" t="s">
        <v>1722</v>
      </c>
      <c r="C237" s="0" t="n">
        <v>3</v>
      </c>
    </row>
    <row r="238" customFormat="false" ht="14.25" hidden="false" customHeight="false" outlineLevel="0" collapsed="false">
      <c r="A238" s="0" t="s">
        <v>739</v>
      </c>
      <c r="B238" s="0" t="s">
        <v>1723</v>
      </c>
      <c r="C238" s="0" t="n">
        <v>3</v>
      </c>
    </row>
    <row r="239" customFormat="false" ht="14.25" hidden="false" customHeight="false" outlineLevel="0" collapsed="false">
      <c r="A239" s="0" t="s">
        <v>744</v>
      </c>
      <c r="B239" s="0" t="s">
        <v>1724</v>
      </c>
      <c r="C239" s="0" t="n">
        <v>2</v>
      </c>
    </row>
    <row r="240" customFormat="false" ht="14.25" hidden="false" customHeight="false" outlineLevel="0" collapsed="false">
      <c r="A240" s="0" t="s">
        <v>744</v>
      </c>
      <c r="B240" s="0" t="s">
        <v>1725</v>
      </c>
      <c r="C240" s="0" t="n">
        <v>2</v>
      </c>
    </row>
    <row r="241" customFormat="false" ht="14.25" hidden="false" customHeight="false" outlineLevel="0" collapsed="false">
      <c r="A241" s="0" t="s">
        <v>749</v>
      </c>
      <c r="B241" s="0" t="s">
        <v>1726</v>
      </c>
      <c r="C241" s="0" t="n">
        <v>3</v>
      </c>
    </row>
    <row r="242" customFormat="false" ht="14.25" hidden="false" customHeight="false" outlineLevel="0" collapsed="false">
      <c r="A242" s="0" t="s">
        <v>749</v>
      </c>
      <c r="B242" s="0" t="s">
        <v>1727</v>
      </c>
      <c r="C242" s="0" t="n">
        <v>3</v>
      </c>
    </row>
    <row r="243" customFormat="false" ht="14.25" hidden="false" customHeight="false" outlineLevel="0" collapsed="false">
      <c r="A243" s="0" t="s">
        <v>749</v>
      </c>
      <c r="B243" s="0" t="s">
        <v>1728</v>
      </c>
      <c r="C243" s="0" t="n">
        <v>3</v>
      </c>
    </row>
    <row r="244" customFormat="false" ht="14.25" hidden="false" customHeight="false" outlineLevel="0" collapsed="false">
      <c r="A244" s="0" t="s">
        <v>756</v>
      </c>
      <c r="B244" s="0" t="s">
        <v>1729</v>
      </c>
      <c r="C244" s="0" t="n">
        <v>2</v>
      </c>
    </row>
    <row r="245" customFormat="false" ht="14.25" hidden="false" customHeight="false" outlineLevel="0" collapsed="false">
      <c r="A245" s="0" t="s">
        <v>756</v>
      </c>
      <c r="B245" s="0" t="s">
        <v>1730</v>
      </c>
      <c r="C245" s="0" t="n">
        <v>2</v>
      </c>
    </row>
    <row r="246" customFormat="false" ht="14.25" hidden="false" customHeight="false" outlineLevel="0" collapsed="false">
      <c r="A246" s="0" t="s">
        <v>761</v>
      </c>
      <c r="B246" s="0" t="s">
        <v>1731</v>
      </c>
      <c r="C246" s="0" t="n">
        <v>2</v>
      </c>
    </row>
    <row r="247" customFormat="false" ht="14.25" hidden="false" customHeight="false" outlineLevel="0" collapsed="false">
      <c r="A247" s="0" t="s">
        <v>761</v>
      </c>
      <c r="B247" s="0" t="s">
        <v>1732</v>
      </c>
      <c r="C247" s="0" t="n">
        <v>2</v>
      </c>
    </row>
    <row r="248" customFormat="false" ht="14.25" hidden="false" customHeight="false" outlineLevel="0" collapsed="false">
      <c r="A248" s="0" t="s">
        <v>767</v>
      </c>
      <c r="B248" s="0" t="s">
        <v>1733</v>
      </c>
      <c r="C248" s="0" t="n">
        <v>2</v>
      </c>
    </row>
    <row r="249" customFormat="false" ht="14.25" hidden="false" customHeight="false" outlineLevel="0" collapsed="false">
      <c r="A249" s="0" t="s">
        <v>767</v>
      </c>
      <c r="B249" s="0" t="s">
        <v>1734</v>
      </c>
      <c r="C249" s="0" t="n">
        <v>2</v>
      </c>
    </row>
    <row r="250" customFormat="false" ht="14.25" hidden="false" customHeight="false" outlineLevel="0" collapsed="false">
      <c r="A250" s="0" t="s">
        <v>773</v>
      </c>
      <c r="B250" s="0" t="s">
        <v>1735</v>
      </c>
      <c r="C250" s="0" t="n">
        <v>1</v>
      </c>
    </row>
    <row r="251" customFormat="false" ht="14.25" hidden="false" customHeight="false" outlineLevel="0" collapsed="false">
      <c r="A251" s="0" t="s">
        <v>780</v>
      </c>
      <c r="B251" s="0" t="s">
        <v>1736</v>
      </c>
      <c r="C251" s="0" t="n">
        <v>2</v>
      </c>
    </row>
    <row r="252" customFormat="false" ht="14.25" hidden="false" customHeight="false" outlineLevel="0" collapsed="false">
      <c r="A252" s="0" t="s">
        <v>780</v>
      </c>
      <c r="B252" s="0" t="s">
        <v>1737</v>
      </c>
      <c r="C252" s="0" t="n">
        <v>2</v>
      </c>
    </row>
    <row r="253" customFormat="false" ht="14.25" hidden="false" customHeight="false" outlineLevel="0" collapsed="false">
      <c r="A253" s="0" t="s">
        <v>785</v>
      </c>
      <c r="B253" s="0" t="s">
        <v>1738</v>
      </c>
      <c r="C253" s="0" t="n">
        <v>1</v>
      </c>
    </row>
    <row r="254" customFormat="false" ht="14.25" hidden="false" customHeight="false" outlineLevel="0" collapsed="false">
      <c r="A254" s="0" t="s">
        <v>790</v>
      </c>
      <c r="B254" s="0" t="s">
        <v>1739</v>
      </c>
      <c r="C254" s="0" t="n">
        <v>3</v>
      </c>
    </row>
    <row r="255" customFormat="false" ht="14.25" hidden="false" customHeight="false" outlineLevel="0" collapsed="false">
      <c r="A255" s="0" t="s">
        <v>790</v>
      </c>
      <c r="B255" s="0" t="s">
        <v>1740</v>
      </c>
      <c r="C255" s="0" t="n">
        <v>3</v>
      </c>
    </row>
    <row r="256" customFormat="false" ht="14.25" hidden="false" customHeight="false" outlineLevel="0" collapsed="false">
      <c r="A256" s="0" t="s">
        <v>790</v>
      </c>
      <c r="B256" s="0" t="s">
        <v>1741</v>
      </c>
      <c r="C256" s="0" t="n">
        <v>3</v>
      </c>
    </row>
    <row r="257" customFormat="false" ht="14.25" hidden="false" customHeight="false" outlineLevel="0" collapsed="false">
      <c r="A257" s="0" t="s">
        <v>795</v>
      </c>
      <c r="B257" s="0" t="s">
        <v>1742</v>
      </c>
      <c r="C257" s="0" t="n">
        <v>2</v>
      </c>
    </row>
    <row r="258" customFormat="false" ht="14.25" hidden="false" customHeight="false" outlineLevel="0" collapsed="false">
      <c r="A258" s="0" t="s">
        <v>795</v>
      </c>
      <c r="B258" s="0" t="s">
        <v>1743</v>
      </c>
      <c r="C258" s="0" t="n">
        <v>2</v>
      </c>
    </row>
    <row r="259" customFormat="false" ht="14.25" hidden="false" customHeight="false" outlineLevel="0" collapsed="false">
      <c r="A259" s="0" t="s">
        <v>803</v>
      </c>
      <c r="B259" s="0" t="s">
        <v>1744</v>
      </c>
      <c r="C259" s="0" t="n">
        <v>1</v>
      </c>
    </row>
    <row r="260" customFormat="false" ht="14.25" hidden="false" customHeight="false" outlineLevel="0" collapsed="false">
      <c r="A260" s="0" t="s">
        <v>809</v>
      </c>
      <c r="B260" s="0" t="s">
        <v>1745</v>
      </c>
      <c r="C260" s="0" t="n">
        <v>1</v>
      </c>
    </row>
    <row r="261" customFormat="false" ht="14.25" hidden="false" customHeight="false" outlineLevel="0" collapsed="false">
      <c r="A261" s="0" t="s">
        <v>814</v>
      </c>
      <c r="B261" s="0" t="s">
        <v>1746</v>
      </c>
      <c r="C261" s="0" t="n">
        <v>1</v>
      </c>
    </row>
    <row r="262" customFormat="false" ht="14.25" hidden="false" customHeight="false" outlineLevel="0" collapsed="false">
      <c r="A262" s="0" t="s">
        <v>820</v>
      </c>
      <c r="B262" s="0" t="s">
        <v>1747</v>
      </c>
      <c r="C262" s="0" t="n">
        <v>2</v>
      </c>
    </row>
    <row r="263" customFormat="false" ht="14.25" hidden="false" customHeight="false" outlineLevel="0" collapsed="false">
      <c r="A263" s="0" t="s">
        <v>820</v>
      </c>
      <c r="B263" s="0" t="s">
        <v>1748</v>
      </c>
      <c r="C263" s="0" t="n">
        <v>2</v>
      </c>
    </row>
    <row r="264" customFormat="false" ht="14.25" hidden="false" customHeight="false" outlineLevel="0" collapsed="false">
      <c r="A264" s="0" t="s">
        <v>825</v>
      </c>
      <c r="B264" s="0" t="s">
        <v>1749</v>
      </c>
      <c r="C264" s="0" t="n">
        <v>3</v>
      </c>
    </row>
    <row r="265" customFormat="false" ht="14.25" hidden="false" customHeight="false" outlineLevel="0" collapsed="false">
      <c r="A265" s="0" t="s">
        <v>825</v>
      </c>
      <c r="B265" s="0" t="s">
        <v>1750</v>
      </c>
      <c r="C265" s="0" t="n">
        <v>3</v>
      </c>
    </row>
    <row r="266" customFormat="false" ht="14.25" hidden="false" customHeight="false" outlineLevel="0" collapsed="false">
      <c r="A266" s="0" t="s">
        <v>825</v>
      </c>
      <c r="B266" s="0" t="s">
        <v>1751</v>
      </c>
      <c r="C266" s="0" t="n">
        <v>3</v>
      </c>
    </row>
    <row r="267" customFormat="false" ht="14.25" hidden="false" customHeight="false" outlineLevel="0" collapsed="false">
      <c r="A267" s="0" t="s">
        <v>831</v>
      </c>
      <c r="B267" s="0" t="s">
        <v>1733</v>
      </c>
      <c r="C267" s="0" t="n">
        <v>1</v>
      </c>
    </row>
    <row r="268" customFormat="false" ht="14.25" hidden="false" customHeight="false" outlineLevel="0" collapsed="false">
      <c r="A268" s="0" t="s">
        <v>836</v>
      </c>
      <c r="B268" s="0" t="s">
        <v>1752</v>
      </c>
      <c r="C268" s="0" t="n">
        <v>2</v>
      </c>
    </row>
    <row r="269" customFormat="false" ht="14.25" hidden="false" customHeight="false" outlineLevel="0" collapsed="false">
      <c r="A269" s="0" t="s">
        <v>836</v>
      </c>
      <c r="B269" s="0" t="s">
        <v>1753</v>
      </c>
      <c r="C269" s="0" t="n">
        <v>2</v>
      </c>
    </row>
    <row r="270" customFormat="false" ht="14.25" hidden="false" customHeight="false" outlineLevel="0" collapsed="false">
      <c r="A270" s="0" t="s">
        <v>841</v>
      </c>
      <c r="B270" s="0" t="s">
        <v>1754</v>
      </c>
      <c r="C270" s="0" t="n">
        <v>2</v>
      </c>
    </row>
    <row r="271" customFormat="false" ht="14.25" hidden="false" customHeight="false" outlineLevel="0" collapsed="false">
      <c r="A271" s="0" t="s">
        <v>841</v>
      </c>
      <c r="B271" s="0" t="s">
        <v>1755</v>
      </c>
      <c r="C271" s="0" t="n">
        <v>2</v>
      </c>
    </row>
    <row r="272" customFormat="false" ht="14.25" hidden="false" customHeight="false" outlineLevel="0" collapsed="false">
      <c r="A272" s="0" t="s">
        <v>849</v>
      </c>
      <c r="B272" s="0" t="s">
        <v>1756</v>
      </c>
      <c r="C272" s="0" t="n">
        <v>2</v>
      </c>
    </row>
    <row r="273" customFormat="false" ht="14.25" hidden="false" customHeight="false" outlineLevel="0" collapsed="false">
      <c r="A273" s="0" t="s">
        <v>849</v>
      </c>
      <c r="B273" s="0" t="s">
        <v>1757</v>
      </c>
      <c r="C273" s="0" t="n">
        <v>2</v>
      </c>
    </row>
    <row r="274" customFormat="false" ht="14.25" hidden="false" customHeight="false" outlineLevel="0" collapsed="false">
      <c r="A274" s="0" t="s">
        <v>854</v>
      </c>
      <c r="B274" s="0" t="s">
        <v>1758</v>
      </c>
      <c r="C274" s="0" t="n">
        <v>1</v>
      </c>
    </row>
    <row r="275" customFormat="false" ht="14.25" hidden="false" customHeight="false" outlineLevel="0" collapsed="false">
      <c r="A275" s="0" t="s">
        <v>860</v>
      </c>
      <c r="B275" s="0" t="s">
        <v>1759</v>
      </c>
      <c r="C275" s="0" t="n">
        <v>1</v>
      </c>
    </row>
    <row r="276" customFormat="false" ht="14.25" hidden="false" customHeight="false" outlineLevel="0" collapsed="false">
      <c r="A276" s="0" t="s">
        <v>865</v>
      </c>
      <c r="B276" s="0" t="s">
        <v>1760</v>
      </c>
      <c r="C276" s="0" t="n">
        <v>1</v>
      </c>
    </row>
    <row r="277" customFormat="false" ht="14.25" hidden="false" customHeight="false" outlineLevel="0" collapsed="false">
      <c r="A277" s="0" t="s">
        <v>871</v>
      </c>
      <c r="B277" s="0" t="s">
        <v>1761</v>
      </c>
      <c r="C277" s="0" t="n">
        <v>3</v>
      </c>
    </row>
    <row r="278" customFormat="false" ht="14.25" hidden="false" customHeight="false" outlineLevel="0" collapsed="false">
      <c r="A278" s="0" t="s">
        <v>871</v>
      </c>
      <c r="B278" s="0" t="s">
        <v>1762</v>
      </c>
      <c r="C278" s="0" t="n">
        <v>3</v>
      </c>
    </row>
    <row r="279" customFormat="false" ht="14.25" hidden="false" customHeight="false" outlineLevel="0" collapsed="false">
      <c r="A279" s="0" t="s">
        <v>871</v>
      </c>
      <c r="B279" s="0" t="s">
        <v>1763</v>
      </c>
      <c r="C279" s="0" t="n">
        <v>3</v>
      </c>
    </row>
    <row r="280" customFormat="false" ht="14.25" hidden="false" customHeight="false" outlineLevel="0" collapsed="false">
      <c r="A280" s="0" t="s">
        <v>876</v>
      </c>
      <c r="B280" s="0" t="s">
        <v>1764</v>
      </c>
      <c r="C280" s="0" t="n">
        <v>1</v>
      </c>
    </row>
    <row r="281" customFormat="false" ht="14.25" hidden="false" customHeight="false" outlineLevel="0" collapsed="false">
      <c r="A281" s="0" t="s">
        <v>882</v>
      </c>
      <c r="B281" s="0" t="s">
        <v>1765</v>
      </c>
      <c r="C281" s="0" t="n">
        <v>1</v>
      </c>
    </row>
    <row r="282" customFormat="false" ht="14.25" hidden="false" customHeight="false" outlineLevel="0" collapsed="false">
      <c r="A282" s="0" t="s">
        <v>887</v>
      </c>
      <c r="B282" s="0" t="s">
        <v>1766</v>
      </c>
      <c r="C282" s="0" t="n">
        <v>1</v>
      </c>
    </row>
    <row r="283" customFormat="false" ht="14.25" hidden="false" customHeight="false" outlineLevel="0" collapsed="false">
      <c r="A283" s="0" t="s">
        <v>892</v>
      </c>
      <c r="B283" s="0" t="s">
        <v>1767</v>
      </c>
      <c r="C283" s="0" t="n">
        <v>2</v>
      </c>
    </row>
    <row r="284" customFormat="false" ht="14.25" hidden="false" customHeight="false" outlineLevel="0" collapsed="false">
      <c r="A284" s="0" t="s">
        <v>892</v>
      </c>
      <c r="B284" s="0" t="s">
        <v>1768</v>
      </c>
      <c r="C284" s="0" t="n">
        <v>2</v>
      </c>
    </row>
    <row r="285" customFormat="false" ht="14.25" hidden="false" customHeight="false" outlineLevel="0" collapsed="false">
      <c r="A285" s="0" t="s">
        <v>898</v>
      </c>
      <c r="B285" s="0" t="s">
        <v>1769</v>
      </c>
      <c r="C285" s="0" t="n">
        <v>2</v>
      </c>
    </row>
    <row r="286" customFormat="false" ht="14.25" hidden="false" customHeight="false" outlineLevel="0" collapsed="false">
      <c r="A286" s="0" t="s">
        <v>898</v>
      </c>
      <c r="B286" s="0" t="s">
        <v>1770</v>
      </c>
      <c r="C286" s="0" t="n">
        <v>2</v>
      </c>
    </row>
    <row r="287" customFormat="false" ht="14.25" hidden="false" customHeight="false" outlineLevel="0" collapsed="false">
      <c r="A287" s="0" t="s">
        <v>903</v>
      </c>
      <c r="B287" s="0" t="s">
        <v>1771</v>
      </c>
      <c r="C287" s="0" t="n">
        <v>3</v>
      </c>
    </row>
    <row r="288" customFormat="false" ht="14.25" hidden="false" customHeight="false" outlineLevel="0" collapsed="false">
      <c r="A288" s="0" t="s">
        <v>903</v>
      </c>
      <c r="B288" s="0" t="s">
        <v>1772</v>
      </c>
      <c r="C288" s="0" t="n">
        <v>3</v>
      </c>
    </row>
    <row r="289" customFormat="false" ht="14.25" hidden="false" customHeight="false" outlineLevel="0" collapsed="false">
      <c r="A289" s="0" t="s">
        <v>903</v>
      </c>
      <c r="B289" s="0" t="s">
        <v>1773</v>
      </c>
      <c r="C289" s="0" t="n">
        <v>3</v>
      </c>
    </row>
    <row r="290" customFormat="false" ht="14.25" hidden="false" customHeight="false" outlineLevel="0" collapsed="false">
      <c r="A290" s="0" t="s">
        <v>908</v>
      </c>
      <c r="B290" s="0" t="s">
        <v>1774</v>
      </c>
      <c r="C290" s="0" t="n">
        <v>2</v>
      </c>
    </row>
    <row r="291" customFormat="false" ht="14.25" hidden="false" customHeight="false" outlineLevel="0" collapsed="false">
      <c r="A291" s="0" t="s">
        <v>908</v>
      </c>
      <c r="B291" s="0" t="s">
        <v>1775</v>
      </c>
      <c r="C291" s="0" t="n">
        <v>2</v>
      </c>
    </row>
    <row r="292" customFormat="false" ht="14.25" hidden="false" customHeight="false" outlineLevel="0" collapsed="false">
      <c r="A292" s="0" t="s">
        <v>913</v>
      </c>
      <c r="B292" s="0" t="s">
        <v>1776</v>
      </c>
      <c r="C292" s="0" t="n">
        <v>1</v>
      </c>
    </row>
    <row r="293" customFormat="false" ht="14.25" hidden="false" customHeight="false" outlineLevel="0" collapsed="false">
      <c r="A293" s="0" t="s">
        <v>918</v>
      </c>
      <c r="B293" s="0" t="s">
        <v>1777</v>
      </c>
      <c r="C293" s="0" t="n">
        <v>3</v>
      </c>
    </row>
    <row r="294" customFormat="false" ht="14.25" hidden="false" customHeight="false" outlineLevel="0" collapsed="false">
      <c r="A294" s="0" t="s">
        <v>918</v>
      </c>
      <c r="B294" s="0" t="s">
        <v>1778</v>
      </c>
      <c r="C294" s="0" t="n">
        <v>3</v>
      </c>
    </row>
    <row r="295" customFormat="false" ht="14.25" hidden="false" customHeight="false" outlineLevel="0" collapsed="false">
      <c r="A295" s="0" t="s">
        <v>918</v>
      </c>
      <c r="B295" s="0" t="s">
        <v>1779</v>
      </c>
      <c r="C295" s="0" t="n">
        <v>3</v>
      </c>
    </row>
    <row r="296" customFormat="false" ht="14.25" hidden="false" customHeight="false" outlineLevel="0" collapsed="false">
      <c r="A296" s="0" t="s">
        <v>923</v>
      </c>
      <c r="B296" s="0" t="s">
        <v>1780</v>
      </c>
      <c r="C296" s="0" t="n">
        <v>3</v>
      </c>
    </row>
    <row r="297" customFormat="false" ht="14.25" hidden="false" customHeight="false" outlineLevel="0" collapsed="false">
      <c r="A297" s="0" t="s">
        <v>923</v>
      </c>
      <c r="B297" s="0" t="s">
        <v>1781</v>
      </c>
      <c r="C297" s="0" t="n">
        <v>3</v>
      </c>
    </row>
    <row r="298" customFormat="false" ht="14.25" hidden="false" customHeight="false" outlineLevel="0" collapsed="false">
      <c r="A298" s="0" t="s">
        <v>923</v>
      </c>
      <c r="B298" s="0" t="s">
        <v>1782</v>
      </c>
      <c r="C298" s="0" t="n">
        <v>3</v>
      </c>
    </row>
    <row r="299" customFormat="false" ht="14.25" hidden="false" customHeight="false" outlineLevel="0" collapsed="false">
      <c r="A299" s="0" t="s">
        <v>928</v>
      </c>
      <c r="B299" s="0" t="s">
        <v>1783</v>
      </c>
      <c r="C299" s="0" t="n">
        <v>1</v>
      </c>
    </row>
    <row r="300" customFormat="false" ht="14.25" hidden="false" customHeight="false" outlineLevel="0" collapsed="false">
      <c r="A300" s="0" t="s">
        <v>932</v>
      </c>
      <c r="B300" s="0" t="s">
        <v>1784</v>
      </c>
      <c r="C300" s="0" t="n">
        <v>2</v>
      </c>
    </row>
    <row r="301" customFormat="false" ht="14.25" hidden="false" customHeight="false" outlineLevel="0" collapsed="false">
      <c r="A301" s="0" t="s">
        <v>932</v>
      </c>
      <c r="B301" s="0" t="s">
        <v>1785</v>
      </c>
      <c r="C301" s="0" t="n">
        <v>2</v>
      </c>
    </row>
    <row r="302" customFormat="false" ht="14.25" hidden="false" customHeight="false" outlineLevel="0" collapsed="false">
      <c r="A302" s="0" t="s">
        <v>937</v>
      </c>
      <c r="B302" s="0" t="s">
        <v>1786</v>
      </c>
      <c r="C302" s="0" t="n">
        <v>3</v>
      </c>
    </row>
    <row r="303" customFormat="false" ht="14.25" hidden="false" customHeight="false" outlineLevel="0" collapsed="false">
      <c r="A303" s="0" t="s">
        <v>937</v>
      </c>
      <c r="B303" s="0" t="s">
        <v>1787</v>
      </c>
      <c r="C303" s="0" t="n">
        <v>3</v>
      </c>
    </row>
    <row r="304" customFormat="false" ht="14.25" hidden="false" customHeight="false" outlineLevel="0" collapsed="false">
      <c r="A304" s="0" t="s">
        <v>937</v>
      </c>
      <c r="B304" s="0" t="s">
        <v>1788</v>
      </c>
      <c r="C304" s="0" t="n">
        <v>3</v>
      </c>
    </row>
    <row r="305" customFormat="false" ht="14.25" hidden="false" customHeight="false" outlineLevel="0" collapsed="false">
      <c r="A305" s="0" t="s">
        <v>943</v>
      </c>
      <c r="B305" s="0" t="s">
        <v>1789</v>
      </c>
      <c r="C305" s="0" t="n">
        <v>2</v>
      </c>
    </row>
    <row r="306" customFormat="false" ht="14.25" hidden="false" customHeight="false" outlineLevel="0" collapsed="false">
      <c r="A306" s="0" t="s">
        <v>943</v>
      </c>
      <c r="B306" s="0" t="s">
        <v>1790</v>
      </c>
      <c r="C306" s="0" t="n">
        <v>2</v>
      </c>
    </row>
    <row r="307" customFormat="false" ht="14.25" hidden="false" customHeight="false" outlineLevel="0" collapsed="false">
      <c r="A307" s="0" t="s">
        <v>948</v>
      </c>
      <c r="B307" s="0" t="s">
        <v>1791</v>
      </c>
      <c r="C307" s="0" t="n">
        <v>1</v>
      </c>
    </row>
    <row r="308" customFormat="false" ht="14.25" hidden="false" customHeight="false" outlineLevel="0" collapsed="false">
      <c r="A308" s="0" t="s">
        <v>954</v>
      </c>
      <c r="B308" s="0" t="s">
        <v>1792</v>
      </c>
      <c r="C308" s="0" t="n">
        <v>1</v>
      </c>
    </row>
    <row r="309" customFormat="false" ht="14.25" hidden="false" customHeight="false" outlineLevel="0" collapsed="false">
      <c r="A309" s="0" t="s">
        <v>959</v>
      </c>
      <c r="B309" s="0" t="s">
        <v>1793</v>
      </c>
      <c r="C309" s="0" t="n">
        <v>4</v>
      </c>
    </row>
    <row r="310" customFormat="false" ht="14.25" hidden="false" customHeight="false" outlineLevel="0" collapsed="false">
      <c r="A310" s="0" t="s">
        <v>959</v>
      </c>
      <c r="B310" s="0" t="s">
        <v>1794</v>
      </c>
      <c r="C310" s="0" t="n">
        <v>4</v>
      </c>
    </row>
    <row r="311" customFormat="false" ht="14.25" hidden="false" customHeight="false" outlineLevel="0" collapsed="false">
      <c r="A311" s="0" t="s">
        <v>959</v>
      </c>
      <c r="B311" s="0" t="s">
        <v>1795</v>
      </c>
      <c r="C311" s="0" t="n">
        <v>4</v>
      </c>
    </row>
    <row r="312" customFormat="false" ht="14.25" hidden="false" customHeight="false" outlineLevel="0" collapsed="false">
      <c r="A312" s="0" t="s">
        <v>959</v>
      </c>
      <c r="B312" s="0" t="s">
        <v>1796</v>
      </c>
      <c r="C312" s="0" t="n">
        <v>4</v>
      </c>
    </row>
    <row r="313" customFormat="false" ht="14.25" hidden="false" customHeight="false" outlineLevel="0" collapsed="false">
      <c r="A313" s="0" t="s">
        <v>969</v>
      </c>
      <c r="B313" s="0" t="s">
        <v>1797</v>
      </c>
      <c r="C313" s="0" t="n">
        <v>1</v>
      </c>
    </row>
    <row r="314" customFormat="false" ht="14.25" hidden="false" customHeight="false" outlineLevel="0" collapsed="false">
      <c r="A314" s="0" t="s">
        <v>975</v>
      </c>
      <c r="B314" s="0" t="s">
        <v>1798</v>
      </c>
      <c r="C314" s="0" t="n">
        <v>3</v>
      </c>
    </row>
    <row r="315" customFormat="false" ht="14.25" hidden="false" customHeight="false" outlineLevel="0" collapsed="false">
      <c r="A315" s="0" t="s">
        <v>975</v>
      </c>
      <c r="B315" s="0" t="s">
        <v>1799</v>
      </c>
      <c r="C315" s="0" t="n">
        <v>3</v>
      </c>
    </row>
    <row r="316" customFormat="false" ht="14.25" hidden="false" customHeight="false" outlineLevel="0" collapsed="false">
      <c r="A316" s="0" t="s">
        <v>975</v>
      </c>
      <c r="B316" s="0" t="s">
        <v>1800</v>
      </c>
      <c r="C316" s="0" t="n">
        <v>3</v>
      </c>
    </row>
    <row r="317" customFormat="false" ht="14.25" hidden="false" customHeight="false" outlineLevel="0" collapsed="false">
      <c r="A317" s="0" t="s">
        <v>980</v>
      </c>
      <c r="B317" s="0" t="s">
        <v>1801</v>
      </c>
      <c r="C317" s="0" t="n">
        <v>2</v>
      </c>
    </row>
    <row r="318" customFormat="false" ht="14.25" hidden="false" customHeight="false" outlineLevel="0" collapsed="false">
      <c r="A318" s="0" t="s">
        <v>980</v>
      </c>
      <c r="B318" s="0" t="s">
        <v>1802</v>
      </c>
      <c r="C318" s="0" t="n">
        <v>2</v>
      </c>
    </row>
    <row r="319" customFormat="false" ht="14.25" hidden="false" customHeight="false" outlineLevel="0" collapsed="false">
      <c r="A319" s="0" t="s">
        <v>986</v>
      </c>
      <c r="B319" s="0" t="s">
        <v>1803</v>
      </c>
      <c r="C319" s="0" t="n">
        <v>1</v>
      </c>
    </row>
    <row r="320" customFormat="false" ht="14.25" hidden="false" customHeight="false" outlineLevel="0" collapsed="false">
      <c r="A320" s="0" t="s">
        <v>997</v>
      </c>
      <c r="B320" s="0" t="s">
        <v>1804</v>
      </c>
      <c r="C320" s="0" t="n">
        <v>1</v>
      </c>
    </row>
    <row r="321" customFormat="false" ht="14.25" hidden="false" customHeight="false" outlineLevel="0" collapsed="false">
      <c r="A321" s="0" t="s">
        <v>1007</v>
      </c>
      <c r="B321" s="0" t="s">
        <v>1805</v>
      </c>
      <c r="C321" s="0" t="n">
        <v>4</v>
      </c>
    </row>
    <row r="322" customFormat="false" ht="14.25" hidden="false" customHeight="false" outlineLevel="0" collapsed="false">
      <c r="A322" s="0" t="s">
        <v>1007</v>
      </c>
      <c r="B322" s="0" t="s">
        <v>1806</v>
      </c>
      <c r="C322" s="0" t="n">
        <v>4</v>
      </c>
    </row>
    <row r="323" customFormat="false" ht="14.25" hidden="false" customHeight="false" outlineLevel="0" collapsed="false">
      <c r="A323" s="0" t="s">
        <v>1007</v>
      </c>
      <c r="B323" s="0" t="s">
        <v>1807</v>
      </c>
      <c r="C323" s="0" t="n">
        <v>4</v>
      </c>
    </row>
    <row r="324" customFormat="false" ht="14.25" hidden="false" customHeight="false" outlineLevel="0" collapsed="false">
      <c r="A324" s="0" t="s">
        <v>1007</v>
      </c>
      <c r="B324" s="0" t="s">
        <v>1808</v>
      </c>
      <c r="C324" s="0" t="n">
        <v>4</v>
      </c>
    </row>
    <row r="325" customFormat="false" ht="14.25" hidden="false" customHeight="false" outlineLevel="0" collapsed="false">
      <c r="A325" s="0" t="s">
        <v>1012</v>
      </c>
      <c r="B325" s="0" t="s">
        <v>1809</v>
      </c>
      <c r="C325" s="0" t="n">
        <v>1</v>
      </c>
    </row>
    <row r="326" customFormat="false" ht="14.25" hidden="false" customHeight="false" outlineLevel="0" collapsed="false">
      <c r="A326" s="0" t="s">
        <v>1022</v>
      </c>
      <c r="B326" s="0" t="s">
        <v>1810</v>
      </c>
      <c r="C326" s="0" t="n">
        <v>1</v>
      </c>
    </row>
    <row r="327" customFormat="false" ht="14.25" hidden="false" customHeight="false" outlineLevel="0" collapsed="false">
      <c r="A327" s="0" t="s">
        <v>1028</v>
      </c>
      <c r="B327" s="0" t="s">
        <v>1811</v>
      </c>
      <c r="C327" s="0" t="n">
        <v>1</v>
      </c>
    </row>
    <row r="328" customFormat="false" ht="14.25" hidden="false" customHeight="false" outlineLevel="0" collapsed="false">
      <c r="A328" s="0" t="s">
        <v>1033</v>
      </c>
      <c r="B328" s="0" t="s">
        <v>1812</v>
      </c>
      <c r="C328" s="0" t="n">
        <v>1</v>
      </c>
      <c r="D328" s="0" t="n">
        <v>1</v>
      </c>
      <c r="E328" s="0" t="n">
        <v>0</v>
      </c>
      <c r="F328" s="0" t="s">
        <v>1337</v>
      </c>
      <c r="G328" s="0" t="s">
        <v>1813</v>
      </c>
      <c r="H328" s="0" t="n">
        <v>0</v>
      </c>
      <c r="I328" s="0" t="s">
        <v>136</v>
      </c>
      <c r="J328" s="0" t="n">
        <v>1</v>
      </c>
      <c r="K328" s="0" t="n">
        <v>0</v>
      </c>
      <c r="L328" s="0" t="n">
        <v>5</v>
      </c>
      <c r="M328" s="0" t="n">
        <v>1</v>
      </c>
      <c r="Q328" s="0" t="s">
        <v>1814</v>
      </c>
      <c r="R328" s="0" t="s">
        <v>1337</v>
      </c>
    </row>
    <row r="329" customFormat="false" ht="14.25" hidden="false" customHeight="false" outlineLevel="0" collapsed="false">
      <c r="A329" s="0" t="s">
        <v>1041</v>
      </c>
      <c r="B329" s="0" t="s">
        <v>1815</v>
      </c>
      <c r="C329" s="0" t="n">
        <v>1</v>
      </c>
      <c r="D329" s="0" t="n">
        <v>1</v>
      </c>
      <c r="E329" s="0" t="n">
        <v>0</v>
      </c>
      <c r="F329" s="0" t="s">
        <v>1337</v>
      </c>
      <c r="G329" s="0" t="s">
        <v>1816</v>
      </c>
      <c r="H329" s="0" t="n">
        <v>1</v>
      </c>
      <c r="I329" s="0" t="s">
        <v>147</v>
      </c>
      <c r="J329" s="0" t="n">
        <v>1</v>
      </c>
      <c r="K329" s="0" t="n">
        <v>1</v>
      </c>
      <c r="L329" s="0" t="n">
        <v>6</v>
      </c>
      <c r="M329" s="0" t="n">
        <v>1</v>
      </c>
      <c r="O329" s="0" t="n">
        <v>125</v>
      </c>
      <c r="P329" s="0" t="s">
        <v>1817</v>
      </c>
      <c r="Q329" s="0" t="s">
        <v>1818</v>
      </c>
      <c r="R329" s="0" t="s">
        <v>1337</v>
      </c>
    </row>
    <row r="330" customFormat="false" ht="14.25" hidden="false" customHeight="false" outlineLevel="0" collapsed="false">
      <c r="A330" s="0" t="s">
        <v>1048</v>
      </c>
      <c r="B330" s="0" t="s">
        <v>1819</v>
      </c>
      <c r="C330" s="0" t="n">
        <v>1</v>
      </c>
      <c r="D330" s="0" t="n">
        <v>1</v>
      </c>
      <c r="E330" s="0" t="n">
        <v>0</v>
      </c>
      <c r="F330" s="0" t="s">
        <v>1337</v>
      </c>
      <c r="G330" s="0" t="s">
        <v>1820</v>
      </c>
      <c r="H330" s="0" t="n">
        <v>1</v>
      </c>
      <c r="I330" s="0" t="s">
        <v>147</v>
      </c>
      <c r="J330" s="0" t="n">
        <v>1</v>
      </c>
      <c r="K330" s="0" t="n">
        <v>0</v>
      </c>
      <c r="L330" s="0" t="n">
        <v>0</v>
      </c>
      <c r="Q330" s="0" t="s">
        <v>1821</v>
      </c>
      <c r="R330" s="0" t="s">
        <v>1337</v>
      </c>
    </row>
    <row r="331" customFormat="false" ht="14.25" hidden="false" customHeight="false" outlineLevel="0" collapsed="false">
      <c r="A331" s="0" t="s">
        <v>1054</v>
      </c>
      <c r="B331" s="0" t="s">
        <v>1822</v>
      </c>
      <c r="C331" s="0" t="n">
        <v>2</v>
      </c>
      <c r="D331" s="0" t="n">
        <v>1</v>
      </c>
      <c r="E331" s="0" t="n">
        <v>0</v>
      </c>
      <c r="F331" s="0" t="s">
        <v>1337</v>
      </c>
      <c r="G331" s="0" t="s">
        <v>1823</v>
      </c>
      <c r="H331" s="0" t="n">
        <v>1</v>
      </c>
      <c r="I331" s="0" t="s">
        <v>147</v>
      </c>
      <c r="J331" s="0" t="n">
        <v>1</v>
      </c>
      <c r="K331" s="0" t="n">
        <v>0</v>
      </c>
      <c r="L331" s="0" t="n">
        <v>0</v>
      </c>
      <c r="Q331" s="0" t="s">
        <v>1824</v>
      </c>
      <c r="R331" s="0" t="s">
        <v>1337</v>
      </c>
    </row>
    <row r="332" customFormat="false" ht="14.25" hidden="false" customHeight="false" outlineLevel="0" collapsed="false">
      <c r="A332" s="0" t="s">
        <v>1054</v>
      </c>
      <c r="B332" s="0" t="s">
        <v>1825</v>
      </c>
      <c r="C332" s="0" t="n">
        <v>2</v>
      </c>
      <c r="D332" s="0" t="n">
        <v>1</v>
      </c>
      <c r="E332" s="0" t="n">
        <v>0</v>
      </c>
      <c r="F332" s="0" t="s">
        <v>1337</v>
      </c>
      <c r="G332" s="0" t="s">
        <v>1826</v>
      </c>
      <c r="H332" s="0" t="n">
        <v>1</v>
      </c>
      <c r="I332" s="0" t="s">
        <v>147</v>
      </c>
      <c r="J332" s="0" t="n">
        <v>1</v>
      </c>
      <c r="K332" s="0" t="n">
        <v>0</v>
      </c>
      <c r="L332" s="0" t="n">
        <v>0</v>
      </c>
      <c r="Q332" s="0" t="s">
        <v>1827</v>
      </c>
      <c r="R332" s="0" t="s">
        <v>1337</v>
      </c>
    </row>
    <row r="333" customFormat="false" ht="14.25" hidden="false" customHeight="false" outlineLevel="0" collapsed="false">
      <c r="A333" s="0" t="s">
        <v>1060</v>
      </c>
      <c r="B333" s="0" t="s">
        <v>1828</v>
      </c>
      <c r="C333" s="0" t="n">
        <v>1</v>
      </c>
      <c r="D333" s="0" t="n">
        <v>1</v>
      </c>
      <c r="E333" s="0" t="n">
        <v>0</v>
      </c>
      <c r="F333" s="0" t="s">
        <v>1337</v>
      </c>
      <c r="G333" s="0" t="s">
        <v>1829</v>
      </c>
      <c r="H333" s="0" t="n">
        <v>1</v>
      </c>
      <c r="I333" s="0" t="s">
        <v>147</v>
      </c>
      <c r="J333" s="0" t="n">
        <v>1</v>
      </c>
      <c r="K333" s="0" t="n">
        <v>0</v>
      </c>
      <c r="L333" s="0" t="n">
        <v>11</v>
      </c>
      <c r="M333" s="0" t="n">
        <v>1</v>
      </c>
      <c r="O333" s="0" t="n">
        <v>5000</v>
      </c>
      <c r="Q333" s="0" t="s">
        <v>1830</v>
      </c>
      <c r="R333" s="0" t="s">
        <v>1337</v>
      </c>
    </row>
    <row r="334" customFormat="false" ht="14.25" hidden="false" customHeight="false" outlineLevel="0" collapsed="false">
      <c r="A334" s="0" t="s">
        <v>1067</v>
      </c>
      <c r="B334" s="0" t="s">
        <v>1831</v>
      </c>
      <c r="C334" s="0" t="n">
        <v>3</v>
      </c>
      <c r="D334" s="0" t="n">
        <v>1</v>
      </c>
      <c r="E334" s="0" t="n">
        <v>0</v>
      </c>
      <c r="F334" s="0" t="s">
        <v>1337</v>
      </c>
      <c r="G334" s="0" t="s">
        <v>1832</v>
      </c>
      <c r="H334" s="0" t="n">
        <v>2</v>
      </c>
      <c r="I334" s="0" t="s">
        <v>98</v>
      </c>
      <c r="J334" s="0" t="n">
        <v>0</v>
      </c>
      <c r="K334" s="0" t="n">
        <v>0</v>
      </c>
      <c r="L334" s="0" t="n">
        <v>3</v>
      </c>
      <c r="M334" s="0" t="n">
        <v>1</v>
      </c>
      <c r="O334" s="0" t="n">
        <v>70</v>
      </c>
      <c r="Q334" s="0" t="s">
        <v>1833</v>
      </c>
      <c r="R334" s="0" t="s">
        <v>1337</v>
      </c>
    </row>
    <row r="335" customFormat="false" ht="14.25" hidden="false" customHeight="false" outlineLevel="0" collapsed="false">
      <c r="A335" s="0" t="s">
        <v>1067</v>
      </c>
      <c r="B335" s="0" t="s">
        <v>1834</v>
      </c>
      <c r="C335" s="0" t="n">
        <v>3</v>
      </c>
      <c r="D335" s="0" t="n">
        <v>1</v>
      </c>
      <c r="E335" s="0" t="n">
        <v>0</v>
      </c>
      <c r="F335" s="0" t="s">
        <v>1337</v>
      </c>
      <c r="G335" s="0" t="s">
        <v>1835</v>
      </c>
      <c r="H335" s="0" t="n">
        <v>2</v>
      </c>
      <c r="I335" s="0" t="s">
        <v>98</v>
      </c>
      <c r="J335" s="0" t="n">
        <v>1</v>
      </c>
      <c r="K335" s="0" t="n">
        <v>0</v>
      </c>
      <c r="O335" s="0" t="n">
        <v>70</v>
      </c>
      <c r="Q335" s="0" t="s">
        <v>1836</v>
      </c>
      <c r="R335" s="0" t="s">
        <v>1337</v>
      </c>
    </row>
    <row r="336" customFormat="false" ht="14.25" hidden="false" customHeight="false" outlineLevel="0" collapsed="false">
      <c r="A336" s="0" t="s">
        <v>1067</v>
      </c>
      <c r="B336" s="0" t="s">
        <v>1837</v>
      </c>
      <c r="C336" s="0" t="n">
        <v>3</v>
      </c>
      <c r="D336" s="0" t="n">
        <v>1</v>
      </c>
      <c r="E336" s="0" t="n">
        <v>0</v>
      </c>
      <c r="F336" s="0" t="s">
        <v>1337</v>
      </c>
      <c r="G336" s="0" t="s">
        <v>1838</v>
      </c>
      <c r="H336" s="0" t="n">
        <v>1</v>
      </c>
      <c r="I336" s="0" t="s">
        <v>147</v>
      </c>
      <c r="J336" s="0" t="n">
        <v>1</v>
      </c>
      <c r="K336" s="0" t="n">
        <v>0</v>
      </c>
      <c r="O336" s="0" t="n">
        <v>70</v>
      </c>
      <c r="Q336" s="0" t="s">
        <v>1839</v>
      </c>
      <c r="R336" s="0" t="s">
        <v>1337</v>
      </c>
    </row>
    <row r="337" customFormat="false" ht="14.25" hidden="false" customHeight="false" outlineLevel="0" collapsed="false">
      <c r="A337" s="0" t="s">
        <v>1073</v>
      </c>
      <c r="B337" s="0" t="s">
        <v>1840</v>
      </c>
      <c r="C337" s="0" t="n">
        <v>1</v>
      </c>
      <c r="D337" s="0" t="n">
        <v>1</v>
      </c>
      <c r="E337" s="0" t="n">
        <v>0</v>
      </c>
      <c r="F337" s="0" t="s">
        <v>1337</v>
      </c>
      <c r="G337" s="0" t="s">
        <v>1841</v>
      </c>
      <c r="H337" s="0" t="n">
        <v>1</v>
      </c>
      <c r="I337" s="0" t="s">
        <v>147</v>
      </c>
      <c r="J337" s="0" t="n">
        <v>1</v>
      </c>
      <c r="K337" s="0" t="n">
        <v>0</v>
      </c>
      <c r="L337" s="0" t="n">
        <v>2</v>
      </c>
      <c r="O337" s="0" t="n">
        <v>35</v>
      </c>
      <c r="Q337" s="0" t="s">
        <v>1842</v>
      </c>
      <c r="R337" s="0" t="s">
        <v>1337</v>
      </c>
    </row>
    <row r="338" customFormat="false" ht="14.25" hidden="false" customHeight="false" outlineLevel="0" collapsed="false">
      <c r="A338" s="0" t="s">
        <v>1080</v>
      </c>
      <c r="B338" s="0" t="s">
        <v>1843</v>
      </c>
      <c r="C338" s="0" t="n">
        <v>1</v>
      </c>
      <c r="D338" s="0" t="n">
        <v>1</v>
      </c>
      <c r="E338" s="0" t="n">
        <v>0</v>
      </c>
      <c r="F338" s="0" t="s">
        <v>1337</v>
      </c>
      <c r="G338" s="0" t="s">
        <v>1844</v>
      </c>
      <c r="H338" s="0" t="n">
        <v>1</v>
      </c>
      <c r="I338" s="0" t="s">
        <v>147</v>
      </c>
      <c r="J338" s="0" t="n">
        <v>1</v>
      </c>
      <c r="K338" s="0" t="n">
        <v>1</v>
      </c>
      <c r="L338" s="0" t="n">
        <v>12</v>
      </c>
      <c r="P338" s="0" t="s">
        <v>1845</v>
      </c>
      <c r="Q338" s="0" t="s">
        <v>1846</v>
      </c>
      <c r="R338" s="0" t="s">
        <v>1337</v>
      </c>
    </row>
    <row r="339" customFormat="false" ht="14.25" hidden="false" customHeight="false" outlineLevel="0" collapsed="false">
      <c r="A339" s="0" t="s">
        <v>1086</v>
      </c>
      <c r="B339" s="0" t="s">
        <v>1847</v>
      </c>
      <c r="C339" s="0" t="n">
        <v>1</v>
      </c>
      <c r="D339" s="0" t="n">
        <v>1</v>
      </c>
      <c r="E339" s="0" t="n">
        <v>0</v>
      </c>
      <c r="F339" s="0" t="s">
        <v>1337</v>
      </c>
      <c r="G339" s="0" t="s">
        <v>1848</v>
      </c>
      <c r="H339" s="0" t="n">
        <v>1</v>
      </c>
      <c r="I339" s="0" t="s">
        <v>147</v>
      </c>
      <c r="J339" s="0" t="n">
        <v>1</v>
      </c>
      <c r="K339" s="0" t="n">
        <v>1</v>
      </c>
      <c r="L339" s="0" t="n">
        <v>2</v>
      </c>
      <c r="M339" s="0" t="n">
        <v>1</v>
      </c>
      <c r="P339" s="0" t="s">
        <v>1849</v>
      </c>
      <c r="Q339" s="0" t="s">
        <v>1850</v>
      </c>
      <c r="R339" s="0" t="s">
        <v>1337</v>
      </c>
    </row>
    <row r="340" customFormat="false" ht="14.25" hidden="false" customHeight="false" outlineLevel="0" collapsed="false">
      <c r="A340" s="0" t="s">
        <v>1092</v>
      </c>
      <c r="B340" s="0" t="s">
        <v>1851</v>
      </c>
      <c r="C340" s="0" t="n">
        <v>1</v>
      </c>
      <c r="D340" s="0" t="n">
        <v>1</v>
      </c>
      <c r="E340" s="0" t="n">
        <v>0</v>
      </c>
      <c r="F340" s="0" t="s">
        <v>1337</v>
      </c>
      <c r="G340" s="0" t="s">
        <v>1852</v>
      </c>
      <c r="H340" s="0" t="n">
        <v>1</v>
      </c>
      <c r="I340" s="0" t="s">
        <v>147</v>
      </c>
      <c r="J340" s="0" t="n">
        <v>1</v>
      </c>
      <c r="K340" s="0" t="n">
        <v>0</v>
      </c>
      <c r="L340" s="0" t="n">
        <v>6</v>
      </c>
      <c r="M340" s="0" t="n">
        <v>1</v>
      </c>
      <c r="Q340" s="0" t="s">
        <v>1853</v>
      </c>
      <c r="R340" s="0" t="s">
        <v>1337</v>
      </c>
    </row>
    <row r="341" customFormat="false" ht="14.25" hidden="false" customHeight="false" outlineLevel="0" collapsed="false">
      <c r="A341" s="0" t="s">
        <v>1098</v>
      </c>
      <c r="B341" s="0" t="s">
        <v>1854</v>
      </c>
      <c r="C341" s="0" t="n">
        <v>1</v>
      </c>
      <c r="D341" s="0" t="n">
        <v>1</v>
      </c>
      <c r="E341" s="0" t="n">
        <v>0</v>
      </c>
      <c r="F341" s="0" t="s">
        <v>1337</v>
      </c>
      <c r="G341" s="0" t="s">
        <v>1855</v>
      </c>
      <c r="H341" s="0" t="n">
        <v>1</v>
      </c>
      <c r="I341" s="0" t="s">
        <v>147</v>
      </c>
      <c r="J341" s="0" t="n">
        <v>1</v>
      </c>
      <c r="K341" s="0" t="n">
        <v>1</v>
      </c>
      <c r="L341" s="0" t="n">
        <v>5</v>
      </c>
      <c r="P341" s="0" t="s">
        <v>1856</v>
      </c>
      <c r="Q341" s="0" t="s">
        <v>1857</v>
      </c>
      <c r="R341" s="0" t="s">
        <v>1337</v>
      </c>
    </row>
    <row r="342" customFormat="false" ht="14.25" hidden="false" customHeight="false" outlineLevel="0" collapsed="false">
      <c r="A342" s="0" t="s">
        <v>1104</v>
      </c>
      <c r="B342" s="0" t="s">
        <v>1858</v>
      </c>
      <c r="C342" s="0" t="n">
        <v>1</v>
      </c>
      <c r="D342" s="0" t="n">
        <v>1</v>
      </c>
      <c r="E342" s="0" t="n">
        <v>0</v>
      </c>
      <c r="F342" s="0" t="s">
        <v>1337</v>
      </c>
      <c r="G342" s="0" t="s">
        <v>1859</v>
      </c>
      <c r="H342" s="0" t="n">
        <v>2</v>
      </c>
      <c r="I342" s="0" t="s">
        <v>98</v>
      </c>
      <c r="J342" s="0" t="n">
        <v>1</v>
      </c>
      <c r="K342" s="0" t="n">
        <v>0</v>
      </c>
      <c r="L342" s="0" t="n">
        <v>6</v>
      </c>
      <c r="M342" s="0" t="n">
        <v>1</v>
      </c>
      <c r="O342" s="0" t="n">
        <v>350</v>
      </c>
      <c r="Q342" s="0" t="s">
        <v>1860</v>
      </c>
      <c r="R342" s="0" t="s">
        <v>1337</v>
      </c>
    </row>
    <row r="343" customFormat="false" ht="14.25" hidden="false" customHeight="false" outlineLevel="0" collapsed="false">
      <c r="A343" s="0" t="s">
        <v>1110</v>
      </c>
      <c r="B343" s="0" t="s">
        <v>1861</v>
      </c>
      <c r="C343" s="0" t="n">
        <v>1</v>
      </c>
      <c r="D343" s="0" t="n">
        <v>1</v>
      </c>
      <c r="E343" s="0" t="n">
        <v>0</v>
      </c>
      <c r="F343" s="0" t="s">
        <v>1337</v>
      </c>
      <c r="G343" s="0" t="s">
        <v>1862</v>
      </c>
      <c r="H343" s="0" t="n">
        <v>1</v>
      </c>
      <c r="I343" s="0" t="s">
        <v>147</v>
      </c>
      <c r="J343" s="0" t="n">
        <v>1</v>
      </c>
      <c r="K343" s="0" t="n">
        <v>0</v>
      </c>
      <c r="L343" s="0" t="n">
        <v>4</v>
      </c>
      <c r="M343" s="0" t="n">
        <v>1</v>
      </c>
      <c r="O343" s="0" t="n">
        <v>16</v>
      </c>
      <c r="Q343" s="0" t="s">
        <v>1863</v>
      </c>
      <c r="R343" s="0" t="s">
        <v>1337</v>
      </c>
    </row>
    <row r="344" customFormat="false" ht="14.25" hidden="false" customHeight="false" outlineLevel="0" collapsed="false">
      <c r="A344" s="0" t="s">
        <v>1117</v>
      </c>
      <c r="B344" s="0" t="s">
        <v>1864</v>
      </c>
      <c r="C344" s="0" t="n">
        <v>1</v>
      </c>
      <c r="D344" s="0" t="n">
        <v>1</v>
      </c>
      <c r="E344" s="0" t="n">
        <v>0</v>
      </c>
      <c r="F344" s="0" t="s">
        <v>1337</v>
      </c>
      <c r="G344" s="0" t="s">
        <v>1865</v>
      </c>
      <c r="H344" s="0" t="n">
        <v>0</v>
      </c>
      <c r="I344" s="0" t="s">
        <v>136</v>
      </c>
      <c r="J344" s="0" t="n">
        <v>1</v>
      </c>
      <c r="K344" s="0" t="n">
        <v>1</v>
      </c>
      <c r="L344" s="0" t="n">
        <v>4</v>
      </c>
      <c r="M344" s="0" t="n">
        <v>1</v>
      </c>
      <c r="P344" s="0" t="s">
        <v>1866</v>
      </c>
      <c r="Q344" s="0" t="s">
        <v>1867</v>
      </c>
      <c r="R344" s="0" t="s">
        <v>1337</v>
      </c>
    </row>
    <row r="345" customFormat="false" ht="14.25" hidden="false" customHeight="false" outlineLevel="0" collapsed="false">
      <c r="A345" s="0" t="s">
        <v>1123</v>
      </c>
      <c r="B345" s="0" t="s">
        <v>1868</v>
      </c>
      <c r="C345" s="0" t="n">
        <v>2</v>
      </c>
      <c r="D345" s="0" t="n">
        <v>0</v>
      </c>
      <c r="E345" s="0" t="n">
        <v>1</v>
      </c>
      <c r="F345" s="0" t="s">
        <v>1361</v>
      </c>
      <c r="G345" s="0" t="s">
        <v>1869</v>
      </c>
      <c r="H345" s="0" t="n">
        <v>1</v>
      </c>
      <c r="I345" s="0" t="s">
        <v>147</v>
      </c>
      <c r="J345" s="0" t="n">
        <v>1</v>
      </c>
      <c r="K345" s="0" t="n">
        <v>0</v>
      </c>
      <c r="L345" s="0" t="n">
        <v>2</v>
      </c>
      <c r="O345" s="0" t="n">
        <v>10</v>
      </c>
      <c r="Q345" s="0" t="s">
        <v>1870</v>
      </c>
      <c r="R345" s="0" t="s">
        <v>1361</v>
      </c>
    </row>
    <row r="346" customFormat="false" ht="14.25" hidden="false" customHeight="false" outlineLevel="0" collapsed="false">
      <c r="A346" s="0" t="s">
        <v>1123</v>
      </c>
      <c r="B346" s="0" t="s">
        <v>1871</v>
      </c>
      <c r="C346" s="0" t="n">
        <v>2</v>
      </c>
      <c r="D346" s="0" t="n">
        <v>1</v>
      </c>
      <c r="E346" s="0" t="n">
        <v>0</v>
      </c>
      <c r="F346" s="0" t="s">
        <v>1337</v>
      </c>
      <c r="G346" s="0" t="s">
        <v>1872</v>
      </c>
      <c r="H346" s="0" t="n">
        <v>2</v>
      </c>
      <c r="I346" s="0" t="s">
        <v>98</v>
      </c>
      <c r="J346" s="0" t="n">
        <v>0</v>
      </c>
      <c r="K346" s="0" t="n">
        <v>0</v>
      </c>
      <c r="L346" s="0" t="n">
        <v>5</v>
      </c>
      <c r="M346" s="0" t="n">
        <v>1</v>
      </c>
      <c r="O346" s="0" t="n">
        <v>10</v>
      </c>
      <c r="Q346" s="0" t="s">
        <v>1873</v>
      </c>
      <c r="R346" s="0" t="s">
        <v>1337</v>
      </c>
    </row>
    <row r="347" customFormat="false" ht="14.25" hidden="false" customHeight="false" outlineLevel="0" collapsed="false">
      <c r="A347" s="0" t="s">
        <v>1129</v>
      </c>
      <c r="B347" s="0" t="s">
        <v>1874</v>
      </c>
      <c r="C347" s="0" t="n">
        <v>2</v>
      </c>
      <c r="D347" s="0" t="n">
        <v>1</v>
      </c>
      <c r="E347" s="0" t="n">
        <v>0</v>
      </c>
      <c r="F347" s="0" t="s">
        <v>1337</v>
      </c>
      <c r="G347" s="0" t="s">
        <v>1875</v>
      </c>
      <c r="H347" s="0" t="n">
        <v>1</v>
      </c>
      <c r="I347" s="0" t="s">
        <v>147</v>
      </c>
      <c r="J347" s="0" t="n">
        <v>1</v>
      </c>
      <c r="K347" s="0" t="n">
        <v>1</v>
      </c>
      <c r="L347" s="0" t="n">
        <v>4</v>
      </c>
      <c r="M347" s="0" t="n">
        <v>1</v>
      </c>
      <c r="O347" s="0" t="n">
        <v>129</v>
      </c>
      <c r="P347" s="0" t="s">
        <v>1876</v>
      </c>
      <c r="Q347" s="0" t="s">
        <v>1877</v>
      </c>
      <c r="R347" s="0" t="s">
        <v>1337</v>
      </c>
    </row>
    <row r="348" customFormat="false" ht="14.25" hidden="false" customHeight="false" outlineLevel="0" collapsed="false">
      <c r="A348" s="0" t="s">
        <v>1129</v>
      </c>
      <c r="B348" s="0" t="s">
        <v>1878</v>
      </c>
      <c r="C348" s="0" t="n">
        <v>2</v>
      </c>
      <c r="O348" s="0" t="n">
        <v>129</v>
      </c>
    </row>
    <row r="349" customFormat="false" ht="14.25" hidden="false" customHeight="false" outlineLevel="0" collapsed="false">
      <c r="A349" s="0" t="s">
        <v>1135</v>
      </c>
      <c r="B349" s="0" t="s">
        <v>1879</v>
      </c>
      <c r="C349" s="0" t="n">
        <v>1</v>
      </c>
      <c r="D349" s="0" t="n">
        <v>1</v>
      </c>
      <c r="E349" s="0" t="n">
        <v>0</v>
      </c>
      <c r="F349" s="0" t="s">
        <v>1337</v>
      </c>
      <c r="G349" s="0" t="s">
        <v>1880</v>
      </c>
      <c r="H349" s="0" t="n">
        <v>2</v>
      </c>
      <c r="I349" s="0" t="s">
        <v>98</v>
      </c>
      <c r="J349" s="0" t="n">
        <v>0</v>
      </c>
      <c r="K349" s="0" t="n">
        <v>1</v>
      </c>
      <c r="L349" s="0" t="n">
        <v>21</v>
      </c>
      <c r="M349" s="0" t="n">
        <v>1</v>
      </c>
      <c r="P349" s="0" t="s">
        <v>1881</v>
      </c>
      <c r="Q349" s="0" t="s">
        <v>1882</v>
      </c>
      <c r="R349" s="0" t="s">
        <v>1337</v>
      </c>
    </row>
    <row r="350" customFormat="false" ht="14.25" hidden="false" customHeight="false" outlineLevel="0" collapsed="false">
      <c r="A350" s="0" t="s">
        <v>1141</v>
      </c>
      <c r="B350" s="0" t="s">
        <v>1883</v>
      </c>
      <c r="C350" s="0" t="n">
        <v>1</v>
      </c>
      <c r="D350" s="0" t="n">
        <v>1</v>
      </c>
      <c r="E350" s="0" t="n">
        <v>0</v>
      </c>
      <c r="F350" s="0" t="s">
        <v>1337</v>
      </c>
      <c r="G350" s="0" t="s">
        <v>1884</v>
      </c>
      <c r="H350" s="0" t="n">
        <v>1</v>
      </c>
      <c r="I350" s="0" t="s">
        <v>147</v>
      </c>
      <c r="J350" s="0" t="n">
        <v>1</v>
      </c>
      <c r="K350" s="0" t="n">
        <v>1</v>
      </c>
      <c r="L350" s="0" t="n">
        <v>1</v>
      </c>
      <c r="M350" s="0" t="n">
        <v>1</v>
      </c>
      <c r="O350" s="0" t="n">
        <v>198</v>
      </c>
      <c r="P350" s="0" t="s">
        <v>1885</v>
      </c>
      <c r="Q350" s="0" t="s">
        <v>1886</v>
      </c>
      <c r="R350" s="0" t="s">
        <v>1337</v>
      </c>
    </row>
    <row r="351" customFormat="false" ht="14.25" hidden="false" customHeight="false" outlineLevel="0" collapsed="false">
      <c r="A351" s="0" t="s">
        <v>1147</v>
      </c>
      <c r="B351" s="0" t="s">
        <v>1887</v>
      </c>
      <c r="C351" s="0" t="n">
        <v>1</v>
      </c>
      <c r="D351" s="0" t="n">
        <v>0</v>
      </c>
      <c r="E351" s="0" t="n">
        <v>1</v>
      </c>
      <c r="F351" s="0" t="s">
        <v>1361</v>
      </c>
      <c r="G351" s="0" t="s">
        <v>1888</v>
      </c>
      <c r="H351" s="0" t="n">
        <v>1</v>
      </c>
      <c r="I351" s="0" t="s">
        <v>147</v>
      </c>
      <c r="J351" s="0" t="n">
        <v>0</v>
      </c>
      <c r="K351" s="0" t="n">
        <v>0</v>
      </c>
      <c r="L351" s="0" t="n">
        <v>1</v>
      </c>
      <c r="M351" s="0" t="n">
        <v>1</v>
      </c>
      <c r="O351" s="0" t="n">
        <v>15</v>
      </c>
      <c r="P351" s="0" t="s">
        <v>1889</v>
      </c>
      <c r="Q351" s="0" t="s">
        <v>1890</v>
      </c>
      <c r="R351" s="0" t="s">
        <v>1361</v>
      </c>
    </row>
    <row r="352" customFormat="false" ht="14.25" hidden="false" customHeight="false" outlineLevel="0" collapsed="false">
      <c r="A352" s="0" t="s">
        <v>1153</v>
      </c>
      <c r="B352" s="0" t="s">
        <v>1891</v>
      </c>
      <c r="C352" s="0" t="n">
        <v>1</v>
      </c>
      <c r="D352" s="0" t="n">
        <v>1</v>
      </c>
      <c r="E352" s="0" t="n">
        <v>0</v>
      </c>
      <c r="F352" s="0" t="s">
        <v>1337</v>
      </c>
      <c r="G352" s="0" t="s">
        <v>1892</v>
      </c>
      <c r="H352" s="0" t="n">
        <v>2</v>
      </c>
      <c r="I352" s="0" t="s">
        <v>98</v>
      </c>
      <c r="J352" s="0" t="n">
        <v>0</v>
      </c>
      <c r="K352" s="0" t="n">
        <v>0</v>
      </c>
      <c r="L352" s="0" t="n">
        <v>0</v>
      </c>
      <c r="M352" s="0" t="n">
        <v>1</v>
      </c>
      <c r="P352" s="0" t="s">
        <v>1893</v>
      </c>
      <c r="Q352" s="0" t="s">
        <v>1894</v>
      </c>
      <c r="R352" s="0" t="s">
        <v>1337</v>
      </c>
    </row>
    <row r="353" customFormat="false" ht="14.25" hidden="false" customHeight="false" outlineLevel="0" collapsed="false">
      <c r="A353" s="0" t="s">
        <v>1159</v>
      </c>
      <c r="B353" s="0" t="s">
        <v>1895</v>
      </c>
      <c r="C353" s="0" t="n">
        <v>2</v>
      </c>
      <c r="D353" s="0" t="n">
        <v>1</v>
      </c>
      <c r="E353" s="0" t="n">
        <v>0</v>
      </c>
      <c r="F353" s="0" t="s">
        <v>1337</v>
      </c>
      <c r="G353" s="0" t="s">
        <v>1896</v>
      </c>
      <c r="J353" s="0" t="n">
        <v>0</v>
      </c>
      <c r="K353" s="0" t="n">
        <v>0</v>
      </c>
      <c r="O353" s="0" t="n">
        <v>79</v>
      </c>
      <c r="Q353" s="0" t="s">
        <v>1897</v>
      </c>
      <c r="R353" s="0" t="s">
        <v>1337</v>
      </c>
    </row>
    <row r="354" customFormat="false" ht="14.25" hidden="false" customHeight="false" outlineLevel="0" collapsed="false">
      <c r="A354" s="0" t="s">
        <v>1159</v>
      </c>
      <c r="B354" s="0" t="s">
        <v>1898</v>
      </c>
      <c r="C354" s="0" t="n">
        <v>2</v>
      </c>
      <c r="D354" s="0" t="n">
        <v>1</v>
      </c>
      <c r="E354" s="0" t="n">
        <v>0</v>
      </c>
      <c r="F354" s="0" t="s">
        <v>1337</v>
      </c>
      <c r="G354" s="0" t="s">
        <v>1899</v>
      </c>
      <c r="H354" s="0" t="n">
        <v>1</v>
      </c>
      <c r="I354" s="0" t="s">
        <v>147</v>
      </c>
      <c r="J354" s="0" t="n">
        <v>0</v>
      </c>
      <c r="K354" s="0" t="n">
        <v>0</v>
      </c>
      <c r="L354" s="0" t="n">
        <v>2</v>
      </c>
      <c r="O354" s="0" t="n">
        <v>79</v>
      </c>
      <c r="Q354" s="0" t="s">
        <v>1900</v>
      </c>
      <c r="R354" s="0" t="s">
        <v>1337</v>
      </c>
    </row>
    <row r="355" customFormat="false" ht="14.25" hidden="false" customHeight="false" outlineLevel="0" collapsed="false">
      <c r="A355" s="0" t="s">
        <v>1165</v>
      </c>
      <c r="B355" s="0" t="s">
        <v>1901</v>
      </c>
      <c r="C355" s="0" t="n">
        <v>2</v>
      </c>
      <c r="O355" s="0" t="n">
        <v>22</v>
      </c>
    </row>
    <row r="356" customFormat="false" ht="14.25" hidden="false" customHeight="false" outlineLevel="0" collapsed="false">
      <c r="A356" s="0" t="s">
        <v>1165</v>
      </c>
      <c r="B356" s="0" t="s">
        <v>1902</v>
      </c>
      <c r="C356" s="0" t="n">
        <v>2</v>
      </c>
      <c r="D356" s="0" t="n">
        <v>1</v>
      </c>
      <c r="E356" s="0" t="n">
        <v>0</v>
      </c>
      <c r="F356" s="0" t="s">
        <v>1337</v>
      </c>
      <c r="G356" s="0" t="s">
        <v>1903</v>
      </c>
      <c r="H356" s="0" t="n">
        <v>2</v>
      </c>
      <c r="I356" s="0" t="s">
        <v>98</v>
      </c>
      <c r="J356" s="0" t="n">
        <v>0</v>
      </c>
      <c r="K356" s="0" t="n">
        <v>1</v>
      </c>
      <c r="L356" s="0" t="n">
        <v>5</v>
      </c>
      <c r="M356" s="0" t="n">
        <v>1</v>
      </c>
      <c r="O356" s="0" t="n">
        <v>22</v>
      </c>
      <c r="P356" s="0" t="s">
        <v>1904</v>
      </c>
      <c r="Q356" s="0" t="s">
        <v>1905</v>
      </c>
      <c r="R356" s="0" t="s">
        <v>1337</v>
      </c>
    </row>
    <row r="357" customFormat="false" ht="14.25" hidden="false" customHeight="false" outlineLevel="0" collapsed="false">
      <c r="A357" s="0" t="s">
        <v>1171</v>
      </c>
      <c r="B357" s="0" t="s">
        <v>1906</v>
      </c>
      <c r="C357" s="0" t="n">
        <v>1</v>
      </c>
      <c r="D357" s="0" t="n">
        <v>1</v>
      </c>
      <c r="E357" s="0" t="n">
        <v>0</v>
      </c>
      <c r="F357" s="0" t="s">
        <v>1337</v>
      </c>
      <c r="G357" s="0" t="s">
        <v>1907</v>
      </c>
      <c r="H357" s="0" t="n">
        <v>2</v>
      </c>
      <c r="I357" s="0" t="s">
        <v>98</v>
      </c>
      <c r="J357" s="0" t="n">
        <v>1</v>
      </c>
      <c r="K357" s="0" t="n">
        <v>0</v>
      </c>
      <c r="L357" s="0" t="n">
        <v>9</v>
      </c>
      <c r="M357" s="0" t="n">
        <v>1</v>
      </c>
      <c r="O357" s="0" t="n">
        <v>90</v>
      </c>
      <c r="Q357" s="0" t="s">
        <v>1908</v>
      </c>
      <c r="R357" s="0" t="s">
        <v>1337</v>
      </c>
    </row>
    <row r="358" customFormat="false" ht="14.25" hidden="false" customHeight="false" outlineLevel="0" collapsed="false">
      <c r="A358" s="0" t="s">
        <v>1177</v>
      </c>
      <c r="B358" s="0" t="s">
        <v>1909</v>
      </c>
      <c r="C358" s="0" t="n">
        <v>3</v>
      </c>
      <c r="D358" s="0" t="n">
        <v>1</v>
      </c>
      <c r="E358" s="0" t="n">
        <v>0</v>
      </c>
      <c r="F358" s="0" t="s">
        <v>1337</v>
      </c>
      <c r="G358" s="0" t="s">
        <v>1910</v>
      </c>
      <c r="H358" s="0" t="n">
        <v>2</v>
      </c>
      <c r="I358" s="0" t="s">
        <v>98</v>
      </c>
      <c r="J358" s="0" t="n">
        <v>1</v>
      </c>
      <c r="K358" s="0" t="n">
        <v>1</v>
      </c>
      <c r="L358" s="0" t="n">
        <v>8</v>
      </c>
      <c r="M358" s="0" t="n">
        <v>1</v>
      </c>
      <c r="O358" s="0" t="n">
        <v>24</v>
      </c>
      <c r="P358" s="0" t="s">
        <v>1911</v>
      </c>
      <c r="Q358" s="0" t="s">
        <v>1912</v>
      </c>
      <c r="R358" s="0" t="s">
        <v>1337</v>
      </c>
    </row>
    <row r="359" customFormat="false" ht="14.25" hidden="false" customHeight="false" outlineLevel="0" collapsed="false">
      <c r="A359" s="0" t="s">
        <v>1177</v>
      </c>
      <c r="B359" s="0" t="s">
        <v>1913</v>
      </c>
      <c r="C359" s="0" t="n">
        <v>3</v>
      </c>
      <c r="D359" s="0" t="n">
        <v>1</v>
      </c>
      <c r="E359" s="0" t="n">
        <v>0</v>
      </c>
      <c r="F359" s="0" t="s">
        <v>1337</v>
      </c>
      <c r="G359" s="0" t="s">
        <v>1914</v>
      </c>
      <c r="H359" s="0" t="n">
        <v>1</v>
      </c>
      <c r="I359" s="0" t="s">
        <v>147</v>
      </c>
      <c r="J359" s="0" t="n">
        <v>1</v>
      </c>
      <c r="K359" s="0" t="n">
        <v>1</v>
      </c>
      <c r="L359" s="0" t="n">
        <v>14</v>
      </c>
      <c r="M359" s="0" t="n">
        <v>1</v>
      </c>
      <c r="O359" s="0" t="n">
        <v>24</v>
      </c>
      <c r="P359" s="0" t="s">
        <v>1915</v>
      </c>
      <c r="Q359" s="0" t="s">
        <v>1916</v>
      </c>
      <c r="R359" s="0" t="s">
        <v>1337</v>
      </c>
    </row>
    <row r="360" customFormat="false" ht="14.25" hidden="false" customHeight="false" outlineLevel="0" collapsed="false">
      <c r="A360" s="0" t="s">
        <v>1177</v>
      </c>
      <c r="B360" s="0" t="s">
        <v>1917</v>
      </c>
      <c r="C360" s="0" t="n">
        <v>3</v>
      </c>
      <c r="D360" s="0" t="n">
        <v>1</v>
      </c>
      <c r="E360" s="0" t="n">
        <v>0</v>
      </c>
      <c r="F360" s="0" t="s">
        <v>1337</v>
      </c>
      <c r="J360" s="0" t="n">
        <v>1</v>
      </c>
      <c r="O360" s="0" t="n">
        <v>24</v>
      </c>
      <c r="Q360" s="0" t="s">
        <v>1918</v>
      </c>
      <c r="R360" s="0" t="s">
        <v>1337</v>
      </c>
    </row>
    <row r="361" customFormat="false" ht="14.25" hidden="false" customHeight="false" outlineLevel="0" collapsed="false">
      <c r="A361" s="0" t="s">
        <v>1183</v>
      </c>
      <c r="B361" s="0" t="s">
        <v>1919</v>
      </c>
      <c r="C361" s="0" t="n">
        <v>1</v>
      </c>
      <c r="D361" s="0" t="n">
        <v>1</v>
      </c>
      <c r="E361" s="0" t="n">
        <v>0</v>
      </c>
      <c r="F361" s="0" t="s">
        <v>1337</v>
      </c>
      <c r="G361" s="0" t="s">
        <v>1920</v>
      </c>
      <c r="H361" s="0" t="n">
        <v>2</v>
      </c>
      <c r="I361" s="0" t="s">
        <v>98</v>
      </c>
      <c r="J361" s="0" t="n">
        <v>1</v>
      </c>
      <c r="K361" s="0" t="n">
        <v>0</v>
      </c>
      <c r="L361" s="0" t="n">
        <v>9</v>
      </c>
      <c r="O361" s="0" t="n">
        <v>386</v>
      </c>
      <c r="Q361" s="0" t="s">
        <v>1921</v>
      </c>
      <c r="R361" s="0" t="s">
        <v>1337</v>
      </c>
    </row>
    <row r="362" customFormat="false" ht="14.25" hidden="false" customHeight="false" outlineLevel="0" collapsed="false">
      <c r="A362" s="0" t="s">
        <v>1189</v>
      </c>
      <c r="B362" s="0" t="s">
        <v>1922</v>
      </c>
      <c r="C362" s="0" t="n">
        <v>3</v>
      </c>
      <c r="D362" s="0" t="n">
        <v>1</v>
      </c>
      <c r="E362" s="0" t="n">
        <v>0</v>
      </c>
      <c r="F362" s="0" t="s">
        <v>1337</v>
      </c>
      <c r="G362" s="0" t="s">
        <v>1923</v>
      </c>
      <c r="H362" s="0" t="n">
        <v>2</v>
      </c>
      <c r="I362" s="0" t="s">
        <v>98</v>
      </c>
      <c r="J362" s="0" t="n">
        <v>1</v>
      </c>
      <c r="K362" s="0" t="n">
        <v>0</v>
      </c>
      <c r="L362" s="0" t="n">
        <v>8</v>
      </c>
      <c r="M362" s="0" t="n">
        <v>1</v>
      </c>
      <c r="O362" s="0" t="n">
        <v>20</v>
      </c>
      <c r="Q362" s="0" t="s">
        <v>1924</v>
      </c>
      <c r="R362" s="0" t="s">
        <v>1337</v>
      </c>
    </row>
    <row r="363" customFormat="false" ht="14.25" hidden="false" customHeight="false" outlineLevel="0" collapsed="false">
      <c r="A363" s="0" t="s">
        <v>1189</v>
      </c>
      <c r="B363" s="0" t="s">
        <v>1925</v>
      </c>
      <c r="C363" s="0" t="n">
        <v>3</v>
      </c>
      <c r="D363" s="0" t="n">
        <v>1</v>
      </c>
      <c r="E363" s="0" t="n">
        <v>0</v>
      </c>
      <c r="F363" s="0" t="s">
        <v>1337</v>
      </c>
      <c r="G363" s="0" t="s">
        <v>1926</v>
      </c>
      <c r="O363" s="0" t="n">
        <v>20</v>
      </c>
      <c r="R363" s="0" t="s">
        <v>1337</v>
      </c>
    </row>
    <row r="364" customFormat="false" ht="14.25" hidden="false" customHeight="false" outlineLevel="0" collapsed="false">
      <c r="A364" s="0" t="s">
        <v>1189</v>
      </c>
      <c r="B364" s="0" t="s">
        <v>1927</v>
      </c>
      <c r="C364" s="0" t="n">
        <v>3</v>
      </c>
      <c r="D364" s="0" t="n">
        <v>0</v>
      </c>
      <c r="E364" s="0" t="n">
        <v>1</v>
      </c>
      <c r="F364" s="0" t="s">
        <v>1361</v>
      </c>
      <c r="G364" s="0" t="s">
        <v>1928</v>
      </c>
      <c r="O364" s="0" t="n">
        <v>20</v>
      </c>
      <c r="R364" s="0" t="s">
        <v>1361</v>
      </c>
    </row>
    <row r="365" customFormat="false" ht="14.25" hidden="false" customHeight="false" outlineLevel="0" collapsed="false">
      <c r="A365" s="0" t="s">
        <v>1195</v>
      </c>
      <c r="B365" s="0" t="s">
        <v>1929</v>
      </c>
      <c r="C365" s="0" t="n">
        <v>2</v>
      </c>
      <c r="D365" s="0" t="n">
        <v>1</v>
      </c>
      <c r="E365" s="0" t="n">
        <v>0</v>
      </c>
      <c r="F365" s="0" t="s">
        <v>1337</v>
      </c>
      <c r="G365" s="0" t="s">
        <v>1930</v>
      </c>
      <c r="H365" s="0" t="n">
        <v>2</v>
      </c>
      <c r="I365" s="0" t="s">
        <v>98</v>
      </c>
      <c r="J365" s="0" t="n">
        <v>1</v>
      </c>
      <c r="K365" s="0" t="n">
        <v>0</v>
      </c>
      <c r="L365" s="0" t="n">
        <v>9</v>
      </c>
      <c r="O365" s="0" t="n">
        <v>377</v>
      </c>
      <c r="Q365" s="0" t="s">
        <v>1931</v>
      </c>
      <c r="R365" s="0" t="s">
        <v>1337</v>
      </c>
    </row>
    <row r="366" customFormat="false" ht="14.25" hidden="false" customHeight="false" outlineLevel="0" collapsed="false">
      <c r="A366" s="0" t="s">
        <v>1195</v>
      </c>
      <c r="B366" s="0" t="s">
        <v>1932</v>
      </c>
      <c r="C366" s="0" t="n">
        <v>2</v>
      </c>
      <c r="D366" s="0" t="n">
        <v>1</v>
      </c>
      <c r="E366" s="0" t="n">
        <v>0</v>
      </c>
      <c r="F366" s="0" t="s">
        <v>1337</v>
      </c>
      <c r="G366" s="0" t="s">
        <v>1933</v>
      </c>
      <c r="O366" s="0" t="n">
        <v>377</v>
      </c>
      <c r="R366" s="0" t="s">
        <v>1337</v>
      </c>
    </row>
    <row r="367" customFormat="false" ht="14.25" hidden="false" customHeight="false" outlineLevel="0" collapsed="false">
      <c r="A367" s="0" t="s">
        <v>1202</v>
      </c>
      <c r="B367" s="0" t="s">
        <v>1934</v>
      </c>
      <c r="C367" s="0" t="n">
        <v>2</v>
      </c>
      <c r="D367" s="0" t="n">
        <v>1</v>
      </c>
      <c r="E367" s="0" t="n">
        <v>0</v>
      </c>
      <c r="F367" s="0" t="s">
        <v>1337</v>
      </c>
      <c r="G367" s="0" t="s">
        <v>1935</v>
      </c>
      <c r="H367" s="0" t="n">
        <v>2</v>
      </c>
      <c r="I367" s="0" t="s">
        <v>98</v>
      </c>
      <c r="J367" s="0" t="n">
        <v>0</v>
      </c>
      <c r="L367" s="0" t="n">
        <v>9</v>
      </c>
      <c r="M367" s="0" t="n">
        <v>1</v>
      </c>
      <c r="O367" s="0" t="n">
        <v>39</v>
      </c>
      <c r="P367" s="0" t="s">
        <v>1936</v>
      </c>
      <c r="Q367" s="0" t="s">
        <v>1937</v>
      </c>
      <c r="R367" s="0" t="s">
        <v>1337</v>
      </c>
    </row>
    <row r="368" customFormat="false" ht="14.25" hidden="false" customHeight="false" outlineLevel="0" collapsed="false">
      <c r="A368" s="0" t="s">
        <v>1202</v>
      </c>
      <c r="B368" s="0" t="s">
        <v>1938</v>
      </c>
      <c r="C368" s="0" t="n">
        <v>2</v>
      </c>
      <c r="D368" s="0" t="n">
        <v>1</v>
      </c>
      <c r="E368" s="0" t="n">
        <v>0</v>
      </c>
      <c r="F368" s="0" t="s">
        <v>1337</v>
      </c>
      <c r="G368" s="0" t="s">
        <v>1939</v>
      </c>
      <c r="K368" s="0" t="n">
        <v>1</v>
      </c>
      <c r="O368" s="0" t="n">
        <v>39</v>
      </c>
      <c r="P368" s="0" t="s">
        <v>1940</v>
      </c>
      <c r="R368" s="0" t="s">
        <v>1337</v>
      </c>
    </row>
    <row r="369" customFormat="false" ht="14.25" hidden="false" customHeight="false" outlineLevel="0" collapsed="false">
      <c r="A369" s="0" t="s">
        <v>1208</v>
      </c>
      <c r="B369" s="0" t="s">
        <v>1941</v>
      </c>
      <c r="C369" s="0" t="n">
        <v>2</v>
      </c>
      <c r="D369" s="0" t="n">
        <v>1</v>
      </c>
      <c r="E369" s="0" t="n">
        <v>0</v>
      </c>
      <c r="F369" s="0" t="s">
        <v>1337</v>
      </c>
      <c r="G369" s="0" t="s">
        <v>1942</v>
      </c>
      <c r="H369" s="0" t="n">
        <v>2</v>
      </c>
      <c r="I369" s="0" t="s">
        <v>98</v>
      </c>
      <c r="J369" s="0" t="n">
        <v>0</v>
      </c>
      <c r="K369" s="0" t="n">
        <v>0</v>
      </c>
      <c r="L369" s="0" t="n">
        <v>5</v>
      </c>
      <c r="M369" s="0" t="n">
        <v>1</v>
      </c>
      <c r="O369" s="0" t="n">
        <v>32</v>
      </c>
      <c r="Q369" s="0" t="s">
        <v>1937</v>
      </c>
      <c r="R369" s="0" t="s">
        <v>1337</v>
      </c>
    </row>
    <row r="370" customFormat="false" ht="14.25" hidden="false" customHeight="false" outlineLevel="0" collapsed="false">
      <c r="A370" s="0" t="s">
        <v>1208</v>
      </c>
      <c r="B370" s="0" t="s">
        <v>1943</v>
      </c>
      <c r="C370" s="0" t="n">
        <v>2</v>
      </c>
      <c r="D370" s="0" t="n">
        <v>0</v>
      </c>
      <c r="E370" s="0" t="n">
        <v>1</v>
      </c>
      <c r="F370" s="0" t="s">
        <v>1361</v>
      </c>
      <c r="G370" s="0" t="s">
        <v>1939</v>
      </c>
      <c r="K370" s="0" t="n">
        <v>0</v>
      </c>
      <c r="O370" s="0" t="n">
        <v>32</v>
      </c>
      <c r="R370" s="0" t="s">
        <v>1361</v>
      </c>
    </row>
    <row r="371" customFormat="false" ht="14.25" hidden="false" customHeight="false" outlineLevel="0" collapsed="false">
      <c r="A371" s="0" t="s">
        <v>1214</v>
      </c>
      <c r="B371" s="0" t="s">
        <v>1944</v>
      </c>
      <c r="C371" s="0" t="n">
        <v>2</v>
      </c>
      <c r="D371" s="0" t="n">
        <v>1</v>
      </c>
      <c r="E371" s="0" t="n">
        <v>0</v>
      </c>
      <c r="F371" s="0" t="s">
        <v>1337</v>
      </c>
      <c r="G371" s="0" t="s">
        <v>1945</v>
      </c>
      <c r="H371" s="0" t="n">
        <v>2</v>
      </c>
      <c r="I371" s="0" t="s">
        <v>98</v>
      </c>
      <c r="J371" s="0" t="n">
        <v>0</v>
      </c>
      <c r="K371" s="0" t="n">
        <v>0</v>
      </c>
      <c r="L371" s="0" t="n">
        <v>10</v>
      </c>
      <c r="M371" s="0" t="n">
        <v>1</v>
      </c>
      <c r="P371" s="0" t="s">
        <v>1946</v>
      </c>
      <c r="Q371" s="0" t="s">
        <v>1947</v>
      </c>
      <c r="R371" s="0" t="s">
        <v>1337</v>
      </c>
    </row>
    <row r="372" customFormat="false" ht="14.25" hidden="false" customHeight="false" outlineLevel="0" collapsed="false">
      <c r="A372" s="0" t="s">
        <v>1214</v>
      </c>
      <c r="B372" s="0" t="s">
        <v>1948</v>
      </c>
      <c r="C372" s="0" t="n">
        <v>2</v>
      </c>
      <c r="D372" s="0" t="n">
        <v>1</v>
      </c>
      <c r="E372" s="0" t="n">
        <v>0</v>
      </c>
      <c r="F372" s="0" t="s">
        <v>1337</v>
      </c>
      <c r="G372" s="0" t="s">
        <v>1949</v>
      </c>
      <c r="H372" s="0" t="n">
        <v>2</v>
      </c>
      <c r="I372" s="0" t="s">
        <v>98</v>
      </c>
      <c r="J372" s="0" t="n">
        <v>0</v>
      </c>
      <c r="K372" s="0" t="n">
        <v>0</v>
      </c>
      <c r="L372" s="0" t="n">
        <v>10</v>
      </c>
      <c r="M372" s="0" t="n">
        <v>1</v>
      </c>
      <c r="P372" s="0" t="s">
        <v>1950</v>
      </c>
      <c r="Q372" s="0" t="s">
        <v>1947</v>
      </c>
      <c r="R372" s="0" t="s">
        <v>1337</v>
      </c>
    </row>
    <row r="373" customFormat="false" ht="14.25" hidden="false" customHeight="false" outlineLevel="0" collapsed="false">
      <c r="A373" s="0" t="s">
        <v>1221</v>
      </c>
      <c r="B373" s="0" t="s">
        <v>1951</v>
      </c>
      <c r="C373" s="0" t="n">
        <v>1</v>
      </c>
      <c r="D373" s="0" t="n">
        <v>1</v>
      </c>
      <c r="E373" s="0" t="n">
        <v>0</v>
      </c>
      <c r="F373" s="0" t="s">
        <v>1337</v>
      </c>
      <c r="G373" s="0" t="s">
        <v>1952</v>
      </c>
      <c r="H373" s="0" t="n">
        <v>1</v>
      </c>
      <c r="I373" s="0" t="s">
        <v>147</v>
      </c>
      <c r="J373" s="0" t="n">
        <v>1</v>
      </c>
      <c r="K373" s="0" t="n">
        <v>0</v>
      </c>
      <c r="L373" s="0" t="n">
        <v>15</v>
      </c>
      <c r="O373" s="0" t="n">
        <v>149.5</v>
      </c>
      <c r="P373" s="0" t="s">
        <v>1953</v>
      </c>
      <c r="Q373" s="0" t="s">
        <v>1954</v>
      </c>
      <c r="R373" s="0" t="s">
        <v>1337</v>
      </c>
    </row>
    <row r="374" customFormat="false" ht="14.25" hidden="false" customHeight="false" outlineLevel="0" collapsed="false">
      <c r="A374" s="0" t="s">
        <v>1228</v>
      </c>
      <c r="B374" s="0" t="s">
        <v>1955</v>
      </c>
      <c r="C374" s="0" t="n">
        <v>1</v>
      </c>
      <c r="D374" s="0" t="n">
        <v>1</v>
      </c>
      <c r="E374" s="0" t="n">
        <v>0</v>
      </c>
      <c r="F374" s="0" t="s">
        <v>1337</v>
      </c>
      <c r="G374" s="0" t="s">
        <v>1956</v>
      </c>
      <c r="H374" s="0" t="n">
        <v>3</v>
      </c>
      <c r="I374" s="0" t="s">
        <v>120</v>
      </c>
      <c r="J374" s="0" t="n">
        <v>1</v>
      </c>
      <c r="K374" s="0" t="n">
        <v>1</v>
      </c>
      <c r="L374" s="0" t="n">
        <v>10</v>
      </c>
      <c r="M374" s="0" t="n">
        <v>1</v>
      </c>
      <c r="O374" s="0" t="n">
        <v>149.5</v>
      </c>
      <c r="P374" s="0" t="s">
        <v>1957</v>
      </c>
      <c r="Q374" s="0" t="s">
        <v>1958</v>
      </c>
      <c r="R374" s="0" t="s">
        <v>1337</v>
      </c>
    </row>
    <row r="375" customFormat="false" ht="14.25" hidden="false" customHeight="false" outlineLevel="0" collapsed="false">
      <c r="A375" s="0" t="s">
        <v>1234</v>
      </c>
      <c r="B375" s="0" t="s">
        <v>1959</v>
      </c>
      <c r="C375" s="0" t="n">
        <v>1</v>
      </c>
      <c r="D375" s="0" t="n">
        <v>1</v>
      </c>
      <c r="E375" s="0" t="n">
        <v>0</v>
      </c>
      <c r="F375" s="0" t="s">
        <v>1337</v>
      </c>
      <c r="G375" s="0" t="s">
        <v>1960</v>
      </c>
      <c r="H375" s="0" t="n">
        <v>2</v>
      </c>
      <c r="I375" s="0" t="s">
        <v>98</v>
      </c>
      <c r="J375" s="0" t="n">
        <v>0</v>
      </c>
      <c r="K375" s="0" t="n">
        <v>0</v>
      </c>
      <c r="L375" s="0" t="n">
        <v>5</v>
      </c>
      <c r="O375" s="0" t="n">
        <v>149.5</v>
      </c>
      <c r="P375" s="0" t="s">
        <v>1961</v>
      </c>
      <c r="Q375" s="0" t="s">
        <v>1962</v>
      </c>
      <c r="R375" s="0" t="s">
        <v>1337</v>
      </c>
    </row>
    <row r="376" customFormat="false" ht="14.25" hidden="false" customHeight="false" outlineLevel="0" collapsed="false">
      <c r="A376" s="0" t="s">
        <v>1240</v>
      </c>
      <c r="B376" s="0" t="s">
        <v>1963</v>
      </c>
      <c r="C376" s="0" t="n">
        <v>1</v>
      </c>
      <c r="D376" s="0" t="n">
        <v>1</v>
      </c>
      <c r="E376" s="0" t="n">
        <v>0</v>
      </c>
      <c r="F376" s="0" t="s">
        <v>1337</v>
      </c>
      <c r="G376" s="0" t="s">
        <v>1964</v>
      </c>
      <c r="H376" s="0" t="n">
        <v>2</v>
      </c>
      <c r="I376" s="0" t="s">
        <v>98</v>
      </c>
      <c r="J376" s="0" t="n">
        <v>1</v>
      </c>
      <c r="K376" s="0" t="n">
        <v>0</v>
      </c>
      <c r="L376" s="0" t="n">
        <v>2</v>
      </c>
      <c r="M376" s="0" t="n">
        <v>1</v>
      </c>
      <c r="O376" s="0" t="n">
        <v>5.5</v>
      </c>
      <c r="P376" s="0" t="s">
        <v>1965</v>
      </c>
      <c r="Q376" s="0" t="s">
        <v>1966</v>
      </c>
      <c r="R376" s="0" t="s">
        <v>1337</v>
      </c>
    </row>
    <row r="377" customFormat="false" ht="14.25" hidden="false" customHeight="false" outlineLevel="0" collapsed="false">
      <c r="A377" s="0" t="s">
        <v>1247</v>
      </c>
      <c r="B377" s="0" t="s">
        <v>1967</v>
      </c>
      <c r="C377" s="0" t="n">
        <v>2</v>
      </c>
      <c r="D377" s="0" t="n">
        <v>1</v>
      </c>
      <c r="E377" s="0" t="n">
        <v>0</v>
      </c>
      <c r="F377" s="0" t="s">
        <v>1337</v>
      </c>
      <c r="G377" s="0" t="s">
        <v>1968</v>
      </c>
      <c r="H377" s="0" t="n">
        <v>1</v>
      </c>
      <c r="I377" s="0" t="s">
        <v>147</v>
      </c>
      <c r="J377" s="0" t="n">
        <v>1</v>
      </c>
      <c r="K377" s="0" t="n">
        <v>0</v>
      </c>
      <c r="L377" s="0" t="n">
        <v>5</v>
      </c>
      <c r="M377" s="0" t="n">
        <v>1</v>
      </c>
      <c r="O377" s="0" t="n">
        <v>29.5</v>
      </c>
      <c r="P377" s="0" t="s">
        <v>1969</v>
      </c>
      <c r="Q377" s="0" t="s">
        <v>1970</v>
      </c>
      <c r="R377" s="0" t="s">
        <v>1337</v>
      </c>
    </row>
    <row r="378" customFormat="false" ht="14.25" hidden="false" customHeight="false" outlineLevel="0" collapsed="false">
      <c r="A378" s="0" t="s">
        <v>1253</v>
      </c>
      <c r="B378" s="0" t="s">
        <v>1971</v>
      </c>
      <c r="C378" s="0" t="n">
        <v>1</v>
      </c>
      <c r="D378" s="0" t="n">
        <v>1</v>
      </c>
      <c r="E378" s="0" t="n">
        <v>0</v>
      </c>
      <c r="F378" s="0" t="s">
        <v>1337</v>
      </c>
      <c r="G378" s="0" t="s">
        <v>1972</v>
      </c>
      <c r="H378" s="0" t="n">
        <v>1</v>
      </c>
      <c r="I378" s="0" t="s">
        <v>147</v>
      </c>
      <c r="J378" s="0" t="n">
        <v>0</v>
      </c>
      <c r="K378" s="0" t="n">
        <v>0</v>
      </c>
      <c r="L378" s="0" t="n">
        <v>4</v>
      </c>
      <c r="M378" s="0" t="n">
        <v>1</v>
      </c>
      <c r="O378" s="0" t="n">
        <v>29.5</v>
      </c>
      <c r="P378" s="0" t="s">
        <v>1973</v>
      </c>
      <c r="Q378" s="0" t="s">
        <v>1974</v>
      </c>
      <c r="R378" s="0" t="s">
        <v>1337</v>
      </c>
    </row>
    <row r="379" customFormat="false" ht="14.25" hidden="false" customHeight="false" outlineLevel="0" collapsed="false">
      <c r="A379" s="0" t="s">
        <v>1260</v>
      </c>
      <c r="B379" s="0" t="s">
        <v>1975</v>
      </c>
      <c r="C379" s="0" t="n">
        <v>1</v>
      </c>
      <c r="D379" s="0" t="n">
        <v>1</v>
      </c>
      <c r="E379" s="0" t="n">
        <v>0</v>
      </c>
      <c r="F379" s="0" t="s">
        <v>1337</v>
      </c>
      <c r="G379" s="0" t="s">
        <v>1976</v>
      </c>
      <c r="H379" s="0" t="n">
        <v>2</v>
      </c>
      <c r="I379" s="0" t="s">
        <v>98</v>
      </c>
      <c r="J379" s="0" t="n">
        <v>1</v>
      </c>
      <c r="K379" s="0" t="n">
        <v>0</v>
      </c>
      <c r="L379" s="0" t="n">
        <v>0</v>
      </c>
      <c r="M379" s="0" t="n">
        <v>1</v>
      </c>
      <c r="O379" s="0" t="n">
        <v>29.5</v>
      </c>
      <c r="P379" s="0" t="s">
        <v>1977</v>
      </c>
      <c r="Q379" s="0" t="s">
        <v>1978</v>
      </c>
      <c r="R379" s="0" t="s">
        <v>1337</v>
      </c>
    </row>
    <row r="380" customFormat="false" ht="14.25" hidden="false" customHeight="false" outlineLevel="0" collapsed="false">
      <c r="A380" s="0" t="s">
        <v>1266</v>
      </c>
      <c r="B380" s="0" t="s">
        <v>1979</v>
      </c>
      <c r="C380" s="0" t="n">
        <v>1</v>
      </c>
      <c r="D380" s="0" t="n">
        <v>0</v>
      </c>
      <c r="E380" s="0" t="n">
        <v>1</v>
      </c>
      <c r="F380" s="0" t="s">
        <v>1361</v>
      </c>
      <c r="G380" s="0" t="s">
        <v>1980</v>
      </c>
      <c r="H380" s="0" t="n">
        <v>2</v>
      </c>
      <c r="I380" s="0" t="s">
        <v>98</v>
      </c>
      <c r="J380" s="0" t="n">
        <v>1</v>
      </c>
      <c r="K380" s="0" t="n">
        <v>0</v>
      </c>
      <c r="L380" s="0" t="n">
        <v>13</v>
      </c>
      <c r="M380" s="0" t="n">
        <v>1</v>
      </c>
      <c r="O380" s="0" t="n">
        <v>29.5</v>
      </c>
      <c r="P380" s="0" t="s">
        <v>1981</v>
      </c>
      <c r="Q380" s="0" t="s">
        <v>1982</v>
      </c>
      <c r="R380" s="0" t="s">
        <v>1361</v>
      </c>
    </row>
    <row r="381" customFormat="false" ht="14.25" hidden="false" customHeight="false" outlineLevel="0" collapsed="false">
      <c r="A381" s="0" t="s">
        <v>1272</v>
      </c>
      <c r="B381" s="0" t="s">
        <v>1983</v>
      </c>
      <c r="C381" s="0" t="n">
        <v>1</v>
      </c>
      <c r="D381" s="0" t="n">
        <v>1</v>
      </c>
      <c r="E381" s="0" t="n">
        <v>0</v>
      </c>
      <c r="F381" s="0" t="s">
        <v>1337</v>
      </c>
      <c r="G381" s="0" t="s">
        <v>1984</v>
      </c>
      <c r="H381" s="0" t="n">
        <v>1</v>
      </c>
      <c r="I381" s="0" t="s">
        <v>147</v>
      </c>
      <c r="J381" s="0" t="n">
        <v>1</v>
      </c>
      <c r="K381" s="0" t="n">
        <v>0</v>
      </c>
      <c r="L381" s="0" t="n">
        <v>4</v>
      </c>
      <c r="M381" s="0" t="n">
        <v>1</v>
      </c>
      <c r="O381" s="0" t="n">
        <v>29.5</v>
      </c>
      <c r="P381" s="0" t="s">
        <v>1985</v>
      </c>
      <c r="Q381" s="0" t="s">
        <v>1970</v>
      </c>
      <c r="R381" s="0" t="s">
        <v>1337</v>
      </c>
    </row>
    <row r="382" customFormat="false" ht="14.25" hidden="false" customHeight="false" outlineLevel="0" collapsed="false">
      <c r="A382" s="0" t="s">
        <v>1278</v>
      </c>
      <c r="B382" s="0" t="s">
        <v>1986</v>
      </c>
      <c r="C382" s="0" t="n">
        <v>2</v>
      </c>
      <c r="D382" s="0" t="n">
        <v>1</v>
      </c>
      <c r="E382" s="0" t="n">
        <v>0</v>
      </c>
      <c r="F382" s="0" t="s">
        <v>1337</v>
      </c>
      <c r="G382" s="0" t="s">
        <v>1987</v>
      </c>
      <c r="H382" s="0" t="n">
        <v>1</v>
      </c>
      <c r="I382" s="0" t="s">
        <v>147</v>
      </c>
      <c r="J382" s="0" t="n">
        <v>1</v>
      </c>
      <c r="K382" s="0" t="n">
        <v>0</v>
      </c>
      <c r="L382" s="0" t="n">
        <v>2</v>
      </c>
      <c r="M382" s="0" t="n">
        <v>1</v>
      </c>
      <c r="O382" s="0" t="n">
        <v>29.5</v>
      </c>
      <c r="P382" s="0" t="s">
        <v>1988</v>
      </c>
      <c r="Q382" s="0" t="s">
        <v>1970</v>
      </c>
      <c r="R382" s="0" t="s">
        <v>1337</v>
      </c>
    </row>
    <row r="383" customFormat="false" ht="14.25" hidden="false" customHeight="false" outlineLevel="0" collapsed="false">
      <c r="A383" s="0" t="s">
        <v>1284</v>
      </c>
      <c r="B383" s="0" t="s">
        <v>1989</v>
      </c>
      <c r="C383" s="0" t="n">
        <v>6</v>
      </c>
      <c r="D383" s="0" t="n">
        <v>1</v>
      </c>
      <c r="E383" s="0" t="n">
        <v>0</v>
      </c>
      <c r="F383" s="0" t="s">
        <v>1337</v>
      </c>
      <c r="G383" s="0" t="s">
        <v>1990</v>
      </c>
      <c r="H383" s="0" t="n">
        <v>2</v>
      </c>
      <c r="I383" s="0" t="s">
        <v>98</v>
      </c>
      <c r="J383" s="0" t="n">
        <v>1</v>
      </c>
      <c r="K383" s="0" t="n">
        <v>0</v>
      </c>
      <c r="L383" s="0" t="n">
        <v>1</v>
      </c>
      <c r="M383" s="0" t="n">
        <v>1</v>
      </c>
      <c r="O383" s="0" t="n">
        <v>29.5</v>
      </c>
      <c r="P383" s="0" t="s">
        <v>1991</v>
      </c>
      <c r="Q383" s="0" t="s">
        <v>1992</v>
      </c>
      <c r="R383" s="0" t="s">
        <v>1337</v>
      </c>
    </row>
  </sheetData>
  <autoFilter ref="A1:R15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6796875" defaultRowHeight="14.25"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20"/>
    <col collapsed="false" customWidth="true" hidden="false" outlineLevel="0" max="4" min="4" style="0" width="18"/>
    <col collapsed="false" customWidth="true" hidden="false" outlineLevel="0" max="23" min="5" style="0" width="16"/>
    <col collapsed="false" customWidth="true" hidden="false" outlineLevel="0" max="25" min="24" style="0" width="24"/>
    <col collapsed="false" customWidth="true" hidden="false" outlineLevel="0" max="26" min="26" style="0" width="60"/>
  </cols>
  <sheetData>
    <row r="1" customFormat="false" ht="42" hidden="false" customHeight="true" outlineLevel="0" collapsed="false">
      <c r="A1" s="5" t="s">
        <v>0</v>
      </c>
      <c r="B1" s="5" t="s">
        <v>1993</v>
      </c>
      <c r="C1" s="5" t="s">
        <v>1994</v>
      </c>
      <c r="D1" s="6" t="s">
        <v>1995</v>
      </c>
      <c r="E1" s="6" t="s">
        <v>1996</v>
      </c>
      <c r="F1" s="6" t="s">
        <v>1997</v>
      </c>
      <c r="G1" s="6" t="s">
        <v>1998</v>
      </c>
      <c r="H1" s="6" t="s">
        <v>1999</v>
      </c>
      <c r="I1" s="6" t="s">
        <v>2000</v>
      </c>
      <c r="J1" s="6" t="s">
        <v>2001</v>
      </c>
      <c r="K1" s="6" t="s">
        <v>2002</v>
      </c>
      <c r="L1" s="6" t="s">
        <v>2003</v>
      </c>
      <c r="M1" s="6" t="s">
        <v>2004</v>
      </c>
      <c r="N1" s="6" t="s">
        <v>2005</v>
      </c>
      <c r="O1" s="6" t="s">
        <v>2006</v>
      </c>
      <c r="P1" s="6" t="s">
        <v>2007</v>
      </c>
      <c r="Q1" s="6" t="s">
        <v>2008</v>
      </c>
      <c r="R1" s="6" t="s">
        <v>2009</v>
      </c>
      <c r="S1" s="6" t="s">
        <v>2010</v>
      </c>
      <c r="T1" s="6" t="s">
        <v>2011</v>
      </c>
      <c r="U1" s="6" t="s">
        <v>70</v>
      </c>
      <c r="V1" s="6" t="s">
        <v>2012</v>
      </c>
      <c r="W1" s="6" t="s">
        <v>2013</v>
      </c>
      <c r="X1" s="5" t="s">
        <v>2014</v>
      </c>
      <c r="Y1" s="5" t="s">
        <v>2015</v>
      </c>
      <c r="Z1" s="5" t="s">
        <v>2016</v>
      </c>
    </row>
    <row r="2" customFormat="false" ht="14.25" hidden="false" customHeight="false" outlineLevel="0" collapsed="false">
      <c r="A2" s="7" t="s">
        <v>87</v>
      </c>
      <c r="B2" s="7" t="s">
        <v>2017</v>
      </c>
      <c r="C2" s="7" t="s">
        <v>2018</v>
      </c>
      <c r="D2" s="7" t="s">
        <v>2019</v>
      </c>
      <c r="E2" s="7" t="s">
        <v>2020</v>
      </c>
      <c r="F2" s="7" t="s">
        <v>2021</v>
      </c>
      <c r="G2" s="7" t="n">
        <v>1</v>
      </c>
      <c r="H2" s="7" t="n">
        <v>1</v>
      </c>
      <c r="I2" s="7"/>
      <c r="J2" s="7"/>
      <c r="K2" s="7"/>
      <c r="L2" s="8"/>
      <c r="M2" s="8" t="n">
        <v>250000000</v>
      </c>
      <c r="N2" s="8"/>
      <c r="O2" s="7" t="n">
        <v>0</v>
      </c>
      <c r="P2" s="7" t="n">
        <v>0</v>
      </c>
      <c r="Q2" s="8"/>
      <c r="R2" s="8" t="n">
        <v>2000000000</v>
      </c>
      <c r="S2" s="8" t="n">
        <v>2000000000</v>
      </c>
      <c r="T2" s="8" t="n">
        <v>2000000000</v>
      </c>
      <c r="U2" s="7"/>
      <c r="V2" s="7" t="n">
        <v>0</v>
      </c>
      <c r="W2" s="7" t="n">
        <v>0</v>
      </c>
      <c r="X2" s="7" t="n">
        <v>250000000</v>
      </c>
      <c r="Y2" s="7" t="n">
        <v>2000000000</v>
      </c>
      <c r="Z2" s="7" t="s">
        <v>2022</v>
      </c>
    </row>
    <row r="3" customFormat="false" ht="14.25" hidden="false" customHeight="false" outlineLevel="0" collapsed="false">
      <c r="A3" s="7" t="s">
        <v>87</v>
      </c>
      <c r="B3" s="7" t="s">
        <v>2023</v>
      </c>
      <c r="C3" s="7" t="s">
        <v>2024</v>
      </c>
      <c r="D3" s="7" t="s">
        <v>2025</v>
      </c>
      <c r="E3" s="7" t="s">
        <v>2020</v>
      </c>
      <c r="F3" s="7" t="s">
        <v>2021</v>
      </c>
      <c r="G3" s="7" t="n">
        <v>1</v>
      </c>
      <c r="H3" s="7" t="n">
        <v>1</v>
      </c>
      <c r="I3" s="7"/>
      <c r="J3" s="7"/>
      <c r="K3" s="7"/>
      <c r="L3" s="8"/>
      <c r="M3" s="8" t="n">
        <v>10000000</v>
      </c>
      <c r="N3" s="8"/>
      <c r="O3" s="7" t="n">
        <v>0</v>
      </c>
      <c r="P3" s="7" t="n">
        <v>0</v>
      </c>
      <c r="Q3" s="8"/>
      <c r="R3" s="8"/>
      <c r="S3" s="8"/>
      <c r="T3" s="8"/>
      <c r="U3" s="7"/>
      <c r="V3" s="7" t="n">
        <v>0</v>
      </c>
      <c r="W3" s="7" t="n">
        <v>0</v>
      </c>
      <c r="X3" s="7" t="n">
        <v>10000000</v>
      </c>
      <c r="Y3" s="7"/>
      <c r="Z3" s="7" t="s">
        <v>2026</v>
      </c>
    </row>
    <row r="4" customFormat="false" ht="14.25" hidden="false" customHeight="false" outlineLevel="0" collapsed="false">
      <c r="A4" s="7" t="s">
        <v>117</v>
      </c>
      <c r="B4" s="7" t="s">
        <v>2027</v>
      </c>
      <c r="C4" s="7" t="s">
        <v>2028</v>
      </c>
      <c r="D4" s="7" t="s">
        <v>2019</v>
      </c>
      <c r="E4" s="7" t="s">
        <v>2020</v>
      </c>
      <c r="F4" s="7" t="s">
        <v>2021</v>
      </c>
      <c r="G4" s="7" t="n">
        <v>1</v>
      </c>
      <c r="H4" s="7" t="n">
        <v>1</v>
      </c>
      <c r="I4" s="7"/>
      <c r="J4" s="7"/>
      <c r="K4" s="7"/>
      <c r="L4" s="8"/>
      <c r="M4" s="8" t="n">
        <v>7000000</v>
      </c>
      <c r="N4" s="8"/>
      <c r="O4" s="7" t="n">
        <v>0</v>
      </c>
      <c r="P4" s="7" t="n">
        <v>0</v>
      </c>
      <c r="Q4" s="8"/>
      <c r="R4" s="8"/>
      <c r="S4" s="8"/>
      <c r="T4" s="8"/>
      <c r="U4" s="7"/>
      <c r="V4" s="7" t="n">
        <v>0</v>
      </c>
      <c r="W4" s="7" t="n">
        <v>0</v>
      </c>
      <c r="X4" s="7" t="n">
        <v>7000000</v>
      </c>
      <c r="Y4" s="7"/>
      <c r="Z4" s="7" t="s">
        <v>2029</v>
      </c>
    </row>
    <row r="5" customFormat="false" ht="14.25" hidden="false" customHeight="false" outlineLevel="0" collapsed="false">
      <c r="A5" s="7" t="s">
        <v>152</v>
      </c>
      <c r="B5" s="7" t="s">
        <v>2030</v>
      </c>
      <c r="C5" s="7" t="s">
        <v>2031</v>
      </c>
      <c r="D5" s="7" t="s">
        <v>2032</v>
      </c>
      <c r="E5" s="7" t="s">
        <v>2020</v>
      </c>
      <c r="F5" s="7" t="s">
        <v>2021</v>
      </c>
      <c r="G5" s="7" t="n">
        <v>1</v>
      </c>
      <c r="H5" s="7" t="n">
        <v>1</v>
      </c>
      <c r="I5" s="7"/>
      <c r="J5" s="7"/>
      <c r="K5" s="7"/>
      <c r="L5" s="8"/>
      <c r="M5" s="8" t="n">
        <v>37100</v>
      </c>
      <c r="N5" s="8"/>
      <c r="O5" s="7" t="n">
        <v>0</v>
      </c>
      <c r="P5" s="7" t="n">
        <v>0</v>
      </c>
      <c r="Q5" s="8"/>
      <c r="R5" s="8"/>
      <c r="S5" s="8"/>
      <c r="T5" s="8"/>
      <c r="U5" s="7"/>
      <c r="V5" s="7" t="n">
        <v>0</v>
      </c>
      <c r="W5" s="7" t="n">
        <v>0</v>
      </c>
      <c r="X5" s="7" t="n">
        <v>37100</v>
      </c>
      <c r="Y5" s="7"/>
      <c r="Z5" s="7" t="s">
        <v>2033</v>
      </c>
    </row>
    <row r="6" customFormat="false" ht="14.25" hidden="false" customHeight="false" outlineLevel="0" collapsed="false">
      <c r="A6" s="7" t="s">
        <v>162</v>
      </c>
      <c r="B6" s="7" t="s">
        <v>2034</v>
      </c>
      <c r="C6" s="7" t="s">
        <v>2018</v>
      </c>
      <c r="D6" s="7" t="s">
        <v>2019</v>
      </c>
      <c r="E6" s="7" t="s">
        <v>2020</v>
      </c>
      <c r="F6" s="7" t="s">
        <v>2021</v>
      </c>
      <c r="G6" s="7" t="n">
        <v>1</v>
      </c>
      <c r="H6" s="7" t="n">
        <v>1</v>
      </c>
      <c r="I6" s="7"/>
      <c r="J6" s="7"/>
      <c r="K6" s="7"/>
      <c r="L6" s="8"/>
      <c r="M6" s="8" t="n">
        <v>5500000</v>
      </c>
      <c r="N6" s="8"/>
      <c r="O6" s="7" t="n">
        <v>0</v>
      </c>
      <c r="P6" s="7" t="n">
        <v>0</v>
      </c>
      <c r="Q6" s="8"/>
      <c r="R6" s="8"/>
      <c r="S6" s="8"/>
      <c r="T6" s="8"/>
      <c r="U6" s="7"/>
      <c r="V6" s="7" t="n">
        <v>0</v>
      </c>
      <c r="W6" s="7" t="n">
        <v>0</v>
      </c>
      <c r="X6" s="7" t="n">
        <v>5500000</v>
      </c>
      <c r="Y6" s="7"/>
      <c r="Z6" s="7" t="s">
        <v>2035</v>
      </c>
    </row>
    <row r="7" customFormat="false" ht="14.25" hidden="false" customHeight="false" outlineLevel="0" collapsed="false">
      <c r="A7" s="7" t="s">
        <v>162</v>
      </c>
      <c r="B7" s="7" t="s">
        <v>2036</v>
      </c>
      <c r="C7" s="7" t="s">
        <v>2018</v>
      </c>
      <c r="D7" s="7" t="s">
        <v>2019</v>
      </c>
      <c r="E7" s="7" t="s">
        <v>2020</v>
      </c>
      <c r="F7" s="7" t="s">
        <v>2021</v>
      </c>
      <c r="G7" s="7" t="n">
        <v>1</v>
      </c>
      <c r="H7" s="7" t="n">
        <v>1</v>
      </c>
      <c r="I7" s="7"/>
      <c r="J7" s="7"/>
      <c r="K7" s="7"/>
      <c r="L7" s="8"/>
      <c r="M7" s="8" t="n">
        <v>10000000</v>
      </c>
      <c r="N7" s="8"/>
      <c r="O7" s="7" t="n">
        <v>0</v>
      </c>
      <c r="P7" s="7" t="n">
        <v>0</v>
      </c>
      <c r="Q7" s="8"/>
      <c r="R7" s="8"/>
      <c r="S7" s="8"/>
      <c r="T7" s="8"/>
      <c r="U7" s="7"/>
      <c r="V7" s="7" t="n">
        <v>0</v>
      </c>
      <c r="W7" s="7" t="n">
        <v>0</v>
      </c>
      <c r="X7" s="7" t="n">
        <v>10000000</v>
      </c>
      <c r="Y7" s="7"/>
      <c r="Z7" s="7" t="s">
        <v>2037</v>
      </c>
    </row>
    <row r="8" customFormat="false" ht="14.25" hidden="false" customHeight="false" outlineLevel="0" collapsed="false">
      <c r="A8" s="7" t="s">
        <v>185</v>
      </c>
      <c r="B8" s="7" t="s">
        <v>2038</v>
      </c>
      <c r="C8" s="7" t="s">
        <v>2018</v>
      </c>
      <c r="D8" s="7" t="s">
        <v>2019</v>
      </c>
      <c r="E8" s="7" t="s">
        <v>2020</v>
      </c>
      <c r="F8" s="7" t="s">
        <v>2021</v>
      </c>
      <c r="G8" s="7" t="n">
        <v>1</v>
      </c>
      <c r="H8" s="7" t="n">
        <v>1</v>
      </c>
      <c r="I8" s="7"/>
      <c r="J8" s="7"/>
      <c r="K8" s="7"/>
      <c r="L8" s="8"/>
      <c r="M8" s="8" t="n">
        <v>1500000</v>
      </c>
      <c r="N8" s="8"/>
      <c r="O8" s="7" t="n">
        <v>0</v>
      </c>
      <c r="P8" s="7" t="n">
        <v>0</v>
      </c>
      <c r="Q8" s="8"/>
      <c r="R8" s="8"/>
      <c r="S8" s="8"/>
      <c r="T8" s="8"/>
      <c r="U8" s="7"/>
      <c r="V8" s="7" t="n">
        <v>0</v>
      </c>
      <c r="W8" s="7" t="n">
        <v>0</v>
      </c>
      <c r="X8" s="7" t="n">
        <v>1500000</v>
      </c>
      <c r="Y8" s="7"/>
      <c r="Z8" s="7" t="s">
        <v>2039</v>
      </c>
    </row>
    <row r="9" customFormat="false" ht="14.25" hidden="false" customHeight="false" outlineLevel="0" collapsed="false">
      <c r="A9" s="7" t="s">
        <v>189</v>
      </c>
      <c r="B9" s="7" t="s">
        <v>2040</v>
      </c>
      <c r="C9" s="7" t="s">
        <v>2018</v>
      </c>
      <c r="D9" s="7" t="s">
        <v>2019</v>
      </c>
      <c r="E9" s="7" t="s">
        <v>2020</v>
      </c>
      <c r="F9" s="7" t="s">
        <v>2021</v>
      </c>
      <c r="G9" s="7" t="n">
        <v>1</v>
      </c>
      <c r="H9" s="7" t="n">
        <v>1</v>
      </c>
      <c r="I9" s="7"/>
      <c r="J9" s="7"/>
      <c r="K9" s="7"/>
      <c r="L9" s="8"/>
      <c r="M9" s="8" t="n">
        <v>5000000</v>
      </c>
      <c r="N9" s="8"/>
      <c r="O9" s="7" t="n">
        <v>0</v>
      </c>
      <c r="P9" s="7" t="n">
        <v>0</v>
      </c>
      <c r="Q9" s="8"/>
      <c r="R9" s="8"/>
      <c r="S9" s="8"/>
      <c r="T9" s="8"/>
      <c r="U9" s="7"/>
      <c r="V9" s="7" t="n">
        <v>0</v>
      </c>
      <c r="W9" s="7" t="n">
        <v>0</v>
      </c>
      <c r="X9" s="7" t="n">
        <v>5000000</v>
      </c>
      <c r="Y9" s="7"/>
      <c r="Z9" s="7" t="s">
        <v>2041</v>
      </c>
    </row>
    <row r="10" customFormat="false" ht="14.25" hidden="false" customHeight="false" outlineLevel="0" collapsed="false">
      <c r="A10" s="7" t="s">
        <v>197</v>
      </c>
      <c r="B10" s="7" t="s">
        <v>202</v>
      </c>
      <c r="C10" s="7" t="s">
        <v>2042</v>
      </c>
      <c r="D10" s="7" t="s">
        <v>2032</v>
      </c>
      <c r="E10" s="7" t="s">
        <v>2020</v>
      </c>
      <c r="F10" s="7" t="s">
        <v>2021</v>
      </c>
      <c r="G10" s="7" t="n">
        <v>0</v>
      </c>
      <c r="H10" s="7" t="n">
        <v>1</v>
      </c>
      <c r="I10" s="7"/>
      <c r="J10" s="7"/>
      <c r="K10" s="7"/>
      <c r="L10" s="8"/>
      <c r="M10" s="8" t="n">
        <v>2150000</v>
      </c>
      <c r="N10" s="8"/>
      <c r="O10" s="7" t="n">
        <v>0</v>
      </c>
      <c r="P10" s="7" t="n">
        <v>0</v>
      </c>
      <c r="Q10" s="8"/>
      <c r="R10" s="8"/>
      <c r="S10" s="8"/>
      <c r="T10" s="8"/>
      <c r="U10" s="7"/>
      <c r="V10" s="7" t="n">
        <v>0</v>
      </c>
      <c r="W10" s="7"/>
      <c r="X10" s="7" t="n">
        <v>2150000</v>
      </c>
      <c r="Y10" s="7"/>
      <c r="Z10" s="7"/>
    </row>
    <row r="11" customFormat="false" ht="14.25" hidden="false" customHeight="false" outlineLevel="0" collapsed="false">
      <c r="A11" s="7" t="s">
        <v>207</v>
      </c>
      <c r="B11" s="7" t="s">
        <v>2043</v>
      </c>
      <c r="C11" s="7" t="s">
        <v>2044</v>
      </c>
      <c r="D11" s="7" t="s">
        <v>2019</v>
      </c>
      <c r="E11" s="7" t="s">
        <v>2020</v>
      </c>
      <c r="F11" s="7" t="s">
        <v>2021</v>
      </c>
      <c r="G11" s="7" t="n">
        <v>0</v>
      </c>
      <c r="H11" s="7" t="n">
        <v>1</v>
      </c>
      <c r="I11" s="7"/>
      <c r="J11" s="7"/>
      <c r="K11" s="7"/>
      <c r="L11" s="8"/>
      <c r="M11" s="8" t="n">
        <v>12000000</v>
      </c>
      <c r="N11" s="8"/>
      <c r="O11" s="7" t="n">
        <v>0</v>
      </c>
      <c r="P11" s="7" t="n">
        <v>0</v>
      </c>
      <c r="Q11" s="8"/>
      <c r="R11" s="8"/>
      <c r="S11" s="8"/>
      <c r="T11" s="8"/>
      <c r="U11" s="7"/>
      <c r="V11" s="7" t="n">
        <v>0</v>
      </c>
      <c r="W11" s="7"/>
      <c r="X11" s="7" t="n">
        <v>12000000</v>
      </c>
      <c r="Y11" s="7"/>
      <c r="Z11" s="7"/>
    </row>
    <row r="12" customFormat="false" ht="14.25" hidden="false" customHeight="false" outlineLevel="0" collapsed="false">
      <c r="A12" s="7" t="s">
        <v>212</v>
      </c>
      <c r="B12" s="7"/>
      <c r="C12" s="7" t="s">
        <v>2044</v>
      </c>
      <c r="D12" s="7" t="s">
        <v>2019</v>
      </c>
      <c r="E12" s="7" t="s">
        <v>2020</v>
      </c>
      <c r="F12" s="7" t="s">
        <v>2021</v>
      </c>
      <c r="G12" s="7" t="n">
        <v>0</v>
      </c>
      <c r="H12" s="7" t="n">
        <v>1</v>
      </c>
      <c r="I12" s="7"/>
      <c r="J12" s="7"/>
      <c r="K12" s="7"/>
      <c r="L12" s="8"/>
      <c r="M12" s="8" t="n">
        <v>3440000</v>
      </c>
      <c r="N12" s="8"/>
      <c r="O12" s="7" t="n">
        <v>0</v>
      </c>
      <c r="P12" s="7" t="n">
        <v>0</v>
      </c>
      <c r="Q12" s="8"/>
      <c r="R12" s="8"/>
      <c r="S12" s="8"/>
      <c r="T12" s="8"/>
      <c r="U12" s="7"/>
      <c r="V12" s="7" t="n">
        <v>0</v>
      </c>
      <c r="W12" s="7"/>
      <c r="X12" s="7" t="n">
        <v>3440000</v>
      </c>
      <c r="Y12" s="7"/>
      <c r="Z12" s="7"/>
    </row>
    <row r="13" customFormat="false" ht="14.25" hidden="false" customHeight="false" outlineLevel="0" collapsed="false">
      <c r="A13" s="7" t="s">
        <v>220</v>
      </c>
      <c r="B13" s="7" t="s">
        <v>2045</v>
      </c>
      <c r="C13" s="7" t="s">
        <v>2046</v>
      </c>
      <c r="D13" s="7" t="s">
        <v>2047</v>
      </c>
      <c r="E13" s="7" t="s">
        <v>2020</v>
      </c>
      <c r="F13" s="7" t="s">
        <v>2021</v>
      </c>
      <c r="G13" s="7" t="n">
        <v>0</v>
      </c>
      <c r="H13" s="7" t="n">
        <v>1</v>
      </c>
      <c r="I13" s="7"/>
      <c r="J13" s="7"/>
      <c r="K13" s="7"/>
      <c r="L13" s="8"/>
      <c r="M13" s="8" t="n">
        <v>4000000</v>
      </c>
      <c r="N13" s="8"/>
      <c r="O13" s="7" t="n">
        <v>0</v>
      </c>
      <c r="P13" s="7" t="n">
        <v>0</v>
      </c>
      <c r="Q13" s="8"/>
      <c r="R13" s="8"/>
      <c r="S13" s="8"/>
      <c r="T13" s="8"/>
      <c r="U13" s="7"/>
      <c r="V13" s="7" t="n">
        <v>0</v>
      </c>
      <c r="W13" s="7"/>
      <c r="X13" s="7" t="n">
        <v>4000000</v>
      </c>
      <c r="Y13" s="7"/>
      <c r="Z13" s="7"/>
    </row>
    <row r="14" customFormat="false" ht="14.25" hidden="false" customHeight="false" outlineLevel="0" collapsed="false">
      <c r="A14" s="7" t="s">
        <v>224</v>
      </c>
      <c r="B14" s="7" t="s">
        <v>2048</v>
      </c>
      <c r="C14" s="7" t="s">
        <v>2049</v>
      </c>
      <c r="D14" s="7" t="s">
        <v>2050</v>
      </c>
      <c r="E14" s="7" t="s">
        <v>2020</v>
      </c>
      <c r="F14" s="7" t="s">
        <v>2021</v>
      </c>
      <c r="G14" s="7" t="n">
        <v>0</v>
      </c>
      <c r="H14" s="7" t="n">
        <v>1</v>
      </c>
      <c r="I14" s="7"/>
      <c r="J14" s="7"/>
      <c r="K14" s="7"/>
      <c r="L14" s="8"/>
      <c r="M14" s="8"/>
      <c r="N14" s="8"/>
      <c r="O14" s="7" t="n">
        <v>0</v>
      </c>
      <c r="P14" s="7" t="n">
        <v>0</v>
      </c>
      <c r="Q14" s="8"/>
      <c r="R14" s="8"/>
      <c r="S14" s="8"/>
      <c r="T14" s="8"/>
      <c r="U14" s="7"/>
      <c r="V14" s="7" t="n">
        <v>0</v>
      </c>
      <c r="W14" s="7"/>
      <c r="X14" s="7"/>
      <c r="Y14" s="7"/>
      <c r="Z14" s="7"/>
    </row>
    <row r="15" customFormat="false" ht="14.25" hidden="false" customHeight="false" outlineLevel="0" collapsed="false">
      <c r="A15" s="7" t="s">
        <v>228</v>
      </c>
      <c r="B15" s="7" t="s">
        <v>2051</v>
      </c>
      <c r="C15" s="7" t="s">
        <v>2044</v>
      </c>
      <c r="D15" s="7" t="s">
        <v>2019</v>
      </c>
      <c r="E15" s="7" t="s">
        <v>2020</v>
      </c>
      <c r="F15" s="7" t="s">
        <v>2021</v>
      </c>
      <c r="G15" s="7" t="n">
        <v>0</v>
      </c>
      <c r="H15" s="7" t="n">
        <v>1</v>
      </c>
      <c r="I15" s="7"/>
      <c r="J15" s="7"/>
      <c r="K15" s="7"/>
      <c r="L15" s="8"/>
      <c r="M15" s="8" t="n">
        <v>1500000</v>
      </c>
      <c r="N15" s="8"/>
      <c r="O15" s="7" t="n">
        <v>0</v>
      </c>
      <c r="P15" s="7" t="n">
        <v>0</v>
      </c>
      <c r="Q15" s="8"/>
      <c r="R15" s="8"/>
      <c r="S15" s="8"/>
      <c r="T15" s="8"/>
      <c r="U15" s="7"/>
      <c r="V15" s="7" t="n">
        <v>0</v>
      </c>
      <c r="W15" s="7"/>
      <c r="X15" s="7" t="n">
        <v>1500000</v>
      </c>
      <c r="Y15" s="7"/>
      <c r="Z15" s="7"/>
    </row>
    <row r="16" customFormat="false" ht="14.25" hidden="false" customHeight="false" outlineLevel="0" collapsed="false">
      <c r="A16" s="7" t="s">
        <v>233</v>
      </c>
      <c r="B16" s="7" t="s">
        <v>2052</v>
      </c>
      <c r="C16" s="7" t="s">
        <v>2053</v>
      </c>
      <c r="D16" s="7" t="s">
        <v>2053</v>
      </c>
      <c r="E16" s="7" t="s">
        <v>2020</v>
      </c>
      <c r="F16" s="7" t="s">
        <v>2021</v>
      </c>
      <c r="G16" s="7" t="n">
        <v>0</v>
      </c>
      <c r="H16" s="7" t="n">
        <v>1</v>
      </c>
      <c r="I16" s="7"/>
      <c r="J16" s="7"/>
      <c r="K16" s="7"/>
      <c r="L16" s="8"/>
      <c r="M16" s="8" t="n">
        <v>11000000</v>
      </c>
      <c r="N16" s="8"/>
      <c r="O16" s="7" t="n">
        <v>0</v>
      </c>
      <c r="P16" s="7" t="n">
        <v>0</v>
      </c>
      <c r="Q16" s="8"/>
      <c r="R16" s="8"/>
      <c r="S16" s="8"/>
      <c r="T16" s="8"/>
      <c r="U16" s="7"/>
      <c r="V16" s="7" t="n">
        <v>0</v>
      </c>
      <c r="W16" s="7"/>
      <c r="X16" s="7" t="n">
        <v>11000000</v>
      </c>
      <c r="Y16" s="7"/>
      <c r="Z16" s="7"/>
    </row>
    <row r="17" customFormat="false" ht="14.25" hidden="false" customHeight="false" outlineLevel="0" collapsed="false">
      <c r="A17" s="7" t="s">
        <v>237</v>
      </c>
      <c r="B17" s="7" t="s">
        <v>2054</v>
      </c>
      <c r="C17" s="7" t="s">
        <v>2055</v>
      </c>
      <c r="D17" s="7" t="s">
        <v>2056</v>
      </c>
      <c r="E17" s="7" t="s">
        <v>2020</v>
      </c>
      <c r="F17" s="7" t="s">
        <v>2021</v>
      </c>
      <c r="G17" s="7" t="n">
        <v>0</v>
      </c>
      <c r="H17" s="7" t="n">
        <v>1</v>
      </c>
      <c r="I17" s="7"/>
      <c r="J17" s="7"/>
      <c r="K17" s="7"/>
      <c r="L17" s="8"/>
      <c r="M17" s="8" t="n">
        <v>1000000</v>
      </c>
      <c r="N17" s="8"/>
      <c r="O17" s="7" t="n">
        <v>0</v>
      </c>
      <c r="P17" s="7" t="n">
        <v>0</v>
      </c>
      <c r="Q17" s="8"/>
      <c r="R17" s="8"/>
      <c r="S17" s="8"/>
      <c r="T17" s="8"/>
      <c r="U17" s="7"/>
      <c r="V17" s="7" t="n">
        <v>0</v>
      </c>
      <c r="W17" s="7"/>
      <c r="X17" s="7" t="n">
        <v>1000000</v>
      </c>
      <c r="Y17" s="7"/>
      <c r="Z17" s="7"/>
    </row>
    <row r="18" customFormat="false" ht="14.25" hidden="false" customHeight="false" outlineLevel="0" collapsed="false">
      <c r="A18" s="7" t="s">
        <v>250</v>
      </c>
      <c r="B18" s="7" t="s">
        <v>2057</v>
      </c>
      <c r="C18" s="7" t="s">
        <v>2044</v>
      </c>
      <c r="D18" s="7" t="s">
        <v>2019</v>
      </c>
      <c r="E18" s="7" t="s">
        <v>2020</v>
      </c>
      <c r="F18" s="7" t="s">
        <v>2021</v>
      </c>
      <c r="G18" s="7" t="n">
        <v>0</v>
      </c>
      <c r="H18" s="7" t="n">
        <v>1</v>
      </c>
      <c r="I18" s="7"/>
      <c r="J18" s="7"/>
      <c r="K18" s="7"/>
      <c r="L18" s="8"/>
      <c r="M18" s="8" t="n">
        <v>2600000</v>
      </c>
      <c r="N18" s="8"/>
      <c r="O18" s="7" t="n">
        <v>0</v>
      </c>
      <c r="P18" s="7" t="n">
        <v>0</v>
      </c>
      <c r="Q18" s="8"/>
      <c r="R18" s="8"/>
      <c r="S18" s="8"/>
      <c r="T18" s="8"/>
      <c r="U18" s="7"/>
      <c r="V18" s="7" t="n">
        <v>0</v>
      </c>
      <c r="W18" s="7"/>
      <c r="X18" s="7" t="n">
        <v>2600000</v>
      </c>
      <c r="Y18" s="7"/>
      <c r="Z18" s="7"/>
    </row>
    <row r="19" customFormat="false" ht="14.25" hidden="false" customHeight="false" outlineLevel="0" collapsed="false">
      <c r="A19" s="7" t="s">
        <v>254</v>
      </c>
      <c r="B19" s="7" t="s">
        <v>2058</v>
      </c>
      <c r="C19" s="7" t="s">
        <v>2059</v>
      </c>
      <c r="D19" s="7" t="s">
        <v>2056</v>
      </c>
      <c r="E19" s="7" t="s">
        <v>2020</v>
      </c>
      <c r="F19" s="7" t="s">
        <v>2021</v>
      </c>
      <c r="G19" s="7" t="n">
        <v>0</v>
      </c>
      <c r="H19" s="7" t="n">
        <v>1</v>
      </c>
      <c r="I19" s="7"/>
      <c r="J19" s="7"/>
      <c r="K19" s="7"/>
      <c r="L19" s="8"/>
      <c r="M19" s="8" t="n">
        <v>500000</v>
      </c>
      <c r="N19" s="8"/>
      <c r="O19" s="7" t="n">
        <v>0</v>
      </c>
      <c r="P19" s="7" t="n">
        <v>0</v>
      </c>
      <c r="Q19" s="8"/>
      <c r="R19" s="8"/>
      <c r="S19" s="8"/>
      <c r="T19" s="8"/>
      <c r="U19" s="7"/>
      <c r="V19" s="7" t="n">
        <v>0</v>
      </c>
      <c r="W19" s="7"/>
      <c r="X19" s="7" t="n">
        <v>500000</v>
      </c>
      <c r="Y19" s="7"/>
      <c r="Z19" s="7"/>
    </row>
    <row r="20" customFormat="false" ht="14.25" hidden="false" customHeight="false" outlineLevel="0" collapsed="false">
      <c r="A20" s="7" t="s">
        <v>265</v>
      </c>
      <c r="B20" s="7" t="s">
        <v>2060</v>
      </c>
      <c r="C20" s="7" t="s">
        <v>2044</v>
      </c>
      <c r="D20" s="7" t="s">
        <v>2019</v>
      </c>
      <c r="E20" s="7" t="s">
        <v>2020</v>
      </c>
      <c r="F20" s="7" t="s">
        <v>2021</v>
      </c>
      <c r="G20" s="7" t="n">
        <v>0</v>
      </c>
      <c r="H20" s="7" t="n">
        <v>1</v>
      </c>
      <c r="I20" s="7"/>
      <c r="J20" s="7"/>
      <c r="K20" s="7"/>
      <c r="L20" s="8"/>
      <c r="M20" s="8" t="n">
        <v>5500000</v>
      </c>
      <c r="N20" s="8"/>
      <c r="O20" s="7" t="n">
        <v>0</v>
      </c>
      <c r="P20" s="7" t="n">
        <v>0</v>
      </c>
      <c r="Q20" s="8"/>
      <c r="R20" s="8"/>
      <c r="S20" s="8"/>
      <c r="T20" s="8"/>
      <c r="U20" s="7"/>
      <c r="V20" s="7" t="n">
        <v>0</v>
      </c>
      <c r="W20" s="7"/>
      <c r="X20" s="7" t="n">
        <v>5500000</v>
      </c>
      <c r="Y20" s="7"/>
      <c r="Z20" s="7"/>
    </row>
    <row r="21" customFormat="false" ht="14.25" hidden="false" customHeight="false" outlineLevel="0" collapsed="false">
      <c r="A21" s="7" t="s">
        <v>270</v>
      </c>
      <c r="B21" s="7" t="s">
        <v>2057</v>
      </c>
      <c r="C21" s="7" t="s">
        <v>2044</v>
      </c>
      <c r="D21" s="7" t="s">
        <v>2019</v>
      </c>
      <c r="E21" s="7" t="s">
        <v>2020</v>
      </c>
      <c r="F21" s="7" t="s">
        <v>2021</v>
      </c>
      <c r="G21" s="7" t="n">
        <v>0</v>
      </c>
      <c r="H21" s="7" t="n">
        <v>1</v>
      </c>
      <c r="I21" s="7"/>
      <c r="J21" s="7"/>
      <c r="K21" s="7"/>
      <c r="L21" s="8"/>
      <c r="M21" s="8" t="n">
        <v>4000000</v>
      </c>
      <c r="N21" s="8"/>
      <c r="O21" s="7" t="n">
        <v>0</v>
      </c>
      <c r="P21" s="7" t="n">
        <v>0</v>
      </c>
      <c r="Q21" s="8"/>
      <c r="R21" s="8"/>
      <c r="S21" s="8"/>
      <c r="T21" s="8"/>
      <c r="U21" s="7"/>
      <c r="V21" s="7" t="n">
        <v>0</v>
      </c>
      <c r="W21" s="7"/>
      <c r="X21" s="7" t="n">
        <v>4000000</v>
      </c>
      <c r="Y21" s="7"/>
      <c r="Z21" s="7"/>
    </row>
    <row r="22" customFormat="false" ht="14.25" hidden="false" customHeight="false" outlineLevel="0" collapsed="false">
      <c r="A22" s="7" t="s">
        <v>275</v>
      </c>
      <c r="B22" s="7" t="s">
        <v>2061</v>
      </c>
      <c r="C22" s="7" t="s">
        <v>2053</v>
      </c>
      <c r="D22" s="7" t="s">
        <v>2053</v>
      </c>
      <c r="E22" s="7" t="s">
        <v>2020</v>
      </c>
      <c r="F22" s="7" t="s">
        <v>2021</v>
      </c>
      <c r="G22" s="7" t="n">
        <v>0</v>
      </c>
      <c r="H22" s="7" t="n">
        <v>1</v>
      </c>
      <c r="I22" s="7"/>
      <c r="J22" s="7"/>
      <c r="K22" s="7"/>
      <c r="L22" s="8"/>
      <c r="M22" s="8" t="n">
        <v>180000</v>
      </c>
      <c r="N22" s="8"/>
      <c r="O22" s="7" t="n">
        <v>0</v>
      </c>
      <c r="P22" s="7" t="n">
        <v>0</v>
      </c>
      <c r="Q22" s="8"/>
      <c r="R22" s="8"/>
      <c r="S22" s="8"/>
      <c r="T22" s="8"/>
      <c r="U22" s="7"/>
      <c r="V22" s="7" t="n">
        <v>0</v>
      </c>
      <c r="W22" s="7"/>
      <c r="X22" s="7" t="n">
        <v>180000</v>
      </c>
      <c r="Y22" s="7"/>
      <c r="Z22" s="7"/>
    </row>
    <row r="23" customFormat="false" ht="14.25" hidden="false" customHeight="false" outlineLevel="0" collapsed="false">
      <c r="A23" s="7" t="s">
        <v>284</v>
      </c>
      <c r="B23" s="7" t="s">
        <v>288</v>
      </c>
      <c r="C23" s="7" t="s">
        <v>2032</v>
      </c>
      <c r="D23" s="7" t="s">
        <v>2032</v>
      </c>
      <c r="E23" s="7" t="s">
        <v>2020</v>
      </c>
      <c r="F23" s="7" t="s">
        <v>2021</v>
      </c>
      <c r="G23" s="7" t="n">
        <v>0</v>
      </c>
      <c r="H23" s="7" t="n">
        <v>1</v>
      </c>
      <c r="I23" s="7"/>
      <c r="J23" s="7"/>
      <c r="K23" s="7"/>
      <c r="L23" s="8"/>
      <c r="M23" s="8"/>
      <c r="N23" s="8"/>
      <c r="O23" s="7" t="n">
        <v>0</v>
      </c>
      <c r="P23" s="7" t="n">
        <v>0</v>
      </c>
      <c r="Q23" s="8"/>
      <c r="R23" s="8"/>
      <c r="S23" s="8"/>
      <c r="T23" s="8"/>
      <c r="U23" s="7"/>
      <c r="V23" s="7" t="n">
        <v>0</v>
      </c>
      <c r="W23" s="7"/>
      <c r="X23" s="7"/>
      <c r="Y23" s="7"/>
      <c r="Z23" s="7"/>
    </row>
    <row r="24" customFormat="false" ht="14.25" hidden="false" customHeight="false" outlineLevel="0" collapsed="false">
      <c r="A24" s="7" t="s">
        <v>284</v>
      </c>
      <c r="B24" s="7" t="s">
        <v>2062</v>
      </c>
      <c r="C24" s="7" t="s">
        <v>2063</v>
      </c>
      <c r="D24" s="7" t="s">
        <v>2050</v>
      </c>
      <c r="E24" s="7" t="s">
        <v>2020</v>
      </c>
      <c r="F24" s="7" t="s">
        <v>2021</v>
      </c>
      <c r="G24" s="7" t="n">
        <v>0</v>
      </c>
      <c r="H24" s="7" t="n">
        <v>1</v>
      </c>
      <c r="I24" s="7"/>
      <c r="J24" s="7" t="n">
        <v>2019</v>
      </c>
      <c r="K24" s="7"/>
      <c r="L24" s="8"/>
      <c r="M24" s="8"/>
      <c r="N24" s="8"/>
      <c r="O24" s="7" t="n">
        <v>0</v>
      </c>
      <c r="P24" s="7" t="n">
        <v>0</v>
      </c>
      <c r="Q24" s="8"/>
      <c r="R24" s="8"/>
      <c r="S24" s="8"/>
      <c r="T24" s="8"/>
      <c r="U24" s="7"/>
      <c r="V24" s="7" t="n">
        <v>0</v>
      </c>
      <c r="W24" s="7" t="n">
        <v>0</v>
      </c>
      <c r="X24" s="7" t="s">
        <v>2064</v>
      </c>
      <c r="Y24" s="7"/>
      <c r="Z24" s="7" t="s">
        <v>2065</v>
      </c>
    </row>
    <row r="25" customFormat="false" ht="14.25" hidden="false" customHeight="false" outlineLevel="0" collapsed="false">
      <c r="A25" s="7" t="s">
        <v>284</v>
      </c>
      <c r="B25" s="7" t="s">
        <v>2066</v>
      </c>
      <c r="C25" s="7" t="s">
        <v>2063</v>
      </c>
      <c r="D25" s="7" t="s">
        <v>2050</v>
      </c>
      <c r="E25" s="7" t="s">
        <v>2020</v>
      </c>
      <c r="F25" s="7" t="s">
        <v>2021</v>
      </c>
      <c r="G25" s="7" t="n">
        <v>0</v>
      </c>
      <c r="H25" s="7" t="n">
        <v>1</v>
      </c>
      <c r="I25" s="7"/>
      <c r="J25" s="7" t="n">
        <v>2021</v>
      </c>
      <c r="K25" s="7"/>
      <c r="L25" s="8"/>
      <c r="M25" s="8" t="n">
        <v>100000</v>
      </c>
      <c r="N25" s="8"/>
      <c r="O25" s="7" t="n">
        <v>1</v>
      </c>
      <c r="P25" s="7" t="n">
        <v>0</v>
      </c>
      <c r="Q25" s="8"/>
      <c r="R25" s="8"/>
      <c r="S25" s="8"/>
      <c r="T25" s="8"/>
      <c r="U25" s="7"/>
      <c r="V25" s="7" t="n">
        <v>0</v>
      </c>
      <c r="W25" s="7" t="n">
        <v>0</v>
      </c>
      <c r="X25" s="7" t="s">
        <v>2067</v>
      </c>
      <c r="Y25" s="7"/>
      <c r="Z25" s="7" t="s">
        <v>2068</v>
      </c>
    </row>
    <row r="26" customFormat="false" ht="14.25" hidden="false" customHeight="false" outlineLevel="0" collapsed="false">
      <c r="A26" s="7" t="s">
        <v>289</v>
      </c>
      <c r="B26" s="7" t="s">
        <v>2069</v>
      </c>
      <c r="C26" s="7" t="s">
        <v>2044</v>
      </c>
      <c r="D26" s="7" t="s">
        <v>2019</v>
      </c>
      <c r="E26" s="7" t="s">
        <v>2020</v>
      </c>
      <c r="F26" s="7" t="s">
        <v>2021</v>
      </c>
      <c r="G26" s="7" t="n">
        <v>0</v>
      </c>
      <c r="H26" s="7" t="n">
        <v>1</v>
      </c>
      <c r="I26" s="7"/>
      <c r="J26" s="7" t="n">
        <v>2023</v>
      </c>
      <c r="K26" s="7"/>
      <c r="L26" s="8"/>
      <c r="M26" s="8"/>
      <c r="N26" s="8"/>
      <c r="O26" s="7" t="n">
        <v>0</v>
      </c>
      <c r="P26" s="7" t="n">
        <v>1</v>
      </c>
      <c r="Q26" s="8" t="n">
        <v>220000</v>
      </c>
      <c r="R26" s="8"/>
      <c r="S26" s="8"/>
      <c r="T26" s="8"/>
      <c r="U26" s="7"/>
      <c r="V26" s="7" t="n">
        <v>0</v>
      </c>
      <c r="W26" s="7"/>
      <c r="X26" s="7" t="s">
        <v>2070</v>
      </c>
      <c r="Y26" s="7"/>
      <c r="Z26" s="7"/>
    </row>
    <row r="27" customFormat="false" ht="14.25" hidden="false" customHeight="false" outlineLevel="0" collapsed="false">
      <c r="A27" s="7" t="s">
        <v>289</v>
      </c>
      <c r="B27" s="7" t="s">
        <v>2071</v>
      </c>
      <c r="C27" s="7" t="s">
        <v>2044</v>
      </c>
      <c r="D27" s="7" t="s">
        <v>2019</v>
      </c>
      <c r="E27" s="7" t="s">
        <v>2020</v>
      </c>
      <c r="F27" s="7" t="s">
        <v>2021</v>
      </c>
      <c r="G27" s="7" t="n">
        <v>0</v>
      </c>
      <c r="H27" s="7" t="n">
        <v>1</v>
      </c>
      <c r="I27" s="7"/>
      <c r="J27" s="7" t="n">
        <v>2023</v>
      </c>
      <c r="K27" s="7"/>
      <c r="L27" s="8"/>
      <c r="M27" s="8"/>
      <c r="N27" s="8"/>
      <c r="O27" s="7" t="n">
        <v>0</v>
      </c>
      <c r="P27" s="7" t="n">
        <v>1</v>
      </c>
      <c r="Q27" s="8" t="n">
        <v>220000</v>
      </c>
      <c r="R27" s="8"/>
      <c r="S27" s="8"/>
      <c r="T27" s="8"/>
      <c r="U27" s="7"/>
      <c r="V27" s="7" t="n">
        <v>0</v>
      </c>
      <c r="W27" s="7"/>
      <c r="X27" s="7" t="s">
        <v>2070</v>
      </c>
      <c r="Y27" s="7"/>
      <c r="Z27" s="7"/>
    </row>
    <row r="28" customFormat="false" ht="14.25" hidden="false" customHeight="false" outlineLevel="0" collapsed="false">
      <c r="A28" s="7" t="s">
        <v>289</v>
      </c>
      <c r="B28" s="7" t="s">
        <v>2072</v>
      </c>
      <c r="C28" s="7" t="s">
        <v>2063</v>
      </c>
      <c r="D28" s="7" t="s">
        <v>2050</v>
      </c>
      <c r="E28" s="7" t="s">
        <v>2020</v>
      </c>
      <c r="F28" s="7" t="s">
        <v>2021</v>
      </c>
      <c r="G28" s="7" t="n">
        <v>0</v>
      </c>
      <c r="H28" s="7" t="n">
        <v>1</v>
      </c>
      <c r="I28" s="7"/>
      <c r="J28" s="7" t="n">
        <v>2023</v>
      </c>
      <c r="K28" s="7"/>
      <c r="L28" s="8"/>
      <c r="M28" s="8"/>
      <c r="N28" s="8"/>
      <c r="O28" s="7" t="n">
        <v>0</v>
      </c>
      <c r="P28" s="7" t="n">
        <v>1</v>
      </c>
      <c r="Q28" s="8" t="n">
        <v>220000</v>
      </c>
      <c r="R28" s="8"/>
      <c r="S28" s="8"/>
      <c r="T28" s="8"/>
      <c r="U28" s="7"/>
      <c r="V28" s="7" t="n">
        <v>0</v>
      </c>
      <c r="W28" s="7"/>
      <c r="X28" s="7" t="s">
        <v>2070</v>
      </c>
      <c r="Y28" s="7"/>
      <c r="Z28" s="7"/>
    </row>
    <row r="29" customFormat="false" ht="14.25" hidden="false" customHeight="false" outlineLevel="0" collapsed="false">
      <c r="A29" s="7" t="s">
        <v>289</v>
      </c>
      <c r="B29" s="7" t="s">
        <v>2073</v>
      </c>
      <c r="C29" s="7" t="s">
        <v>2032</v>
      </c>
      <c r="D29" s="7" t="s">
        <v>2032</v>
      </c>
      <c r="E29" s="7" t="s">
        <v>2020</v>
      </c>
      <c r="F29" s="7" t="s">
        <v>2021</v>
      </c>
      <c r="G29" s="7" t="n">
        <v>0</v>
      </c>
      <c r="H29" s="7" t="n">
        <v>1</v>
      </c>
      <c r="I29" s="7"/>
      <c r="J29" s="7" t="n">
        <v>2023</v>
      </c>
      <c r="K29" s="7"/>
      <c r="L29" s="8"/>
      <c r="M29" s="8"/>
      <c r="N29" s="8"/>
      <c r="O29" s="7" t="n">
        <v>0</v>
      </c>
      <c r="P29" s="7" t="n">
        <v>0</v>
      </c>
      <c r="Q29" s="8"/>
      <c r="R29" s="8"/>
      <c r="S29" s="8"/>
      <c r="T29" s="8"/>
      <c r="U29" s="7"/>
      <c r="V29" s="7" t="n">
        <v>0</v>
      </c>
      <c r="W29" s="7" t="n">
        <v>0</v>
      </c>
      <c r="X29" s="7"/>
      <c r="Y29" s="7"/>
      <c r="Z29" s="7" t="s">
        <v>2074</v>
      </c>
    </row>
    <row r="30" customFormat="false" ht="14.25" hidden="false" customHeight="false" outlineLevel="0" collapsed="false">
      <c r="A30" s="7" t="s">
        <v>289</v>
      </c>
      <c r="B30" s="7" t="s">
        <v>232</v>
      </c>
      <c r="C30" s="7" t="s">
        <v>2042</v>
      </c>
      <c r="D30" s="7" t="s">
        <v>2032</v>
      </c>
      <c r="E30" s="7" t="s">
        <v>2020</v>
      </c>
      <c r="F30" s="7" t="s">
        <v>2021</v>
      </c>
      <c r="G30" s="7" t="n">
        <v>0</v>
      </c>
      <c r="H30" s="7" t="n">
        <v>1</v>
      </c>
      <c r="I30" s="7"/>
      <c r="J30" s="7" t="n">
        <v>2023</v>
      </c>
      <c r="K30" s="7"/>
      <c r="L30" s="8"/>
      <c r="M30" s="8" t="n">
        <v>100000</v>
      </c>
      <c r="N30" s="8"/>
      <c r="O30" s="7" t="n">
        <v>0</v>
      </c>
      <c r="P30" s="7" t="n">
        <v>0</v>
      </c>
      <c r="Q30" s="8"/>
      <c r="R30" s="8"/>
      <c r="S30" s="8"/>
      <c r="T30" s="8"/>
      <c r="U30" s="7"/>
      <c r="V30" s="7" t="n">
        <v>0</v>
      </c>
      <c r="W30" s="7" t="n">
        <v>0</v>
      </c>
      <c r="X30" s="7" t="s">
        <v>2075</v>
      </c>
      <c r="Y30" s="7"/>
      <c r="Z30" s="7" t="s">
        <v>2076</v>
      </c>
    </row>
    <row r="31" customFormat="false" ht="14.25" hidden="false" customHeight="false" outlineLevel="0" collapsed="false">
      <c r="A31" s="7" t="s">
        <v>289</v>
      </c>
      <c r="B31" s="7" t="s">
        <v>2077</v>
      </c>
      <c r="C31" s="7" t="s">
        <v>2078</v>
      </c>
      <c r="D31" s="7" t="s">
        <v>2025</v>
      </c>
      <c r="E31" s="7" t="s">
        <v>2020</v>
      </c>
      <c r="F31" s="7" t="s">
        <v>2021</v>
      </c>
      <c r="G31" s="7" t="n">
        <v>0</v>
      </c>
      <c r="H31" s="7" t="n">
        <v>1</v>
      </c>
      <c r="I31" s="7"/>
      <c r="J31" s="7" t="n">
        <v>2024</v>
      </c>
      <c r="K31" s="7"/>
      <c r="L31" s="8"/>
      <c r="M31" s="8" t="n">
        <v>100000</v>
      </c>
      <c r="N31" s="8"/>
      <c r="O31" s="7" t="n">
        <v>0</v>
      </c>
      <c r="P31" s="7" t="n">
        <v>0</v>
      </c>
      <c r="Q31" s="8"/>
      <c r="R31" s="8"/>
      <c r="S31" s="8"/>
      <c r="T31" s="8"/>
      <c r="U31" s="7"/>
      <c r="V31" s="7" t="n">
        <v>0</v>
      </c>
      <c r="W31" s="7"/>
      <c r="X31" s="7" t="s">
        <v>2079</v>
      </c>
      <c r="Y31" s="7"/>
      <c r="Z31" s="7"/>
    </row>
    <row r="32" customFormat="false" ht="14.25" hidden="false" customHeight="false" outlineLevel="0" collapsed="false">
      <c r="A32" s="7" t="s">
        <v>295</v>
      </c>
      <c r="B32" s="7" t="s">
        <v>2058</v>
      </c>
      <c r="C32" s="7" t="s">
        <v>2059</v>
      </c>
      <c r="D32" s="7" t="s">
        <v>2056</v>
      </c>
      <c r="E32" s="7" t="s">
        <v>2020</v>
      </c>
      <c r="F32" s="7" t="s">
        <v>2021</v>
      </c>
      <c r="G32" s="7" t="n">
        <v>0</v>
      </c>
      <c r="H32" s="7" t="n">
        <v>1</v>
      </c>
      <c r="I32" s="7"/>
      <c r="J32" s="7" t="n">
        <v>2021</v>
      </c>
      <c r="K32" s="7"/>
      <c r="L32" s="8"/>
      <c r="M32" s="8"/>
      <c r="N32" s="8"/>
      <c r="O32" s="7" t="n">
        <v>0</v>
      </c>
      <c r="P32" s="7" t="n">
        <v>1</v>
      </c>
      <c r="Q32" s="8" t="n">
        <v>1750000</v>
      </c>
      <c r="R32" s="8"/>
      <c r="S32" s="8"/>
      <c r="T32" s="8"/>
      <c r="U32" s="7"/>
      <c r="V32" s="7" t="n">
        <v>0</v>
      </c>
      <c r="W32" s="7"/>
      <c r="X32" s="7" t="s">
        <v>2080</v>
      </c>
      <c r="Y32" s="7"/>
      <c r="Z32" s="7"/>
    </row>
    <row r="33" customFormat="false" ht="14.25" hidden="false" customHeight="false" outlineLevel="0" collapsed="false">
      <c r="A33" s="7" t="s">
        <v>302</v>
      </c>
      <c r="B33" s="7" t="s">
        <v>288</v>
      </c>
      <c r="C33" s="7" t="s">
        <v>2032</v>
      </c>
      <c r="D33" s="7" t="s">
        <v>2032</v>
      </c>
      <c r="E33" s="7" t="s">
        <v>2020</v>
      </c>
      <c r="F33" s="7" t="s">
        <v>2021</v>
      </c>
      <c r="G33" s="7" t="n">
        <v>0</v>
      </c>
      <c r="H33" s="7" t="n">
        <v>1</v>
      </c>
      <c r="I33" s="7"/>
      <c r="J33" s="7"/>
      <c r="K33" s="7"/>
      <c r="L33" s="8"/>
      <c r="M33" s="8"/>
      <c r="N33" s="8"/>
      <c r="O33" s="7" t="n">
        <v>0</v>
      </c>
      <c r="P33" s="7" t="n">
        <v>0</v>
      </c>
      <c r="Q33" s="8"/>
      <c r="R33" s="8"/>
      <c r="S33" s="8"/>
      <c r="T33" s="8"/>
      <c r="U33" s="7"/>
      <c r="V33" s="7" t="n">
        <v>0</v>
      </c>
      <c r="W33" s="7"/>
      <c r="X33" s="7"/>
      <c r="Y33" s="7"/>
      <c r="Z33" s="7"/>
    </row>
    <row r="34" customFormat="false" ht="14.25" hidden="false" customHeight="false" outlineLevel="0" collapsed="false">
      <c r="A34" s="7" t="s">
        <v>302</v>
      </c>
      <c r="B34" s="7" t="s">
        <v>2081</v>
      </c>
      <c r="C34" s="7" t="s">
        <v>2082</v>
      </c>
      <c r="D34" s="7" t="s">
        <v>2056</v>
      </c>
      <c r="E34" s="7" t="s">
        <v>2020</v>
      </c>
      <c r="F34" s="7" t="s">
        <v>2021</v>
      </c>
      <c r="G34" s="7" t="n">
        <v>0</v>
      </c>
      <c r="H34" s="7" t="n">
        <v>1</v>
      </c>
      <c r="I34" s="7"/>
      <c r="J34" s="7"/>
      <c r="K34" s="7"/>
      <c r="L34" s="8"/>
      <c r="M34" s="8"/>
      <c r="N34" s="8"/>
      <c r="O34" s="7" t="n">
        <v>0</v>
      </c>
      <c r="P34" s="7" t="n">
        <v>0</v>
      </c>
      <c r="Q34" s="8"/>
      <c r="R34" s="8"/>
      <c r="S34" s="8"/>
      <c r="T34" s="8"/>
      <c r="U34" s="7"/>
      <c r="V34" s="7" t="n">
        <v>0</v>
      </c>
      <c r="W34" s="7"/>
      <c r="X34" s="7"/>
      <c r="Y34" s="7"/>
      <c r="Z34" s="7"/>
    </row>
    <row r="35" customFormat="false" ht="14.25" hidden="false" customHeight="false" outlineLevel="0" collapsed="false">
      <c r="A35" s="7" t="s">
        <v>302</v>
      </c>
      <c r="B35" s="7" t="s">
        <v>2083</v>
      </c>
      <c r="C35" s="7" t="s">
        <v>2084</v>
      </c>
      <c r="D35" s="7" t="s">
        <v>2025</v>
      </c>
      <c r="E35" s="7" t="s">
        <v>2020</v>
      </c>
      <c r="F35" s="7" t="s">
        <v>2021</v>
      </c>
      <c r="G35" s="7" t="n">
        <v>0</v>
      </c>
      <c r="H35" s="7" t="n">
        <v>1</v>
      </c>
      <c r="I35" s="7"/>
      <c r="J35" s="7"/>
      <c r="K35" s="7"/>
      <c r="L35" s="8"/>
      <c r="M35" s="8"/>
      <c r="N35" s="8"/>
      <c r="O35" s="7" t="n">
        <v>0</v>
      </c>
      <c r="P35" s="7" t="n">
        <v>0</v>
      </c>
      <c r="Q35" s="8"/>
      <c r="R35" s="8"/>
      <c r="S35" s="8"/>
      <c r="T35" s="8"/>
      <c r="U35" s="7"/>
      <c r="V35" s="7" t="n">
        <v>0</v>
      </c>
      <c r="W35" s="7"/>
      <c r="X35" s="7"/>
      <c r="Y35" s="7"/>
      <c r="Z35" s="7"/>
    </row>
    <row r="36" customFormat="false" ht="14.25" hidden="false" customHeight="false" outlineLevel="0" collapsed="false">
      <c r="A36" s="7" t="s">
        <v>310</v>
      </c>
      <c r="B36" s="7" t="s">
        <v>288</v>
      </c>
      <c r="C36" s="7" t="s">
        <v>2032</v>
      </c>
      <c r="D36" s="7" t="s">
        <v>2032</v>
      </c>
      <c r="E36" s="7" t="s">
        <v>2020</v>
      </c>
      <c r="F36" s="7" t="s">
        <v>2021</v>
      </c>
      <c r="G36" s="7" t="n">
        <v>0</v>
      </c>
      <c r="H36" s="7" t="n">
        <v>1</v>
      </c>
      <c r="I36" s="7"/>
      <c r="J36" s="7"/>
      <c r="K36" s="7"/>
      <c r="L36" s="8"/>
      <c r="M36" s="8"/>
      <c r="N36" s="8"/>
      <c r="O36" s="7" t="n">
        <v>0</v>
      </c>
      <c r="P36" s="7" t="n">
        <v>0</v>
      </c>
      <c r="Q36" s="8"/>
      <c r="R36" s="8"/>
      <c r="S36" s="8"/>
      <c r="T36" s="8"/>
      <c r="U36" s="7"/>
      <c r="V36" s="7" t="n">
        <v>0</v>
      </c>
      <c r="W36" s="7"/>
      <c r="X36" s="7"/>
      <c r="Y36" s="7"/>
      <c r="Z36" s="7"/>
    </row>
    <row r="37" customFormat="false" ht="14.25" hidden="false" customHeight="false" outlineLevel="0" collapsed="false">
      <c r="A37" s="7" t="s">
        <v>314</v>
      </c>
      <c r="B37" s="7" t="s">
        <v>232</v>
      </c>
      <c r="C37" s="7" t="s">
        <v>2032</v>
      </c>
      <c r="D37" s="7" t="s">
        <v>2032</v>
      </c>
      <c r="E37" s="7" t="s">
        <v>2020</v>
      </c>
      <c r="F37" s="7" t="s">
        <v>2021</v>
      </c>
      <c r="G37" s="7" t="n">
        <v>0</v>
      </c>
      <c r="H37" s="7" t="n">
        <v>1</v>
      </c>
      <c r="I37" s="7"/>
      <c r="J37" s="7"/>
      <c r="K37" s="7"/>
      <c r="L37" s="8"/>
      <c r="M37" s="8"/>
      <c r="N37" s="8"/>
      <c r="O37" s="7" t="n">
        <v>0</v>
      </c>
      <c r="P37" s="7" t="n">
        <v>0</v>
      </c>
      <c r="Q37" s="8"/>
      <c r="R37" s="8"/>
      <c r="S37" s="8"/>
      <c r="T37" s="8"/>
      <c r="U37" s="7"/>
      <c r="V37" s="7" t="n">
        <v>0</v>
      </c>
      <c r="W37" s="7"/>
      <c r="X37" s="7"/>
      <c r="Y37" s="7"/>
      <c r="Z37" s="7"/>
    </row>
    <row r="38" customFormat="false" ht="14.25" hidden="false" customHeight="false" outlineLevel="0" collapsed="false">
      <c r="A38" s="7" t="s">
        <v>314</v>
      </c>
      <c r="B38" s="7" t="s">
        <v>2085</v>
      </c>
      <c r="C38" s="7" t="s">
        <v>2044</v>
      </c>
      <c r="D38" s="7" t="s">
        <v>2019</v>
      </c>
      <c r="E38" s="7" t="s">
        <v>2020</v>
      </c>
      <c r="F38" s="7" t="s">
        <v>2021</v>
      </c>
      <c r="G38" s="7" t="n">
        <v>0</v>
      </c>
      <c r="H38" s="7" t="n">
        <v>1</v>
      </c>
      <c r="I38" s="7"/>
      <c r="J38" s="7"/>
      <c r="K38" s="7"/>
      <c r="L38" s="8"/>
      <c r="M38" s="8"/>
      <c r="N38" s="8"/>
      <c r="O38" s="7" t="n">
        <v>0</v>
      </c>
      <c r="P38" s="7" t="n">
        <v>1</v>
      </c>
      <c r="Q38" s="8" t="n">
        <v>170000</v>
      </c>
      <c r="R38" s="8"/>
      <c r="S38" s="8"/>
      <c r="T38" s="8"/>
      <c r="U38" s="7"/>
      <c r="V38" s="7" t="n">
        <v>0</v>
      </c>
      <c r="W38" s="7"/>
      <c r="X38" s="7" t="s">
        <v>2086</v>
      </c>
      <c r="Y38" s="7"/>
      <c r="Z38" s="7"/>
    </row>
    <row r="39" customFormat="false" ht="14.25" hidden="false" customHeight="false" outlineLevel="0" collapsed="false">
      <c r="A39" s="7" t="s">
        <v>314</v>
      </c>
      <c r="B39" s="7" t="s">
        <v>2087</v>
      </c>
      <c r="C39" s="7" t="s">
        <v>2044</v>
      </c>
      <c r="D39" s="7" t="s">
        <v>2019</v>
      </c>
      <c r="E39" s="7" t="s">
        <v>2020</v>
      </c>
      <c r="F39" s="7" t="s">
        <v>2021</v>
      </c>
      <c r="G39" s="7" t="n">
        <v>0</v>
      </c>
      <c r="H39" s="7" t="n">
        <v>1</v>
      </c>
      <c r="I39" s="7"/>
      <c r="J39" s="7"/>
      <c r="K39" s="7"/>
      <c r="L39" s="8"/>
      <c r="M39" s="8"/>
      <c r="N39" s="8"/>
      <c r="O39" s="7" t="n">
        <v>0</v>
      </c>
      <c r="P39" s="7" t="n">
        <v>1</v>
      </c>
      <c r="Q39" s="8" t="n">
        <v>170000</v>
      </c>
      <c r="R39" s="8"/>
      <c r="S39" s="8"/>
      <c r="T39" s="8"/>
      <c r="U39" s="7"/>
      <c r="V39" s="7" t="n">
        <v>0</v>
      </c>
      <c r="W39" s="7"/>
      <c r="X39" s="7" t="s">
        <v>2086</v>
      </c>
      <c r="Y39" s="7"/>
      <c r="Z39" s="7"/>
    </row>
    <row r="40" customFormat="false" ht="14.25" hidden="false" customHeight="false" outlineLevel="0" collapsed="false">
      <c r="A40" s="7" t="s">
        <v>325</v>
      </c>
      <c r="B40" s="7" t="s">
        <v>2088</v>
      </c>
      <c r="C40" s="7" t="s">
        <v>2044</v>
      </c>
      <c r="D40" s="7" t="s">
        <v>2019</v>
      </c>
      <c r="E40" s="7" t="s">
        <v>2020</v>
      </c>
      <c r="F40" s="7" t="s">
        <v>2021</v>
      </c>
      <c r="G40" s="7" t="n">
        <v>0</v>
      </c>
      <c r="H40" s="7" t="n">
        <v>1</v>
      </c>
      <c r="I40" s="7"/>
      <c r="J40" s="7" t="n">
        <v>2021</v>
      </c>
      <c r="K40" s="7"/>
      <c r="L40" s="8"/>
      <c r="M40" s="8" t="n">
        <v>10600000</v>
      </c>
      <c r="N40" s="8"/>
      <c r="O40" s="7" t="n">
        <v>0</v>
      </c>
      <c r="P40" s="7" t="n">
        <v>0</v>
      </c>
      <c r="Q40" s="8"/>
      <c r="R40" s="8"/>
      <c r="S40" s="8"/>
      <c r="T40" s="8"/>
      <c r="U40" s="7"/>
      <c r="V40" s="7" t="n">
        <v>0</v>
      </c>
      <c r="W40" s="7"/>
      <c r="X40" s="7" t="s">
        <v>2089</v>
      </c>
      <c r="Y40" s="7"/>
      <c r="Z40" s="7"/>
    </row>
    <row r="41" customFormat="false" ht="14.25" hidden="false" customHeight="false" outlineLevel="0" collapsed="false">
      <c r="A41" s="7" t="s">
        <v>325</v>
      </c>
      <c r="B41" s="7" t="s">
        <v>2090</v>
      </c>
      <c r="C41" s="7" t="s">
        <v>2044</v>
      </c>
      <c r="D41" s="7" t="s">
        <v>2019</v>
      </c>
      <c r="E41" s="7" t="s">
        <v>2020</v>
      </c>
      <c r="F41" s="7" t="s">
        <v>2091</v>
      </c>
      <c r="G41" s="7" t="n">
        <v>0</v>
      </c>
      <c r="H41" s="7"/>
      <c r="I41" s="7"/>
      <c r="J41" s="7" t="n">
        <v>2022</v>
      </c>
      <c r="K41" s="7"/>
      <c r="L41" s="8" t="n">
        <v>15000000</v>
      </c>
      <c r="M41" s="8"/>
      <c r="N41" s="8"/>
      <c r="O41" s="7" t="n">
        <v>0</v>
      </c>
      <c r="P41" s="7" t="n">
        <v>0</v>
      </c>
      <c r="Q41" s="8"/>
      <c r="R41" s="8"/>
      <c r="S41" s="8"/>
      <c r="T41" s="8"/>
      <c r="U41" s="7"/>
      <c r="V41" s="7" t="n">
        <v>0</v>
      </c>
      <c r="W41" s="7" t="n">
        <v>0</v>
      </c>
      <c r="X41" s="7"/>
      <c r="Y41" s="7"/>
      <c r="Z41" s="7" t="s">
        <v>2092</v>
      </c>
    </row>
    <row r="42" customFormat="false" ht="14.25" hidden="false" customHeight="false" outlineLevel="0" collapsed="false">
      <c r="A42" s="7" t="s">
        <v>330</v>
      </c>
      <c r="B42" s="7" t="s">
        <v>288</v>
      </c>
      <c r="C42" s="7" t="s">
        <v>2032</v>
      </c>
      <c r="D42" s="7" t="s">
        <v>2032</v>
      </c>
      <c r="E42" s="7" t="s">
        <v>2020</v>
      </c>
      <c r="F42" s="7" t="s">
        <v>2021</v>
      </c>
      <c r="G42" s="7" t="n">
        <v>0</v>
      </c>
      <c r="H42" s="7" t="n">
        <v>1</v>
      </c>
      <c r="I42" s="7"/>
      <c r="J42" s="7"/>
      <c r="K42" s="7"/>
      <c r="L42" s="8"/>
      <c r="M42" s="8"/>
      <c r="N42" s="8"/>
      <c r="O42" s="7" t="n">
        <v>0</v>
      </c>
      <c r="P42" s="7" t="n">
        <v>0</v>
      </c>
      <c r="Q42" s="8"/>
      <c r="R42" s="8"/>
      <c r="S42" s="8"/>
      <c r="T42" s="8"/>
      <c r="U42" s="7"/>
      <c r="V42" s="7" t="n">
        <v>0</v>
      </c>
      <c r="W42" s="7"/>
      <c r="X42" s="7"/>
      <c r="Y42" s="7"/>
      <c r="Z42" s="7"/>
    </row>
    <row r="43" customFormat="false" ht="14.25" hidden="false" customHeight="false" outlineLevel="0" collapsed="false">
      <c r="A43" s="7" t="s">
        <v>334</v>
      </c>
      <c r="B43" s="7" t="s">
        <v>2093</v>
      </c>
      <c r="C43" s="7" t="s">
        <v>2044</v>
      </c>
      <c r="D43" s="7" t="s">
        <v>2019</v>
      </c>
      <c r="E43" s="7" t="s">
        <v>2020</v>
      </c>
      <c r="F43" s="7" t="s">
        <v>2021</v>
      </c>
      <c r="G43" s="7" t="n">
        <v>0</v>
      </c>
      <c r="H43" s="7" t="n">
        <v>1</v>
      </c>
      <c r="I43" s="7"/>
      <c r="J43" s="7" t="n">
        <v>2021</v>
      </c>
      <c r="K43" s="7"/>
      <c r="L43" s="8"/>
      <c r="M43" s="8"/>
      <c r="N43" s="8"/>
      <c r="O43" s="7" t="n">
        <v>0</v>
      </c>
      <c r="P43" s="7" t="n">
        <v>1</v>
      </c>
      <c r="Q43" s="8" t="n">
        <v>200000</v>
      </c>
      <c r="R43" s="8"/>
      <c r="S43" s="8"/>
      <c r="T43" s="8"/>
      <c r="U43" s="7"/>
      <c r="V43" s="7" t="n">
        <v>0</v>
      </c>
      <c r="W43" s="7"/>
      <c r="X43" s="7" t="s">
        <v>2094</v>
      </c>
      <c r="Y43" s="7"/>
      <c r="Z43" s="7"/>
    </row>
    <row r="44" customFormat="false" ht="14.25" hidden="false" customHeight="false" outlineLevel="0" collapsed="false">
      <c r="A44" s="7" t="s">
        <v>334</v>
      </c>
      <c r="B44" s="7" t="s">
        <v>2095</v>
      </c>
      <c r="C44" s="7" t="s">
        <v>2063</v>
      </c>
      <c r="D44" s="7" t="s">
        <v>2050</v>
      </c>
      <c r="E44" s="7" t="s">
        <v>2020</v>
      </c>
      <c r="F44" s="7" t="s">
        <v>2021</v>
      </c>
      <c r="G44" s="7" t="n">
        <v>0</v>
      </c>
      <c r="H44" s="7" t="n">
        <v>1</v>
      </c>
      <c r="I44" s="7"/>
      <c r="J44" s="7" t="n">
        <v>2021</v>
      </c>
      <c r="K44" s="7"/>
      <c r="L44" s="8"/>
      <c r="M44" s="8"/>
      <c r="N44" s="8"/>
      <c r="O44" s="7" t="n">
        <v>0</v>
      </c>
      <c r="P44" s="7" t="n">
        <v>1</v>
      </c>
      <c r="Q44" s="8" t="n">
        <v>200000</v>
      </c>
      <c r="R44" s="8"/>
      <c r="S44" s="8"/>
      <c r="T44" s="8"/>
      <c r="U44" s="7"/>
      <c r="V44" s="7" t="n">
        <v>0</v>
      </c>
      <c r="W44" s="7" t="n">
        <v>0</v>
      </c>
      <c r="X44" s="7" t="s">
        <v>2094</v>
      </c>
      <c r="Y44" s="7"/>
      <c r="Z44" s="7" t="s">
        <v>2096</v>
      </c>
    </row>
    <row r="45" customFormat="false" ht="14.25" hidden="false" customHeight="false" outlineLevel="0" collapsed="false">
      <c r="A45" s="7" t="s">
        <v>334</v>
      </c>
      <c r="B45" s="7" t="s">
        <v>2097</v>
      </c>
      <c r="C45" s="7" t="s">
        <v>2042</v>
      </c>
      <c r="D45" s="7" t="s">
        <v>2032</v>
      </c>
      <c r="E45" s="7" t="s">
        <v>2020</v>
      </c>
      <c r="F45" s="7" t="s">
        <v>2021</v>
      </c>
      <c r="G45" s="7" t="n">
        <v>0</v>
      </c>
      <c r="H45" s="7" t="n">
        <v>1</v>
      </c>
      <c r="I45" s="7"/>
      <c r="J45" s="7" t="n">
        <v>2022</v>
      </c>
      <c r="K45" s="7"/>
      <c r="L45" s="8"/>
      <c r="M45" s="8"/>
      <c r="N45" s="8"/>
      <c r="O45" s="7" t="n">
        <v>0</v>
      </c>
      <c r="P45" s="7" t="n">
        <v>1</v>
      </c>
      <c r="Q45" s="8" t="n">
        <v>1300000</v>
      </c>
      <c r="R45" s="8"/>
      <c r="S45" s="8"/>
      <c r="T45" s="8"/>
      <c r="U45" s="7"/>
      <c r="V45" s="7" t="n">
        <v>0</v>
      </c>
      <c r="W45" s="7" t="n">
        <v>0</v>
      </c>
      <c r="X45" s="7" t="s">
        <v>2098</v>
      </c>
      <c r="Y45" s="7"/>
      <c r="Z45" s="7" t="s">
        <v>2099</v>
      </c>
    </row>
    <row r="46" customFormat="false" ht="14.25" hidden="false" customHeight="false" outlineLevel="0" collapsed="false">
      <c r="A46" s="7" t="s">
        <v>334</v>
      </c>
      <c r="B46" s="7" t="s">
        <v>2100</v>
      </c>
      <c r="C46" s="7" t="s">
        <v>2101</v>
      </c>
      <c r="D46" s="7" t="s">
        <v>2050</v>
      </c>
      <c r="E46" s="7" t="s">
        <v>2020</v>
      </c>
      <c r="F46" s="7" t="s">
        <v>2021</v>
      </c>
      <c r="G46" s="7" t="n">
        <v>0</v>
      </c>
      <c r="H46" s="7" t="n">
        <v>1</v>
      </c>
      <c r="I46" s="7"/>
      <c r="J46" s="7" t="n">
        <v>2022</v>
      </c>
      <c r="K46" s="7"/>
      <c r="L46" s="8"/>
      <c r="M46" s="8"/>
      <c r="N46" s="8"/>
      <c r="O46" s="7" t="n">
        <v>0</v>
      </c>
      <c r="P46" s="7" t="n">
        <v>1</v>
      </c>
      <c r="Q46" s="8" t="n">
        <v>1300000</v>
      </c>
      <c r="R46" s="8"/>
      <c r="S46" s="8"/>
      <c r="T46" s="8"/>
      <c r="U46" s="7"/>
      <c r="V46" s="7" t="n">
        <v>0</v>
      </c>
      <c r="W46" s="7"/>
      <c r="X46" s="7" t="s">
        <v>2098</v>
      </c>
      <c r="Y46" s="7"/>
      <c r="Z46" s="7"/>
    </row>
    <row r="47" customFormat="false" ht="14.25" hidden="false" customHeight="false" outlineLevel="0" collapsed="false">
      <c r="A47" s="7" t="s">
        <v>334</v>
      </c>
      <c r="B47" s="7" t="s">
        <v>2102</v>
      </c>
      <c r="C47" s="7" t="s">
        <v>2044</v>
      </c>
      <c r="D47" s="7" t="s">
        <v>2019</v>
      </c>
      <c r="E47" s="7" t="s">
        <v>2020</v>
      </c>
      <c r="F47" s="7" t="s">
        <v>2021</v>
      </c>
      <c r="G47" s="7" t="n">
        <v>0</v>
      </c>
      <c r="H47" s="7" t="n">
        <v>1</v>
      </c>
      <c r="I47" s="7"/>
      <c r="J47" s="7" t="n">
        <v>2023</v>
      </c>
      <c r="K47" s="7"/>
      <c r="L47" s="8"/>
      <c r="M47" s="8" t="n">
        <v>4000000</v>
      </c>
      <c r="N47" s="8"/>
      <c r="O47" s="7" t="n">
        <v>0</v>
      </c>
      <c r="P47" s="7" t="n">
        <v>0</v>
      </c>
      <c r="Q47" s="8" t="n">
        <v>5500000</v>
      </c>
      <c r="R47" s="8"/>
      <c r="S47" s="8"/>
      <c r="T47" s="8"/>
      <c r="U47" s="7"/>
      <c r="V47" s="7" t="n">
        <v>0</v>
      </c>
      <c r="W47" s="7" t="n">
        <v>0</v>
      </c>
      <c r="X47" s="7" t="s">
        <v>2103</v>
      </c>
      <c r="Y47" s="7"/>
      <c r="Z47" s="7" t="s">
        <v>2104</v>
      </c>
    </row>
    <row r="48" customFormat="false" ht="14.25" hidden="false" customHeight="false" outlineLevel="0" collapsed="false">
      <c r="A48" s="7" t="s">
        <v>339</v>
      </c>
      <c r="B48" s="7" t="s">
        <v>232</v>
      </c>
      <c r="C48" s="7" t="s">
        <v>2032</v>
      </c>
      <c r="D48" s="7" t="s">
        <v>2032</v>
      </c>
      <c r="E48" s="7" t="s">
        <v>2020</v>
      </c>
      <c r="F48" s="7" t="s">
        <v>2021</v>
      </c>
      <c r="G48" s="7" t="n">
        <v>0</v>
      </c>
      <c r="H48" s="7" t="n">
        <v>1</v>
      </c>
      <c r="I48" s="7"/>
      <c r="J48" s="7"/>
      <c r="K48" s="7"/>
      <c r="L48" s="8"/>
      <c r="M48" s="8"/>
      <c r="N48" s="8"/>
      <c r="O48" s="7" t="n">
        <v>0</v>
      </c>
      <c r="P48" s="7" t="n">
        <v>0</v>
      </c>
      <c r="Q48" s="8"/>
      <c r="R48" s="8"/>
      <c r="S48" s="8"/>
      <c r="T48" s="8"/>
      <c r="U48" s="7"/>
      <c r="V48" s="7" t="n">
        <v>0</v>
      </c>
      <c r="W48" s="7"/>
      <c r="X48" s="7"/>
      <c r="Y48" s="7"/>
      <c r="Z48" s="7"/>
    </row>
    <row r="49" customFormat="false" ht="14.25" hidden="false" customHeight="false" outlineLevel="0" collapsed="false">
      <c r="A49" s="7" t="s">
        <v>339</v>
      </c>
      <c r="B49" s="7" t="s">
        <v>2105</v>
      </c>
      <c r="C49" s="7" t="s">
        <v>2106</v>
      </c>
      <c r="D49" s="7" t="s">
        <v>2025</v>
      </c>
      <c r="E49" s="7" t="s">
        <v>2020</v>
      </c>
      <c r="F49" s="7" t="s">
        <v>2021</v>
      </c>
      <c r="G49" s="7" t="n">
        <v>0</v>
      </c>
      <c r="H49" s="7" t="n">
        <v>1</v>
      </c>
      <c r="I49" s="7"/>
      <c r="J49" s="7" t="n">
        <v>2023</v>
      </c>
      <c r="K49" s="7"/>
      <c r="L49" s="8"/>
      <c r="M49" s="8" t="n">
        <v>108000</v>
      </c>
      <c r="N49" s="8"/>
      <c r="O49" s="7" t="n">
        <v>0</v>
      </c>
      <c r="P49" s="7" t="n">
        <v>0</v>
      </c>
      <c r="Q49" s="8"/>
      <c r="R49" s="8"/>
      <c r="S49" s="8"/>
      <c r="T49" s="8"/>
      <c r="U49" s="7"/>
      <c r="V49" s="7" t="n">
        <v>0</v>
      </c>
      <c r="W49" s="7"/>
      <c r="X49" s="7" t="s">
        <v>2107</v>
      </c>
      <c r="Y49" s="7"/>
      <c r="Z49" s="7"/>
    </row>
    <row r="50" customFormat="false" ht="14.25" hidden="false" customHeight="false" outlineLevel="0" collapsed="false">
      <c r="A50" s="7" t="s">
        <v>339</v>
      </c>
      <c r="B50" s="7" t="s">
        <v>2108</v>
      </c>
      <c r="C50" s="7" t="s">
        <v>2109</v>
      </c>
      <c r="D50" s="7" t="s">
        <v>2025</v>
      </c>
      <c r="E50" s="7" t="s">
        <v>2020</v>
      </c>
      <c r="F50" s="7" t="s">
        <v>2021</v>
      </c>
      <c r="G50" s="7" t="n">
        <v>0</v>
      </c>
      <c r="H50" s="7" t="n">
        <v>1</v>
      </c>
      <c r="I50" s="7"/>
      <c r="J50" s="7" t="n">
        <v>2017</v>
      </c>
      <c r="K50" s="7"/>
      <c r="L50" s="8"/>
      <c r="M50" s="8"/>
      <c r="N50" s="8"/>
      <c r="O50" s="7" t="n">
        <v>0</v>
      </c>
      <c r="P50" s="7" t="n">
        <v>0</v>
      </c>
      <c r="Q50" s="8"/>
      <c r="R50" s="8"/>
      <c r="S50" s="8"/>
      <c r="T50" s="8"/>
      <c r="U50" s="7"/>
      <c r="V50" s="7" t="n">
        <v>0</v>
      </c>
      <c r="W50" s="7"/>
      <c r="X50" s="7" t="s">
        <v>2110</v>
      </c>
      <c r="Y50" s="7"/>
      <c r="Z50" s="7"/>
    </row>
    <row r="51" customFormat="false" ht="14.25" hidden="false" customHeight="false" outlineLevel="0" collapsed="false">
      <c r="A51" s="7" t="s">
        <v>344</v>
      </c>
      <c r="B51" s="7" t="s">
        <v>2111</v>
      </c>
      <c r="C51" s="7" t="s">
        <v>2032</v>
      </c>
      <c r="D51" s="7" t="s">
        <v>2032</v>
      </c>
      <c r="E51" s="7" t="s">
        <v>2020</v>
      </c>
      <c r="F51" s="7" t="s">
        <v>2021</v>
      </c>
      <c r="G51" s="7" t="n">
        <v>0</v>
      </c>
      <c r="H51" s="7" t="n">
        <v>1</v>
      </c>
      <c r="I51" s="7"/>
      <c r="J51" s="7" t="n">
        <v>2017</v>
      </c>
      <c r="K51" s="7"/>
      <c r="L51" s="8"/>
      <c r="M51" s="8"/>
      <c r="N51" s="8"/>
      <c r="O51" s="7" t="n">
        <v>0</v>
      </c>
      <c r="P51" s="7" t="n">
        <v>0</v>
      </c>
      <c r="Q51" s="8"/>
      <c r="R51" s="8"/>
      <c r="S51" s="8"/>
      <c r="T51" s="8"/>
      <c r="U51" s="7"/>
      <c r="V51" s="7" t="n">
        <v>0</v>
      </c>
      <c r="W51" s="7" t="n">
        <v>0</v>
      </c>
      <c r="X51" s="7"/>
      <c r="Y51" s="7"/>
      <c r="Z51" s="7" t="s">
        <v>2112</v>
      </c>
    </row>
    <row r="52" customFormat="false" ht="14.25" hidden="false" customHeight="false" outlineLevel="0" collapsed="false">
      <c r="A52" s="7" t="s">
        <v>344</v>
      </c>
      <c r="B52" s="7" t="s">
        <v>2113</v>
      </c>
      <c r="C52" s="7" t="s">
        <v>2032</v>
      </c>
      <c r="D52" s="7" t="s">
        <v>2032</v>
      </c>
      <c r="E52" s="7" t="s">
        <v>2020</v>
      </c>
      <c r="F52" s="7" t="s">
        <v>2021</v>
      </c>
      <c r="G52" s="7" t="n">
        <v>0</v>
      </c>
      <c r="H52" s="7" t="n">
        <v>1</v>
      </c>
      <c r="I52" s="7"/>
      <c r="J52" s="7"/>
      <c r="K52" s="7"/>
      <c r="L52" s="8"/>
      <c r="M52" s="8"/>
      <c r="N52" s="8"/>
      <c r="O52" s="7" t="n">
        <v>0</v>
      </c>
      <c r="P52" s="7" t="n">
        <v>0</v>
      </c>
      <c r="Q52" s="8"/>
      <c r="R52" s="8"/>
      <c r="S52" s="8"/>
      <c r="T52" s="8"/>
      <c r="U52" s="7"/>
      <c r="V52" s="7" t="n">
        <v>0</v>
      </c>
      <c r="W52" s="7"/>
      <c r="X52" s="7"/>
      <c r="Y52" s="7"/>
      <c r="Z52" s="7"/>
    </row>
    <row r="53" customFormat="false" ht="14.25" hidden="false" customHeight="false" outlineLevel="0" collapsed="false">
      <c r="A53" s="7" t="s">
        <v>344</v>
      </c>
      <c r="B53" s="7" t="s">
        <v>2114</v>
      </c>
      <c r="C53" s="7" t="s">
        <v>2115</v>
      </c>
      <c r="D53" s="7" t="s">
        <v>2025</v>
      </c>
      <c r="E53" s="7" t="s">
        <v>2020</v>
      </c>
      <c r="F53" s="7" t="s">
        <v>2021</v>
      </c>
      <c r="G53" s="7" t="n">
        <v>0</v>
      </c>
      <c r="H53" s="7" t="n">
        <v>1</v>
      </c>
      <c r="I53" s="7"/>
      <c r="J53" s="7" t="n">
        <v>2017</v>
      </c>
      <c r="K53" s="7"/>
      <c r="L53" s="8"/>
      <c r="M53" s="8"/>
      <c r="N53" s="8"/>
      <c r="O53" s="7" t="n">
        <v>0</v>
      </c>
      <c r="P53" s="7" t="n">
        <v>0</v>
      </c>
      <c r="Q53" s="8"/>
      <c r="R53" s="8"/>
      <c r="S53" s="8"/>
      <c r="T53" s="8"/>
      <c r="U53" s="7"/>
      <c r="V53" s="7" t="n">
        <v>0</v>
      </c>
      <c r="W53" s="7"/>
      <c r="X53" s="7" t="s">
        <v>2110</v>
      </c>
      <c r="Y53" s="7"/>
      <c r="Z53" s="7"/>
    </row>
    <row r="54" customFormat="false" ht="14.25" hidden="false" customHeight="false" outlineLevel="0" collapsed="false">
      <c r="A54" s="7" t="s">
        <v>344</v>
      </c>
      <c r="B54" s="7" t="s">
        <v>2116</v>
      </c>
      <c r="C54" s="7" t="s">
        <v>2044</v>
      </c>
      <c r="D54" s="7" t="s">
        <v>2019</v>
      </c>
      <c r="E54" s="7" t="s">
        <v>2020</v>
      </c>
      <c r="F54" s="7" t="s">
        <v>2021</v>
      </c>
      <c r="G54" s="7" t="n">
        <v>0</v>
      </c>
      <c r="H54" s="7" t="n">
        <v>1</v>
      </c>
      <c r="I54" s="7"/>
      <c r="J54" s="7" t="n">
        <v>2021</v>
      </c>
      <c r="K54" s="7"/>
      <c r="L54" s="8"/>
      <c r="M54" s="8"/>
      <c r="N54" s="8"/>
      <c r="O54" s="7" t="n">
        <v>0</v>
      </c>
      <c r="P54" s="7" t="n">
        <v>1</v>
      </c>
      <c r="Q54" s="8" t="n">
        <v>2200000</v>
      </c>
      <c r="R54" s="8"/>
      <c r="S54" s="8"/>
      <c r="T54" s="8"/>
      <c r="U54" s="7"/>
      <c r="V54" s="7" t="n">
        <v>0</v>
      </c>
      <c r="W54" s="7" t="n">
        <v>0</v>
      </c>
      <c r="X54" s="7" t="s">
        <v>2117</v>
      </c>
      <c r="Y54" s="7"/>
      <c r="Z54" s="7" t="s">
        <v>2118</v>
      </c>
    </row>
    <row r="55" customFormat="false" ht="14.25" hidden="false" customHeight="false" outlineLevel="0" collapsed="false">
      <c r="A55" s="7" t="s">
        <v>344</v>
      </c>
      <c r="B55" s="7" t="s">
        <v>2027</v>
      </c>
      <c r="C55" s="7" t="s">
        <v>2119</v>
      </c>
      <c r="D55" s="7" t="s">
        <v>2047</v>
      </c>
      <c r="E55" s="7" t="s">
        <v>2020</v>
      </c>
      <c r="F55" s="7" t="s">
        <v>2021</v>
      </c>
      <c r="G55" s="7" t="n">
        <v>0</v>
      </c>
      <c r="H55" s="7" t="n">
        <v>1</v>
      </c>
      <c r="I55" s="7"/>
      <c r="J55" s="7" t="n">
        <v>2021</v>
      </c>
      <c r="K55" s="7"/>
      <c r="L55" s="8"/>
      <c r="M55" s="8"/>
      <c r="N55" s="8"/>
      <c r="O55" s="7" t="n">
        <v>0</v>
      </c>
      <c r="P55" s="7" t="n">
        <v>1</v>
      </c>
      <c r="Q55" s="8" t="n">
        <v>2200000</v>
      </c>
      <c r="R55" s="8"/>
      <c r="S55" s="8"/>
      <c r="T55" s="8"/>
      <c r="U55" s="7"/>
      <c r="V55" s="7" t="n">
        <v>0</v>
      </c>
      <c r="W55" s="7"/>
      <c r="X55" s="7" t="s">
        <v>2117</v>
      </c>
      <c r="Y55" s="7"/>
      <c r="Z55" s="7"/>
    </row>
    <row r="56" customFormat="false" ht="14.25" hidden="false" customHeight="false" outlineLevel="0" collapsed="false">
      <c r="A56" s="7" t="s">
        <v>349</v>
      </c>
      <c r="B56" s="7" t="s">
        <v>2120</v>
      </c>
      <c r="C56" s="7" t="s">
        <v>2121</v>
      </c>
      <c r="D56" s="7" t="s">
        <v>2025</v>
      </c>
      <c r="E56" s="7" t="s">
        <v>2020</v>
      </c>
      <c r="F56" s="7" t="s">
        <v>2021</v>
      </c>
      <c r="G56" s="7" t="n">
        <v>0</v>
      </c>
      <c r="H56" s="7" t="n">
        <v>1</v>
      </c>
      <c r="I56" s="7"/>
      <c r="J56" s="7"/>
      <c r="K56" s="7"/>
      <c r="L56" s="8"/>
      <c r="M56" s="8"/>
      <c r="N56" s="8"/>
      <c r="O56" s="7" t="n">
        <v>0</v>
      </c>
      <c r="P56" s="7" t="n">
        <v>0</v>
      </c>
      <c r="Q56" s="8"/>
      <c r="R56" s="8"/>
      <c r="S56" s="8"/>
      <c r="T56" s="8"/>
      <c r="U56" s="7"/>
      <c r="V56" s="7" t="n">
        <v>0</v>
      </c>
      <c r="W56" s="7"/>
      <c r="X56" s="7"/>
      <c r="Y56" s="7"/>
      <c r="Z56" s="7"/>
    </row>
    <row r="57" customFormat="false" ht="14.25" hidden="false" customHeight="false" outlineLevel="0" collapsed="false">
      <c r="A57" s="7" t="s">
        <v>349</v>
      </c>
      <c r="B57" s="7" t="s">
        <v>2122</v>
      </c>
      <c r="C57" s="7" t="s">
        <v>2123</v>
      </c>
      <c r="D57" s="7" t="s">
        <v>2025</v>
      </c>
      <c r="E57" s="7" t="s">
        <v>2020</v>
      </c>
      <c r="F57" s="7" t="s">
        <v>2021</v>
      </c>
      <c r="G57" s="7" t="n">
        <v>0</v>
      </c>
      <c r="H57" s="7" t="n">
        <v>1</v>
      </c>
      <c r="I57" s="7"/>
      <c r="J57" s="7"/>
      <c r="K57" s="7"/>
      <c r="L57" s="8"/>
      <c r="M57" s="8"/>
      <c r="N57" s="8"/>
      <c r="O57" s="7" t="n">
        <v>0</v>
      </c>
      <c r="P57" s="7" t="n">
        <v>0</v>
      </c>
      <c r="Q57" s="8"/>
      <c r="R57" s="8"/>
      <c r="S57" s="8"/>
      <c r="T57" s="8"/>
      <c r="U57" s="7"/>
      <c r="V57" s="7" t="n">
        <v>0</v>
      </c>
      <c r="W57" s="7"/>
      <c r="X57" s="7"/>
      <c r="Y57" s="7"/>
      <c r="Z57" s="7"/>
    </row>
    <row r="58" customFormat="false" ht="14.25" hidden="false" customHeight="false" outlineLevel="0" collapsed="false">
      <c r="A58" s="7" t="s">
        <v>349</v>
      </c>
      <c r="B58" s="7" t="s">
        <v>2124</v>
      </c>
      <c r="C58" s="7" t="s">
        <v>2109</v>
      </c>
      <c r="D58" s="7" t="s">
        <v>2025</v>
      </c>
      <c r="E58" s="7" t="s">
        <v>2020</v>
      </c>
      <c r="F58" s="7" t="s">
        <v>2021</v>
      </c>
      <c r="G58" s="7" t="n">
        <v>0</v>
      </c>
      <c r="H58" s="7" t="n">
        <v>1</v>
      </c>
      <c r="I58" s="7"/>
      <c r="J58" s="7"/>
      <c r="K58" s="7"/>
      <c r="L58" s="8"/>
      <c r="M58" s="8"/>
      <c r="N58" s="8"/>
      <c r="O58" s="7" t="n">
        <v>0</v>
      </c>
      <c r="P58" s="7" t="n">
        <v>0</v>
      </c>
      <c r="Q58" s="8"/>
      <c r="R58" s="8"/>
      <c r="S58" s="8"/>
      <c r="T58" s="8"/>
      <c r="U58" s="7"/>
      <c r="V58" s="7" t="n">
        <v>0</v>
      </c>
      <c r="W58" s="7"/>
      <c r="X58" s="7"/>
      <c r="Y58" s="7"/>
      <c r="Z58" s="7"/>
    </row>
    <row r="59" customFormat="false" ht="14.25" hidden="false" customHeight="false" outlineLevel="0" collapsed="false">
      <c r="A59" s="7" t="s">
        <v>349</v>
      </c>
      <c r="B59" s="7" t="s">
        <v>2125</v>
      </c>
      <c r="C59" s="7" t="s">
        <v>2109</v>
      </c>
      <c r="D59" s="7" t="s">
        <v>2025</v>
      </c>
      <c r="E59" s="7" t="s">
        <v>2020</v>
      </c>
      <c r="F59" s="7" t="s">
        <v>2021</v>
      </c>
      <c r="G59" s="7" t="n">
        <v>0</v>
      </c>
      <c r="H59" s="7" t="n">
        <v>1</v>
      </c>
      <c r="I59" s="7"/>
      <c r="J59" s="7"/>
      <c r="K59" s="7"/>
      <c r="L59" s="8"/>
      <c r="M59" s="8"/>
      <c r="N59" s="8"/>
      <c r="O59" s="7" t="n">
        <v>0</v>
      </c>
      <c r="P59" s="7" t="n">
        <v>0</v>
      </c>
      <c r="Q59" s="8"/>
      <c r="R59" s="8"/>
      <c r="S59" s="8"/>
      <c r="T59" s="8"/>
      <c r="U59" s="7"/>
      <c r="V59" s="7" t="n">
        <v>0</v>
      </c>
      <c r="W59" s="7"/>
      <c r="X59" s="7"/>
      <c r="Y59" s="7"/>
      <c r="Z59" s="7"/>
    </row>
    <row r="60" customFormat="false" ht="14.25" hidden="false" customHeight="false" outlineLevel="0" collapsed="false">
      <c r="A60" s="7" t="s">
        <v>354</v>
      </c>
      <c r="B60" s="7" t="s">
        <v>2126</v>
      </c>
      <c r="C60" s="7" t="s">
        <v>2044</v>
      </c>
      <c r="D60" s="7" t="s">
        <v>2019</v>
      </c>
      <c r="E60" s="7" t="s">
        <v>2020</v>
      </c>
      <c r="F60" s="7" t="s">
        <v>2021</v>
      </c>
      <c r="G60" s="7" t="n">
        <v>0</v>
      </c>
      <c r="H60" s="7" t="n">
        <v>1</v>
      </c>
      <c r="I60" s="7"/>
      <c r="J60" s="7" t="n">
        <v>2023</v>
      </c>
      <c r="K60" s="7"/>
      <c r="L60" s="8"/>
      <c r="M60" s="8"/>
      <c r="N60" s="8"/>
      <c r="O60" s="7" t="n">
        <v>0</v>
      </c>
      <c r="P60" s="7" t="n">
        <v>1</v>
      </c>
      <c r="Q60" s="8" t="n">
        <v>750000</v>
      </c>
      <c r="R60" s="8"/>
      <c r="S60" s="8"/>
      <c r="T60" s="8"/>
      <c r="U60" s="7"/>
      <c r="V60" s="7" t="n">
        <v>0</v>
      </c>
      <c r="W60" s="7" t="n">
        <v>0</v>
      </c>
      <c r="X60" s="7" t="s">
        <v>2127</v>
      </c>
      <c r="Y60" s="7"/>
      <c r="Z60" s="7" t="s">
        <v>2128</v>
      </c>
    </row>
    <row r="61" customFormat="false" ht="14.25" hidden="false" customHeight="false" outlineLevel="0" collapsed="false">
      <c r="A61" s="7" t="s">
        <v>354</v>
      </c>
      <c r="B61" s="7" t="s">
        <v>2129</v>
      </c>
      <c r="C61" s="7" t="s">
        <v>2063</v>
      </c>
      <c r="D61" s="7" t="s">
        <v>2050</v>
      </c>
      <c r="E61" s="7" t="s">
        <v>2020</v>
      </c>
      <c r="F61" s="7" t="s">
        <v>2021</v>
      </c>
      <c r="G61" s="7" t="n">
        <v>0</v>
      </c>
      <c r="H61" s="7" t="n">
        <v>1</v>
      </c>
      <c r="I61" s="7"/>
      <c r="J61" s="7" t="n">
        <v>2023</v>
      </c>
      <c r="K61" s="7"/>
      <c r="L61" s="8"/>
      <c r="M61" s="8"/>
      <c r="N61" s="8"/>
      <c r="O61" s="7" t="n">
        <v>0</v>
      </c>
      <c r="P61" s="7" t="n">
        <v>1</v>
      </c>
      <c r="Q61" s="8" t="n">
        <v>750000</v>
      </c>
      <c r="R61" s="8"/>
      <c r="S61" s="8"/>
      <c r="T61" s="8"/>
      <c r="U61" s="7"/>
      <c r="V61" s="7" t="n">
        <v>0</v>
      </c>
      <c r="W61" s="7"/>
      <c r="X61" s="7" t="s">
        <v>2127</v>
      </c>
      <c r="Y61" s="7"/>
      <c r="Z61" s="7"/>
    </row>
    <row r="62" customFormat="false" ht="14.25" hidden="false" customHeight="false" outlineLevel="0" collapsed="false">
      <c r="A62" s="7" t="s">
        <v>354</v>
      </c>
      <c r="B62" s="7" t="s">
        <v>2058</v>
      </c>
      <c r="C62" s="7" t="s">
        <v>2059</v>
      </c>
      <c r="D62" s="7" t="s">
        <v>2056</v>
      </c>
      <c r="E62" s="7" t="s">
        <v>2020</v>
      </c>
      <c r="F62" s="7" t="s">
        <v>2021</v>
      </c>
      <c r="G62" s="7" t="n">
        <v>0</v>
      </c>
      <c r="H62" s="7" t="n">
        <v>1</v>
      </c>
      <c r="I62" s="7"/>
      <c r="J62" s="7" t="n">
        <v>2023</v>
      </c>
      <c r="K62" s="7"/>
      <c r="L62" s="8"/>
      <c r="M62" s="8"/>
      <c r="N62" s="8"/>
      <c r="O62" s="7" t="n">
        <v>0</v>
      </c>
      <c r="P62" s="7" t="n">
        <v>1</v>
      </c>
      <c r="Q62" s="8" t="n">
        <v>750000</v>
      </c>
      <c r="R62" s="8"/>
      <c r="S62" s="8"/>
      <c r="T62" s="8"/>
      <c r="U62" s="7"/>
      <c r="V62" s="7" t="n">
        <v>0</v>
      </c>
      <c r="W62" s="7"/>
      <c r="X62" s="7" t="s">
        <v>2127</v>
      </c>
      <c r="Y62" s="7"/>
      <c r="Z62" s="7"/>
    </row>
    <row r="63" customFormat="false" ht="14.25" hidden="false" customHeight="false" outlineLevel="0" collapsed="false">
      <c r="A63" s="7" t="s">
        <v>354</v>
      </c>
      <c r="B63" s="7" t="s">
        <v>232</v>
      </c>
      <c r="C63" s="7" t="s">
        <v>2032</v>
      </c>
      <c r="D63" s="7" t="s">
        <v>2032</v>
      </c>
      <c r="E63" s="7" t="s">
        <v>2020</v>
      </c>
      <c r="F63" s="7" t="s">
        <v>2021</v>
      </c>
      <c r="G63" s="7" t="n">
        <v>0</v>
      </c>
      <c r="H63" s="7" t="n">
        <v>1</v>
      </c>
      <c r="I63" s="7"/>
      <c r="J63" s="7" t="n">
        <v>2023</v>
      </c>
      <c r="K63" s="7"/>
      <c r="L63" s="8"/>
      <c r="M63" s="8"/>
      <c r="N63" s="8"/>
      <c r="O63" s="7" t="n">
        <v>0</v>
      </c>
      <c r="P63" s="7" t="n">
        <v>1</v>
      </c>
      <c r="Q63" s="8" t="n">
        <v>750000</v>
      </c>
      <c r="R63" s="8"/>
      <c r="S63" s="8"/>
      <c r="T63" s="8"/>
      <c r="U63" s="7"/>
      <c r="V63" s="7" t="n">
        <v>0</v>
      </c>
      <c r="W63" s="7"/>
      <c r="X63" s="7" t="s">
        <v>2127</v>
      </c>
      <c r="Y63" s="7"/>
      <c r="Z63" s="7"/>
    </row>
    <row r="64" customFormat="false" ht="14.25" hidden="false" customHeight="false" outlineLevel="0" collapsed="false">
      <c r="A64" s="7" t="s">
        <v>354</v>
      </c>
      <c r="B64" s="7" t="s">
        <v>2130</v>
      </c>
      <c r="C64" s="7" t="s">
        <v>2044</v>
      </c>
      <c r="D64" s="7" t="s">
        <v>2019</v>
      </c>
      <c r="E64" s="7" t="s">
        <v>2020</v>
      </c>
      <c r="F64" s="7" t="s">
        <v>2021</v>
      </c>
      <c r="G64" s="7" t="n">
        <v>0</v>
      </c>
      <c r="H64" s="7" t="n">
        <v>1</v>
      </c>
      <c r="I64" s="7"/>
      <c r="J64" s="7" t="n">
        <v>2023</v>
      </c>
      <c r="K64" s="7"/>
      <c r="L64" s="8"/>
      <c r="M64" s="8"/>
      <c r="N64" s="8"/>
      <c r="O64" s="7" t="n">
        <v>0</v>
      </c>
      <c r="P64" s="7" t="n">
        <v>1</v>
      </c>
      <c r="Q64" s="8" t="n">
        <v>750000</v>
      </c>
      <c r="R64" s="8"/>
      <c r="S64" s="8"/>
      <c r="T64" s="8"/>
      <c r="U64" s="7"/>
      <c r="V64" s="7" t="n">
        <v>0</v>
      </c>
      <c r="W64" s="7"/>
      <c r="X64" s="7" t="s">
        <v>2127</v>
      </c>
      <c r="Y64" s="7"/>
      <c r="Z64" s="7"/>
    </row>
    <row r="65" customFormat="false" ht="14.25" hidden="false" customHeight="false" outlineLevel="0" collapsed="false">
      <c r="A65" s="7" t="s">
        <v>354</v>
      </c>
      <c r="B65" s="7" t="s">
        <v>2083</v>
      </c>
      <c r="C65" s="7" t="s">
        <v>2084</v>
      </c>
      <c r="D65" s="7" t="s">
        <v>2025</v>
      </c>
      <c r="E65" s="7" t="s">
        <v>2020</v>
      </c>
      <c r="F65" s="7" t="s">
        <v>2021</v>
      </c>
      <c r="G65" s="7" t="n">
        <v>0</v>
      </c>
      <c r="H65" s="7" t="n">
        <v>1</v>
      </c>
      <c r="I65" s="7"/>
      <c r="J65" s="7"/>
      <c r="K65" s="7"/>
      <c r="L65" s="8"/>
      <c r="M65" s="8"/>
      <c r="N65" s="8"/>
      <c r="O65" s="7" t="n">
        <v>0</v>
      </c>
      <c r="P65" s="7" t="n">
        <v>0</v>
      </c>
      <c r="Q65" s="8"/>
      <c r="R65" s="8"/>
      <c r="S65" s="8"/>
      <c r="T65" s="8"/>
      <c r="U65" s="7"/>
      <c r="V65" s="7" t="n">
        <v>0</v>
      </c>
      <c r="W65" s="7"/>
      <c r="X65" s="7"/>
      <c r="Y65" s="7"/>
      <c r="Z65" s="7"/>
    </row>
    <row r="66" customFormat="false" ht="14.25" hidden="false" customHeight="false" outlineLevel="0" collapsed="false">
      <c r="A66" s="7" t="s">
        <v>359</v>
      </c>
      <c r="B66" s="7" t="s">
        <v>2131</v>
      </c>
      <c r="C66" s="7" t="s">
        <v>2044</v>
      </c>
      <c r="D66" s="7" t="s">
        <v>2019</v>
      </c>
      <c r="E66" s="7" t="s">
        <v>2020</v>
      </c>
      <c r="F66" s="7" t="s">
        <v>2021</v>
      </c>
      <c r="G66" s="7" t="n">
        <v>0</v>
      </c>
      <c r="H66" s="7" t="n">
        <v>1</v>
      </c>
      <c r="I66" s="7"/>
      <c r="J66" s="7" t="n">
        <v>2015</v>
      </c>
      <c r="K66" s="7"/>
      <c r="L66" s="8"/>
      <c r="M66" s="8" t="n">
        <v>250000</v>
      </c>
      <c r="N66" s="8"/>
      <c r="O66" s="7" t="n">
        <v>0</v>
      </c>
      <c r="P66" s="7" t="n">
        <v>0</v>
      </c>
      <c r="Q66" s="8"/>
      <c r="R66" s="8"/>
      <c r="S66" s="8"/>
      <c r="T66" s="8"/>
      <c r="U66" s="7"/>
      <c r="V66" s="7" t="n">
        <v>0</v>
      </c>
      <c r="W66" s="7" t="n">
        <v>0</v>
      </c>
      <c r="X66" s="7" t="s">
        <v>2132</v>
      </c>
      <c r="Y66" s="7"/>
      <c r="Z66" s="7" t="s">
        <v>2133</v>
      </c>
    </row>
    <row r="67" customFormat="false" ht="14.25" hidden="false" customHeight="false" outlineLevel="0" collapsed="false">
      <c r="A67" s="7" t="s">
        <v>362</v>
      </c>
      <c r="B67" s="7" t="s">
        <v>288</v>
      </c>
      <c r="C67" s="7" t="s">
        <v>2032</v>
      </c>
      <c r="D67" s="7" t="s">
        <v>2032</v>
      </c>
      <c r="E67" s="7" t="s">
        <v>2020</v>
      </c>
      <c r="F67" s="7" t="s">
        <v>2021</v>
      </c>
      <c r="G67" s="7" t="n">
        <v>0</v>
      </c>
      <c r="H67" s="7" t="n">
        <v>1</v>
      </c>
      <c r="I67" s="7"/>
      <c r="J67" s="7" t="n">
        <v>2017</v>
      </c>
      <c r="K67" s="7"/>
      <c r="L67" s="8"/>
      <c r="M67" s="8"/>
      <c r="N67" s="8"/>
      <c r="O67" s="7" t="n">
        <v>0</v>
      </c>
      <c r="P67" s="7" t="n">
        <v>0</v>
      </c>
      <c r="Q67" s="8"/>
      <c r="R67" s="8"/>
      <c r="S67" s="8"/>
      <c r="T67" s="8"/>
      <c r="U67" s="7"/>
      <c r="V67" s="7" t="n">
        <v>0</v>
      </c>
      <c r="W67" s="7"/>
      <c r="X67" s="7"/>
      <c r="Y67" s="7"/>
      <c r="Z67" s="7"/>
    </row>
    <row r="68" customFormat="false" ht="14.25" hidden="false" customHeight="false" outlineLevel="0" collapsed="false">
      <c r="A68" s="7" t="s">
        <v>362</v>
      </c>
      <c r="B68" s="7" t="s">
        <v>2134</v>
      </c>
      <c r="C68" s="7" t="s">
        <v>2135</v>
      </c>
      <c r="D68" s="7" t="s">
        <v>2050</v>
      </c>
      <c r="E68" s="7" t="s">
        <v>2020</v>
      </c>
      <c r="F68" s="7" t="s">
        <v>2021</v>
      </c>
      <c r="G68" s="7" t="n">
        <v>0</v>
      </c>
      <c r="H68" s="7" t="n">
        <v>1</v>
      </c>
      <c r="I68" s="7"/>
      <c r="J68" s="7"/>
      <c r="K68" s="7"/>
      <c r="L68" s="8"/>
      <c r="M68" s="8"/>
      <c r="N68" s="8"/>
      <c r="O68" s="7" t="n">
        <v>0</v>
      </c>
      <c r="P68" s="7" t="n">
        <v>0</v>
      </c>
      <c r="Q68" s="8"/>
      <c r="R68" s="8"/>
      <c r="S68" s="8"/>
      <c r="T68" s="8"/>
      <c r="U68" s="7"/>
      <c r="V68" s="7" t="n">
        <v>0</v>
      </c>
      <c r="W68" s="7"/>
      <c r="X68" s="7" t="s">
        <v>2136</v>
      </c>
      <c r="Y68" s="7"/>
      <c r="Z68" s="7"/>
    </row>
    <row r="69" customFormat="false" ht="14.25" hidden="false" customHeight="false" outlineLevel="0" collapsed="false">
      <c r="A69" s="7" t="s">
        <v>362</v>
      </c>
      <c r="B69" s="7" t="s">
        <v>232</v>
      </c>
      <c r="C69" s="7" t="s">
        <v>2032</v>
      </c>
      <c r="D69" s="7" t="s">
        <v>2032</v>
      </c>
      <c r="E69" s="7" t="s">
        <v>2020</v>
      </c>
      <c r="F69" s="7" t="s">
        <v>2021</v>
      </c>
      <c r="G69" s="7" t="n">
        <v>0</v>
      </c>
      <c r="H69" s="7" t="n">
        <v>1</v>
      </c>
      <c r="I69" s="7"/>
      <c r="J69" s="7"/>
      <c r="K69" s="7"/>
      <c r="L69" s="8"/>
      <c r="M69" s="8"/>
      <c r="N69" s="8"/>
      <c r="O69" s="7" t="n">
        <v>0</v>
      </c>
      <c r="P69" s="7" t="n">
        <v>0</v>
      </c>
      <c r="Q69" s="8"/>
      <c r="R69" s="8"/>
      <c r="S69" s="8"/>
      <c r="T69" s="8"/>
      <c r="U69" s="7"/>
      <c r="V69" s="7" t="n">
        <v>0</v>
      </c>
      <c r="W69" s="7"/>
      <c r="X69" s="7"/>
      <c r="Y69" s="7"/>
      <c r="Z69" s="7"/>
    </row>
    <row r="70" customFormat="false" ht="14.25" hidden="false" customHeight="false" outlineLevel="0" collapsed="false">
      <c r="A70" s="7" t="s">
        <v>362</v>
      </c>
      <c r="B70" s="7" t="s">
        <v>2137</v>
      </c>
      <c r="C70" s="7" t="s">
        <v>2044</v>
      </c>
      <c r="D70" s="7" t="s">
        <v>2019</v>
      </c>
      <c r="E70" s="7" t="s">
        <v>2020</v>
      </c>
      <c r="F70" s="7" t="s">
        <v>2021</v>
      </c>
      <c r="G70" s="7" t="n">
        <v>0</v>
      </c>
      <c r="H70" s="7" t="n">
        <v>1</v>
      </c>
      <c r="I70" s="7"/>
      <c r="J70" s="7" t="n">
        <v>2022</v>
      </c>
      <c r="K70" s="7"/>
      <c r="L70" s="8"/>
      <c r="M70" s="8" t="n">
        <v>500000</v>
      </c>
      <c r="N70" s="8"/>
      <c r="O70" s="7" t="n">
        <v>0</v>
      </c>
      <c r="P70" s="7" t="n">
        <v>0</v>
      </c>
      <c r="Q70" s="8"/>
      <c r="R70" s="8"/>
      <c r="S70" s="8"/>
      <c r="T70" s="8"/>
      <c r="U70" s="7"/>
      <c r="V70" s="7" t="n">
        <v>0</v>
      </c>
      <c r="W70" s="7" t="n">
        <v>0</v>
      </c>
      <c r="X70" s="7" t="s">
        <v>2138</v>
      </c>
      <c r="Y70" s="7"/>
      <c r="Z70" s="7" t="s">
        <v>2139</v>
      </c>
    </row>
    <row r="71" customFormat="false" ht="14.25" hidden="false" customHeight="false" outlineLevel="0" collapsed="false">
      <c r="A71" s="7" t="s">
        <v>367</v>
      </c>
      <c r="B71" s="7"/>
      <c r="C71" s="7"/>
      <c r="D71" s="7" t="s">
        <v>2140</v>
      </c>
      <c r="E71" s="7" t="s">
        <v>2141</v>
      </c>
      <c r="F71" s="7" t="s">
        <v>2142</v>
      </c>
      <c r="G71" s="7" t="n">
        <v>0</v>
      </c>
      <c r="H71" s="7"/>
      <c r="I71" s="7"/>
      <c r="J71" s="7"/>
      <c r="K71" s="7"/>
      <c r="L71" s="8"/>
      <c r="M71" s="8"/>
      <c r="N71" s="8"/>
      <c r="O71" s="7" t="n">
        <v>0</v>
      </c>
      <c r="P71" s="7" t="n">
        <v>0</v>
      </c>
      <c r="Q71" s="8"/>
      <c r="R71" s="8"/>
      <c r="S71" s="8"/>
      <c r="T71" s="8"/>
      <c r="U71" s="7"/>
      <c r="V71" s="7" t="n">
        <v>0</v>
      </c>
      <c r="W71" s="7" t="n">
        <v>0</v>
      </c>
      <c r="X71" s="7"/>
      <c r="Y71" s="7"/>
      <c r="Z71" s="7" t="s">
        <v>2143</v>
      </c>
    </row>
    <row r="72" customFormat="false" ht="14.25" hidden="false" customHeight="false" outlineLevel="0" collapsed="false">
      <c r="A72" s="7" t="s">
        <v>373</v>
      </c>
      <c r="B72" s="7"/>
      <c r="C72" s="7"/>
      <c r="D72" s="7" t="s">
        <v>2140</v>
      </c>
      <c r="E72" s="7" t="s">
        <v>2141</v>
      </c>
      <c r="F72" s="7" t="s">
        <v>2142</v>
      </c>
      <c r="G72" s="7" t="n">
        <v>0</v>
      </c>
      <c r="H72" s="7"/>
      <c r="I72" s="7"/>
      <c r="J72" s="7"/>
      <c r="K72" s="7"/>
      <c r="L72" s="8"/>
      <c r="M72" s="8"/>
      <c r="N72" s="8"/>
      <c r="O72" s="7" t="n">
        <v>0</v>
      </c>
      <c r="P72" s="7" t="n">
        <v>0</v>
      </c>
      <c r="Q72" s="8"/>
      <c r="R72" s="8"/>
      <c r="S72" s="8"/>
      <c r="T72" s="8"/>
      <c r="U72" s="7"/>
      <c r="V72" s="7" t="n">
        <v>0</v>
      </c>
      <c r="W72" s="7" t="n">
        <v>0</v>
      </c>
      <c r="X72" s="7"/>
      <c r="Y72" s="7"/>
      <c r="Z72" s="7" t="s">
        <v>2143</v>
      </c>
    </row>
    <row r="73" customFormat="false" ht="14.25" hidden="false" customHeight="false" outlineLevel="0" collapsed="false">
      <c r="A73" s="7" t="s">
        <v>379</v>
      </c>
      <c r="B73" s="7" t="s">
        <v>2144</v>
      </c>
      <c r="C73" s="7" t="s">
        <v>2018</v>
      </c>
      <c r="D73" s="7" t="s">
        <v>2019</v>
      </c>
      <c r="E73" s="7" t="s">
        <v>2020</v>
      </c>
      <c r="F73" s="7" t="s">
        <v>2021</v>
      </c>
      <c r="G73" s="7" t="n">
        <v>0</v>
      </c>
      <c r="H73" s="7" t="n">
        <v>1</v>
      </c>
      <c r="I73" s="7"/>
      <c r="J73" s="7"/>
      <c r="K73" s="7"/>
      <c r="L73" s="8"/>
      <c r="M73" s="8"/>
      <c r="N73" s="8"/>
      <c r="O73" s="7" t="n">
        <v>0</v>
      </c>
      <c r="P73" s="7" t="n">
        <v>0</v>
      </c>
      <c r="Q73" s="8"/>
      <c r="R73" s="8"/>
      <c r="S73" s="8"/>
      <c r="T73" s="8"/>
      <c r="U73" s="7"/>
      <c r="V73" s="7" t="n">
        <v>0</v>
      </c>
      <c r="W73" s="7"/>
      <c r="X73" s="7"/>
      <c r="Y73" s="7"/>
      <c r="Z73" s="7"/>
    </row>
    <row r="74" customFormat="false" ht="14.25" hidden="false" customHeight="false" outlineLevel="0" collapsed="false">
      <c r="A74" s="7" t="s">
        <v>383</v>
      </c>
      <c r="B74" s="7"/>
      <c r="C74" s="7"/>
      <c r="D74" s="7" t="s">
        <v>2140</v>
      </c>
      <c r="E74" s="7" t="s">
        <v>2141</v>
      </c>
      <c r="F74" s="7" t="s">
        <v>2142</v>
      </c>
      <c r="G74" s="7" t="n">
        <v>0</v>
      </c>
      <c r="H74" s="7"/>
      <c r="I74" s="7"/>
      <c r="J74" s="7"/>
      <c r="K74" s="7"/>
      <c r="L74" s="8"/>
      <c r="M74" s="8"/>
      <c r="N74" s="8"/>
      <c r="O74" s="7" t="n">
        <v>0</v>
      </c>
      <c r="P74" s="7" t="n">
        <v>0</v>
      </c>
      <c r="Q74" s="8"/>
      <c r="R74" s="8"/>
      <c r="S74" s="8"/>
      <c r="T74" s="8"/>
      <c r="U74" s="7"/>
      <c r="V74" s="7" t="n">
        <v>0</v>
      </c>
      <c r="W74" s="7" t="n">
        <v>0</v>
      </c>
      <c r="X74" s="7"/>
      <c r="Y74" s="7"/>
      <c r="Z74" s="7" t="s">
        <v>2143</v>
      </c>
    </row>
    <row r="75" customFormat="false" ht="14.25" hidden="false" customHeight="false" outlineLevel="0" collapsed="false">
      <c r="A75" s="7" t="s">
        <v>389</v>
      </c>
      <c r="B75" s="7" t="s">
        <v>2058</v>
      </c>
      <c r="C75" s="7" t="s">
        <v>2145</v>
      </c>
      <c r="D75" s="7" t="s">
        <v>2056</v>
      </c>
      <c r="E75" s="7" t="s">
        <v>2020</v>
      </c>
      <c r="F75" s="7" t="s">
        <v>2021</v>
      </c>
      <c r="G75" s="7" t="n">
        <v>0</v>
      </c>
      <c r="H75" s="7" t="n">
        <v>1</v>
      </c>
      <c r="I75" s="7"/>
      <c r="J75" s="7"/>
      <c r="K75" s="7"/>
      <c r="L75" s="8"/>
      <c r="M75" s="8" t="n">
        <v>100000</v>
      </c>
      <c r="N75" s="8"/>
      <c r="O75" s="7" t="n">
        <v>0</v>
      </c>
      <c r="P75" s="7" t="n">
        <v>0</v>
      </c>
      <c r="Q75" s="8"/>
      <c r="R75" s="8"/>
      <c r="S75" s="8"/>
      <c r="T75" s="8"/>
      <c r="U75" s="7"/>
      <c r="V75" s="7" t="n">
        <v>0</v>
      </c>
      <c r="W75" s="7"/>
      <c r="X75" s="7" t="n">
        <v>100000</v>
      </c>
      <c r="Y75" s="7"/>
      <c r="Z75" s="7"/>
    </row>
    <row r="76" customFormat="false" ht="14.25" hidden="false" customHeight="false" outlineLevel="0" collapsed="false">
      <c r="A76" s="7" t="s">
        <v>393</v>
      </c>
      <c r="B76" s="7" t="s">
        <v>2146</v>
      </c>
      <c r="C76" s="7" t="s">
        <v>2147</v>
      </c>
      <c r="D76" s="7" t="s">
        <v>2025</v>
      </c>
      <c r="E76" s="7" t="s">
        <v>2020</v>
      </c>
      <c r="F76" s="7" t="s">
        <v>2021</v>
      </c>
      <c r="G76" s="7" t="n">
        <v>0</v>
      </c>
      <c r="H76" s="7" t="n">
        <v>1</v>
      </c>
      <c r="I76" s="7"/>
      <c r="J76" s="7" t="n">
        <v>2018</v>
      </c>
      <c r="K76" s="7"/>
      <c r="L76" s="8"/>
      <c r="M76" s="8" t="n">
        <v>14600</v>
      </c>
      <c r="N76" s="8"/>
      <c r="O76" s="7" t="n">
        <v>0</v>
      </c>
      <c r="P76" s="7" t="n">
        <v>0</v>
      </c>
      <c r="Q76" s="8"/>
      <c r="R76" s="8"/>
      <c r="S76" s="8"/>
      <c r="T76" s="8"/>
      <c r="U76" s="7"/>
      <c r="V76" s="7" t="n">
        <v>0</v>
      </c>
      <c r="W76" s="7"/>
      <c r="X76" s="7" t="n">
        <v>14600</v>
      </c>
      <c r="Y76" s="7"/>
      <c r="Z76" s="7"/>
    </row>
    <row r="77" customFormat="false" ht="14.25" hidden="false" customHeight="false" outlineLevel="0" collapsed="false">
      <c r="A77" s="7" t="s">
        <v>393</v>
      </c>
      <c r="B77" s="7" t="s">
        <v>2148</v>
      </c>
      <c r="C77" s="7" t="s">
        <v>2149</v>
      </c>
      <c r="D77" s="7" t="s">
        <v>2047</v>
      </c>
      <c r="E77" s="7" t="s">
        <v>2020</v>
      </c>
      <c r="F77" s="7" t="s">
        <v>2021</v>
      </c>
      <c r="G77" s="7" t="n">
        <v>0</v>
      </c>
      <c r="H77" s="7" t="n">
        <v>1</v>
      </c>
      <c r="I77" s="7"/>
      <c r="J77" s="7"/>
      <c r="K77" s="7"/>
      <c r="L77" s="8"/>
      <c r="M77" s="8"/>
      <c r="N77" s="8"/>
      <c r="O77" s="7" t="n">
        <v>0</v>
      </c>
      <c r="P77" s="7" t="n">
        <v>0</v>
      </c>
      <c r="Q77" s="8"/>
      <c r="R77" s="8"/>
      <c r="S77" s="8"/>
      <c r="T77" s="8"/>
      <c r="U77" s="7"/>
      <c r="V77" s="7" t="n">
        <v>0</v>
      </c>
      <c r="W77" s="7"/>
      <c r="X77" s="7"/>
      <c r="Y77" s="7"/>
      <c r="Z77" s="7"/>
    </row>
    <row r="78" customFormat="false" ht="14.25" hidden="false" customHeight="false" outlineLevel="0" collapsed="false">
      <c r="A78" s="7" t="s">
        <v>397</v>
      </c>
      <c r="B78" s="7"/>
      <c r="C78" s="7"/>
      <c r="D78" s="7" t="s">
        <v>2140</v>
      </c>
      <c r="E78" s="7" t="s">
        <v>2141</v>
      </c>
      <c r="F78" s="7" t="s">
        <v>2142</v>
      </c>
      <c r="G78" s="7" t="n">
        <v>0</v>
      </c>
      <c r="H78" s="7"/>
      <c r="I78" s="7"/>
      <c r="J78" s="7"/>
      <c r="K78" s="7"/>
      <c r="L78" s="8"/>
      <c r="M78" s="8"/>
      <c r="N78" s="8"/>
      <c r="O78" s="7" t="n">
        <v>0</v>
      </c>
      <c r="P78" s="7" t="n">
        <v>0</v>
      </c>
      <c r="Q78" s="8"/>
      <c r="R78" s="8"/>
      <c r="S78" s="8"/>
      <c r="T78" s="8"/>
      <c r="U78" s="7"/>
      <c r="V78" s="7" t="n">
        <v>0</v>
      </c>
      <c r="W78" s="7" t="n">
        <v>0</v>
      </c>
      <c r="X78" s="7"/>
      <c r="Y78" s="7"/>
      <c r="Z78" s="7" t="s">
        <v>2143</v>
      </c>
    </row>
    <row r="79" customFormat="false" ht="14.25" hidden="false" customHeight="false" outlineLevel="0" collapsed="false">
      <c r="A79" s="7" t="s">
        <v>402</v>
      </c>
      <c r="B79" s="7" t="s">
        <v>2150</v>
      </c>
      <c r="C79" s="7" t="s">
        <v>2151</v>
      </c>
      <c r="D79" s="7" t="s">
        <v>2025</v>
      </c>
      <c r="E79" s="7" t="s">
        <v>2020</v>
      </c>
      <c r="F79" s="7" t="s">
        <v>2021</v>
      </c>
      <c r="G79" s="7" t="n">
        <v>0</v>
      </c>
      <c r="H79" s="7" t="n">
        <v>1</v>
      </c>
      <c r="I79" s="7"/>
      <c r="J79" s="7" t="n">
        <v>2019</v>
      </c>
      <c r="K79" s="7"/>
      <c r="L79" s="8"/>
      <c r="M79" s="8" t="n">
        <v>50000</v>
      </c>
      <c r="N79" s="8"/>
      <c r="O79" s="7" t="n">
        <v>0</v>
      </c>
      <c r="P79" s="7" t="n">
        <v>0</v>
      </c>
      <c r="Q79" s="8"/>
      <c r="R79" s="8"/>
      <c r="S79" s="8"/>
      <c r="T79" s="8"/>
      <c r="U79" s="7"/>
      <c r="V79" s="7" t="n">
        <v>0</v>
      </c>
      <c r="W79" s="7"/>
      <c r="X79" s="7" t="n">
        <v>50000</v>
      </c>
      <c r="Y79" s="7"/>
      <c r="Z79" s="7"/>
    </row>
    <row r="80" customFormat="false" ht="14.25" hidden="false" customHeight="false" outlineLevel="0" collapsed="false">
      <c r="A80" s="7" t="s">
        <v>402</v>
      </c>
      <c r="B80" s="7" t="s">
        <v>2152</v>
      </c>
      <c r="C80" s="7" t="s">
        <v>2018</v>
      </c>
      <c r="D80" s="7" t="s">
        <v>2019</v>
      </c>
      <c r="E80" s="7" t="s">
        <v>2020</v>
      </c>
      <c r="F80" s="7" t="s">
        <v>2021</v>
      </c>
      <c r="G80" s="7" t="n">
        <v>0</v>
      </c>
      <c r="H80" s="7" t="n">
        <v>1</v>
      </c>
      <c r="I80" s="7"/>
      <c r="J80" s="7" t="n">
        <v>2022</v>
      </c>
      <c r="K80" s="7"/>
      <c r="L80" s="8"/>
      <c r="M80" s="8" t="n">
        <v>2100000</v>
      </c>
      <c r="N80" s="8"/>
      <c r="O80" s="7" t="n">
        <v>0</v>
      </c>
      <c r="P80" s="7" t="n">
        <v>0</v>
      </c>
      <c r="Q80" s="8"/>
      <c r="R80" s="8"/>
      <c r="S80" s="8"/>
      <c r="T80" s="8"/>
      <c r="U80" s="7"/>
      <c r="V80" s="7" t="n">
        <v>0</v>
      </c>
      <c r="W80" s="7"/>
      <c r="X80" s="7" t="n">
        <v>2100000</v>
      </c>
      <c r="Y80" s="7"/>
      <c r="Z80" s="7"/>
    </row>
    <row r="81" customFormat="false" ht="14.25" hidden="false" customHeight="false" outlineLevel="0" collapsed="false">
      <c r="A81" s="7" t="s">
        <v>402</v>
      </c>
      <c r="B81" s="7" t="s">
        <v>2153</v>
      </c>
      <c r="C81" s="7" t="s">
        <v>2154</v>
      </c>
      <c r="D81" s="7" t="s">
        <v>2047</v>
      </c>
      <c r="E81" s="7" t="s">
        <v>2020</v>
      </c>
      <c r="F81" s="7" t="s">
        <v>2021</v>
      </c>
      <c r="G81" s="7" t="n">
        <v>0</v>
      </c>
      <c r="H81" s="7" t="n">
        <v>1</v>
      </c>
      <c r="I81" s="7"/>
      <c r="J81" s="7" t="n">
        <v>2025</v>
      </c>
      <c r="K81" s="7"/>
      <c r="L81" s="8"/>
      <c r="M81" s="8" t="n">
        <v>500000</v>
      </c>
      <c r="N81" s="8"/>
      <c r="O81" s="7" t="n">
        <v>0</v>
      </c>
      <c r="P81" s="7" t="n">
        <v>0</v>
      </c>
      <c r="Q81" s="8"/>
      <c r="R81" s="8"/>
      <c r="S81" s="8"/>
      <c r="T81" s="8"/>
      <c r="U81" s="7"/>
      <c r="V81" s="7" t="n">
        <v>0</v>
      </c>
      <c r="W81" s="7"/>
      <c r="X81" s="7" t="n">
        <v>500000</v>
      </c>
      <c r="Y81" s="7"/>
      <c r="Z81" s="7"/>
    </row>
    <row r="82" customFormat="false" ht="14.25" hidden="false" customHeight="false" outlineLevel="0" collapsed="false">
      <c r="A82" s="7" t="s">
        <v>402</v>
      </c>
      <c r="B82" s="7" t="s">
        <v>2155</v>
      </c>
      <c r="C82" s="7" t="s">
        <v>2018</v>
      </c>
      <c r="D82" s="7" t="s">
        <v>2019</v>
      </c>
      <c r="E82" s="7" t="s">
        <v>2020</v>
      </c>
      <c r="F82" s="7" t="s">
        <v>2021</v>
      </c>
      <c r="G82" s="7" t="n">
        <v>0</v>
      </c>
      <c r="H82" s="7" t="n">
        <v>1</v>
      </c>
      <c r="I82" s="7"/>
      <c r="J82" s="7"/>
      <c r="K82" s="7"/>
      <c r="L82" s="8"/>
      <c r="M82" s="8"/>
      <c r="N82" s="8"/>
      <c r="O82" s="7" t="n">
        <v>0</v>
      </c>
      <c r="P82" s="7" t="n">
        <v>0</v>
      </c>
      <c r="Q82" s="8"/>
      <c r="R82" s="8"/>
      <c r="S82" s="8"/>
      <c r="T82" s="8"/>
      <c r="U82" s="7"/>
      <c r="V82" s="7" t="n">
        <v>0</v>
      </c>
      <c r="W82" s="7"/>
      <c r="X82" s="7"/>
      <c r="Y82" s="7"/>
      <c r="Z82" s="7"/>
    </row>
    <row r="83" customFormat="false" ht="14.25" hidden="false" customHeight="false" outlineLevel="0" collapsed="false">
      <c r="A83" s="7" t="s">
        <v>402</v>
      </c>
      <c r="B83" s="7" t="s">
        <v>2156</v>
      </c>
      <c r="C83" s="7" t="s">
        <v>2157</v>
      </c>
      <c r="D83" s="7" t="s">
        <v>2047</v>
      </c>
      <c r="E83" s="7" t="s">
        <v>2020</v>
      </c>
      <c r="F83" s="7" t="s">
        <v>2021</v>
      </c>
      <c r="G83" s="7" t="n">
        <v>0</v>
      </c>
      <c r="H83" s="7" t="n">
        <v>1</v>
      </c>
      <c r="I83" s="7"/>
      <c r="J83" s="7" t="n">
        <v>2026</v>
      </c>
      <c r="K83" s="7"/>
      <c r="L83" s="8"/>
      <c r="M83" s="8" t="n">
        <v>1500000</v>
      </c>
      <c r="N83" s="8"/>
      <c r="O83" s="7" t="n">
        <v>0</v>
      </c>
      <c r="P83" s="7" t="n">
        <v>0</v>
      </c>
      <c r="Q83" s="8"/>
      <c r="R83" s="8"/>
      <c r="S83" s="8"/>
      <c r="T83" s="8"/>
      <c r="U83" s="7"/>
      <c r="V83" s="7" t="n">
        <v>0</v>
      </c>
      <c r="W83" s="7"/>
      <c r="X83" s="7" t="n">
        <v>1500000</v>
      </c>
      <c r="Y83" s="7"/>
      <c r="Z83" s="7"/>
    </row>
    <row r="84" customFormat="false" ht="14.25" hidden="false" customHeight="false" outlineLevel="0" collapsed="false">
      <c r="A84" s="7" t="s">
        <v>402</v>
      </c>
      <c r="B84" s="7" t="s">
        <v>2158</v>
      </c>
      <c r="C84" s="7" t="s">
        <v>2159</v>
      </c>
      <c r="D84" s="7" t="s">
        <v>2047</v>
      </c>
      <c r="E84" s="7" t="s">
        <v>2020</v>
      </c>
      <c r="F84" s="7" t="s">
        <v>2021</v>
      </c>
      <c r="G84" s="7" t="n">
        <v>0</v>
      </c>
      <c r="H84" s="7" t="n">
        <v>1</v>
      </c>
      <c r="I84" s="7"/>
      <c r="J84" s="7" t="n">
        <v>2026</v>
      </c>
      <c r="K84" s="7"/>
      <c r="L84" s="8"/>
      <c r="M84" s="8" t="n">
        <v>250000</v>
      </c>
      <c r="N84" s="8"/>
      <c r="O84" s="7" t="n">
        <v>0</v>
      </c>
      <c r="P84" s="7" t="n">
        <v>0</v>
      </c>
      <c r="Q84" s="8"/>
      <c r="R84" s="8"/>
      <c r="S84" s="8"/>
      <c r="T84" s="8"/>
      <c r="U84" s="7"/>
      <c r="V84" s="7" t="n">
        <v>0</v>
      </c>
      <c r="W84" s="7"/>
      <c r="X84" s="7" t="n">
        <v>250000</v>
      </c>
      <c r="Y84" s="7"/>
      <c r="Z84" s="7"/>
    </row>
    <row r="85" customFormat="false" ht="14.25" hidden="false" customHeight="false" outlineLevel="0" collapsed="false">
      <c r="A85" s="7" t="s">
        <v>406</v>
      </c>
      <c r="B85" s="7" t="s">
        <v>2160</v>
      </c>
      <c r="C85" s="7" t="s">
        <v>2161</v>
      </c>
      <c r="D85" s="7" t="s">
        <v>2032</v>
      </c>
      <c r="E85" s="7" t="s">
        <v>2020</v>
      </c>
      <c r="F85" s="7" t="s">
        <v>2021</v>
      </c>
      <c r="G85" s="7" t="n">
        <v>0</v>
      </c>
      <c r="H85" s="7" t="n">
        <v>1</v>
      </c>
      <c r="I85" s="7"/>
      <c r="J85" s="7" t="n">
        <v>2023</v>
      </c>
      <c r="K85" s="7"/>
      <c r="L85" s="8"/>
      <c r="M85" s="8" t="n">
        <v>1000000</v>
      </c>
      <c r="N85" s="8"/>
      <c r="O85" s="7" t="n">
        <v>0</v>
      </c>
      <c r="P85" s="7" t="n">
        <v>0</v>
      </c>
      <c r="Q85" s="8"/>
      <c r="R85" s="8"/>
      <c r="S85" s="8"/>
      <c r="T85" s="8"/>
      <c r="U85" s="7"/>
      <c r="V85" s="7" t="n">
        <v>0</v>
      </c>
      <c r="W85" s="7"/>
      <c r="X85" s="7" t="n">
        <v>1000000</v>
      </c>
      <c r="Y85" s="7"/>
      <c r="Z85" s="7"/>
    </row>
    <row r="86" customFormat="false" ht="14.25" hidden="false" customHeight="false" outlineLevel="0" collapsed="false">
      <c r="A86" s="7" t="s">
        <v>406</v>
      </c>
      <c r="B86" s="7" t="s">
        <v>2162</v>
      </c>
      <c r="C86" s="7" t="s">
        <v>2163</v>
      </c>
      <c r="D86" s="7" t="s">
        <v>2053</v>
      </c>
      <c r="E86" s="7" t="s">
        <v>2020</v>
      </c>
      <c r="F86" s="7" t="s">
        <v>2021</v>
      </c>
      <c r="G86" s="7" t="n">
        <v>0</v>
      </c>
      <c r="H86" s="7" t="n">
        <v>1</v>
      </c>
      <c r="I86" s="7"/>
      <c r="J86" s="7" t="n">
        <v>2021</v>
      </c>
      <c r="K86" s="7"/>
      <c r="L86" s="8"/>
      <c r="M86" s="8"/>
      <c r="N86" s="8"/>
      <c r="O86" s="7" t="n">
        <v>0</v>
      </c>
      <c r="P86" s="7" t="n">
        <v>0</v>
      </c>
      <c r="Q86" s="8"/>
      <c r="R86" s="8"/>
      <c r="S86" s="8"/>
      <c r="T86" s="8"/>
      <c r="U86" s="7"/>
      <c r="V86" s="7" t="n">
        <v>0</v>
      </c>
      <c r="W86" s="7"/>
      <c r="X86" s="7"/>
      <c r="Y86" s="7"/>
      <c r="Z86" s="7"/>
    </row>
    <row r="87" customFormat="false" ht="14.25" hidden="false" customHeight="false" outlineLevel="0" collapsed="false">
      <c r="A87" s="7" t="s">
        <v>412</v>
      </c>
      <c r="B87" s="7"/>
      <c r="C87" s="7"/>
      <c r="D87" s="7" t="s">
        <v>2140</v>
      </c>
      <c r="E87" s="7" t="s">
        <v>2141</v>
      </c>
      <c r="F87" s="7" t="s">
        <v>2142</v>
      </c>
      <c r="G87" s="7" t="n">
        <v>0</v>
      </c>
      <c r="H87" s="7"/>
      <c r="I87" s="7"/>
      <c r="J87" s="7"/>
      <c r="K87" s="7"/>
      <c r="L87" s="8"/>
      <c r="M87" s="8"/>
      <c r="N87" s="8"/>
      <c r="O87" s="7" t="n">
        <v>0</v>
      </c>
      <c r="P87" s="7" t="n">
        <v>0</v>
      </c>
      <c r="Q87" s="8"/>
      <c r="R87" s="8"/>
      <c r="S87" s="8"/>
      <c r="T87" s="8"/>
      <c r="U87" s="7"/>
      <c r="V87" s="7" t="n">
        <v>0</v>
      </c>
      <c r="W87" s="7" t="n">
        <v>0</v>
      </c>
      <c r="X87" s="7"/>
      <c r="Y87" s="7"/>
      <c r="Z87" s="7" t="s">
        <v>2143</v>
      </c>
    </row>
    <row r="88" customFormat="false" ht="14.25" hidden="false" customHeight="false" outlineLevel="0" collapsed="false">
      <c r="A88" s="7" t="s">
        <v>416</v>
      </c>
      <c r="B88" s="7" t="s">
        <v>2164</v>
      </c>
      <c r="C88" s="7" t="s">
        <v>2018</v>
      </c>
      <c r="D88" s="7" t="s">
        <v>2019</v>
      </c>
      <c r="E88" s="7" t="s">
        <v>2020</v>
      </c>
      <c r="F88" s="7" t="s">
        <v>2021</v>
      </c>
      <c r="G88" s="7" t="n">
        <v>0</v>
      </c>
      <c r="H88" s="7" t="n">
        <v>1</v>
      </c>
      <c r="I88" s="7"/>
      <c r="J88" s="7" t="n">
        <v>2022</v>
      </c>
      <c r="K88" s="7"/>
      <c r="L88" s="8"/>
      <c r="M88" s="8" t="n">
        <v>1800000</v>
      </c>
      <c r="N88" s="8"/>
      <c r="O88" s="7" t="n">
        <v>0</v>
      </c>
      <c r="P88" s="7" t="n">
        <v>0</v>
      </c>
      <c r="Q88" s="8"/>
      <c r="R88" s="8"/>
      <c r="S88" s="8"/>
      <c r="T88" s="8"/>
      <c r="U88" s="7"/>
      <c r="V88" s="7" t="n">
        <v>0</v>
      </c>
      <c r="W88" s="7"/>
      <c r="X88" s="7" t="n">
        <v>1800000</v>
      </c>
      <c r="Y88" s="7"/>
      <c r="Z88" s="7"/>
    </row>
    <row r="89" customFormat="false" ht="14.25" hidden="false" customHeight="false" outlineLevel="0" collapsed="false">
      <c r="A89" s="7" t="s">
        <v>416</v>
      </c>
      <c r="B89" s="7" t="s">
        <v>2165</v>
      </c>
      <c r="C89" s="7" t="s">
        <v>2018</v>
      </c>
      <c r="D89" s="7" t="s">
        <v>2019</v>
      </c>
      <c r="E89" s="7" t="s">
        <v>2020</v>
      </c>
      <c r="F89" s="7" t="s">
        <v>2021</v>
      </c>
      <c r="G89" s="7" t="n">
        <v>0</v>
      </c>
      <c r="H89" s="7" t="n">
        <v>1</v>
      </c>
      <c r="I89" s="7"/>
      <c r="J89" s="7" t="n">
        <v>2024</v>
      </c>
      <c r="K89" s="7"/>
      <c r="L89" s="8"/>
      <c r="M89" s="8"/>
      <c r="N89" s="8"/>
      <c r="O89" s="7" t="n">
        <v>0</v>
      </c>
      <c r="P89" s="7" t="n">
        <v>0</v>
      </c>
      <c r="Q89" s="8"/>
      <c r="R89" s="8"/>
      <c r="S89" s="8"/>
      <c r="T89" s="8"/>
      <c r="U89" s="7"/>
      <c r="V89" s="7" t="n">
        <v>0</v>
      </c>
      <c r="W89" s="7"/>
      <c r="X89" s="7"/>
      <c r="Y89" s="7"/>
      <c r="Z89" s="7"/>
    </row>
    <row r="90" customFormat="false" ht="14.25" hidden="false" customHeight="false" outlineLevel="0" collapsed="false">
      <c r="A90" s="7" t="s">
        <v>421</v>
      </c>
      <c r="B90" s="7"/>
      <c r="C90" s="7"/>
      <c r="D90" s="7" t="s">
        <v>2140</v>
      </c>
      <c r="E90" s="7" t="s">
        <v>2141</v>
      </c>
      <c r="F90" s="7" t="s">
        <v>2142</v>
      </c>
      <c r="G90" s="7" t="n">
        <v>0</v>
      </c>
      <c r="H90" s="7"/>
      <c r="I90" s="7"/>
      <c r="J90" s="7"/>
      <c r="K90" s="7"/>
      <c r="L90" s="8"/>
      <c r="M90" s="8"/>
      <c r="N90" s="8"/>
      <c r="O90" s="7" t="n">
        <v>0</v>
      </c>
      <c r="P90" s="7" t="n">
        <v>0</v>
      </c>
      <c r="Q90" s="8"/>
      <c r="R90" s="8"/>
      <c r="S90" s="8"/>
      <c r="T90" s="8"/>
      <c r="U90" s="7"/>
      <c r="V90" s="7" t="n">
        <v>0</v>
      </c>
      <c r="W90" s="7" t="n">
        <v>0</v>
      </c>
      <c r="X90" s="7"/>
      <c r="Y90" s="7"/>
      <c r="Z90" s="7" t="s">
        <v>2143</v>
      </c>
    </row>
    <row r="91" customFormat="false" ht="14.25" hidden="false" customHeight="false" outlineLevel="0" collapsed="false">
      <c r="A91" s="7" t="s">
        <v>425</v>
      </c>
      <c r="B91" s="7"/>
      <c r="C91" s="7"/>
      <c r="D91" s="7" t="s">
        <v>2140</v>
      </c>
      <c r="E91" s="7" t="s">
        <v>2141</v>
      </c>
      <c r="F91" s="7" t="s">
        <v>2142</v>
      </c>
      <c r="G91" s="7" t="n">
        <v>0</v>
      </c>
      <c r="H91" s="7"/>
      <c r="I91" s="7"/>
      <c r="J91" s="7"/>
      <c r="K91" s="7"/>
      <c r="L91" s="8"/>
      <c r="M91" s="8"/>
      <c r="N91" s="8"/>
      <c r="O91" s="7" t="n">
        <v>0</v>
      </c>
      <c r="P91" s="7" t="n">
        <v>0</v>
      </c>
      <c r="Q91" s="8"/>
      <c r="R91" s="8"/>
      <c r="S91" s="8"/>
      <c r="T91" s="8"/>
      <c r="U91" s="7"/>
      <c r="V91" s="7" t="n">
        <v>0</v>
      </c>
      <c r="W91" s="7" t="n">
        <v>0</v>
      </c>
      <c r="X91" s="7"/>
      <c r="Y91" s="7"/>
      <c r="Z91" s="7" t="s">
        <v>2143</v>
      </c>
    </row>
    <row r="92" customFormat="false" ht="14.25" hidden="false" customHeight="false" outlineLevel="0" collapsed="false">
      <c r="A92" s="7" t="s">
        <v>431</v>
      </c>
      <c r="B92" s="7"/>
      <c r="C92" s="7"/>
      <c r="D92" s="7" t="s">
        <v>2140</v>
      </c>
      <c r="E92" s="7" t="s">
        <v>2141</v>
      </c>
      <c r="F92" s="7" t="s">
        <v>2142</v>
      </c>
      <c r="G92" s="7" t="n">
        <v>0</v>
      </c>
      <c r="H92" s="7"/>
      <c r="I92" s="7"/>
      <c r="J92" s="7"/>
      <c r="K92" s="7"/>
      <c r="L92" s="8"/>
      <c r="M92" s="8"/>
      <c r="N92" s="8"/>
      <c r="O92" s="7" t="n">
        <v>0</v>
      </c>
      <c r="P92" s="7" t="n">
        <v>0</v>
      </c>
      <c r="Q92" s="8"/>
      <c r="R92" s="8"/>
      <c r="S92" s="8"/>
      <c r="T92" s="8"/>
      <c r="U92" s="7"/>
      <c r="V92" s="7" t="n">
        <v>0</v>
      </c>
      <c r="W92" s="7" t="n">
        <v>0</v>
      </c>
      <c r="X92" s="7"/>
      <c r="Y92" s="7"/>
      <c r="Z92" s="7" t="s">
        <v>2143</v>
      </c>
    </row>
    <row r="93" customFormat="false" ht="14.25" hidden="false" customHeight="false" outlineLevel="0" collapsed="false">
      <c r="A93" s="7" t="s">
        <v>436</v>
      </c>
      <c r="B93" s="7"/>
      <c r="C93" s="7"/>
      <c r="D93" s="7" t="s">
        <v>2140</v>
      </c>
      <c r="E93" s="7" t="s">
        <v>2141</v>
      </c>
      <c r="F93" s="7" t="s">
        <v>2142</v>
      </c>
      <c r="G93" s="7" t="n">
        <v>0</v>
      </c>
      <c r="H93" s="7"/>
      <c r="I93" s="7"/>
      <c r="J93" s="7"/>
      <c r="K93" s="7"/>
      <c r="L93" s="8"/>
      <c r="M93" s="8"/>
      <c r="N93" s="8"/>
      <c r="O93" s="7" t="n">
        <v>0</v>
      </c>
      <c r="P93" s="7" t="n">
        <v>0</v>
      </c>
      <c r="Q93" s="8"/>
      <c r="R93" s="8"/>
      <c r="S93" s="8"/>
      <c r="T93" s="8"/>
      <c r="U93" s="7"/>
      <c r="V93" s="7" t="n">
        <v>0</v>
      </c>
      <c r="W93" s="7" t="n">
        <v>0</v>
      </c>
      <c r="X93" s="7"/>
      <c r="Y93" s="7"/>
      <c r="Z93" s="7" t="s">
        <v>2143</v>
      </c>
    </row>
    <row r="94" customFormat="false" ht="14.25" hidden="false" customHeight="false" outlineLevel="0" collapsed="false">
      <c r="A94" s="7" t="s">
        <v>439</v>
      </c>
      <c r="B94" s="7"/>
      <c r="C94" s="7"/>
      <c r="D94" s="7" t="s">
        <v>2140</v>
      </c>
      <c r="E94" s="7" t="s">
        <v>2141</v>
      </c>
      <c r="F94" s="7" t="s">
        <v>2142</v>
      </c>
      <c r="G94" s="7" t="n">
        <v>0</v>
      </c>
      <c r="H94" s="7"/>
      <c r="I94" s="7"/>
      <c r="J94" s="7"/>
      <c r="K94" s="7"/>
      <c r="L94" s="8"/>
      <c r="M94" s="8"/>
      <c r="N94" s="8"/>
      <c r="O94" s="7" t="n">
        <v>0</v>
      </c>
      <c r="P94" s="7" t="n">
        <v>0</v>
      </c>
      <c r="Q94" s="8"/>
      <c r="R94" s="8"/>
      <c r="S94" s="8"/>
      <c r="T94" s="8"/>
      <c r="U94" s="7"/>
      <c r="V94" s="7" t="n">
        <v>0</v>
      </c>
      <c r="W94" s="7" t="n">
        <v>0</v>
      </c>
      <c r="X94" s="7"/>
      <c r="Y94" s="7"/>
      <c r="Z94" s="7" t="s">
        <v>2143</v>
      </c>
    </row>
    <row r="95" customFormat="false" ht="14.25" hidden="false" customHeight="false" outlineLevel="0" collapsed="false">
      <c r="A95" s="7" t="s">
        <v>443</v>
      </c>
      <c r="B95" s="7" t="s">
        <v>2166</v>
      </c>
      <c r="C95" s="7" t="s">
        <v>2167</v>
      </c>
      <c r="D95" s="7" t="s">
        <v>2032</v>
      </c>
      <c r="E95" s="7" t="s">
        <v>2020</v>
      </c>
      <c r="F95" s="7" t="s">
        <v>2021</v>
      </c>
      <c r="G95" s="7" t="n">
        <v>0</v>
      </c>
      <c r="H95" s="7" t="n">
        <v>1</v>
      </c>
      <c r="I95" s="7"/>
      <c r="J95" s="7" t="n">
        <v>2025</v>
      </c>
      <c r="K95" s="7"/>
      <c r="L95" s="8"/>
      <c r="M95" s="8" t="n">
        <v>2000000</v>
      </c>
      <c r="N95" s="8"/>
      <c r="O95" s="7" t="n">
        <v>0</v>
      </c>
      <c r="P95" s="7" t="n">
        <v>0</v>
      </c>
      <c r="Q95" s="8"/>
      <c r="R95" s="8"/>
      <c r="S95" s="8"/>
      <c r="T95" s="8"/>
      <c r="U95" s="7"/>
      <c r="V95" s="7" t="n">
        <v>0</v>
      </c>
      <c r="W95" s="7"/>
      <c r="X95" s="7" t="n">
        <v>2000000</v>
      </c>
      <c r="Y95" s="7"/>
      <c r="Z95" s="7"/>
    </row>
    <row r="96" customFormat="false" ht="14.25" hidden="false" customHeight="false" outlineLevel="0" collapsed="false">
      <c r="A96" s="7" t="s">
        <v>449</v>
      </c>
      <c r="B96" s="7"/>
      <c r="C96" s="7"/>
      <c r="D96" s="7" t="s">
        <v>2140</v>
      </c>
      <c r="E96" s="7" t="s">
        <v>2141</v>
      </c>
      <c r="F96" s="7" t="s">
        <v>2142</v>
      </c>
      <c r="G96" s="7" t="n">
        <v>0</v>
      </c>
      <c r="H96" s="7"/>
      <c r="I96" s="7"/>
      <c r="J96" s="7"/>
      <c r="K96" s="7"/>
      <c r="L96" s="8"/>
      <c r="M96" s="8"/>
      <c r="N96" s="8"/>
      <c r="O96" s="7" t="n">
        <v>0</v>
      </c>
      <c r="P96" s="7" t="n">
        <v>0</v>
      </c>
      <c r="Q96" s="8"/>
      <c r="R96" s="8"/>
      <c r="S96" s="8"/>
      <c r="T96" s="8"/>
      <c r="U96" s="7"/>
      <c r="V96" s="7" t="n">
        <v>0</v>
      </c>
      <c r="W96" s="7" t="n">
        <v>0</v>
      </c>
      <c r="X96" s="7"/>
      <c r="Y96" s="7"/>
      <c r="Z96" s="7" t="s">
        <v>2143</v>
      </c>
    </row>
    <row r="97" customFormat="false" ht="14.25" hidden="false" customHeight="false" outlineLevel="0" collapsed="false">
      <c r="A97" s="7" t="s">
        <v>454</v>
      </c>
      <c r="B97" s="7" t="s">
        <v>2168</v>
      </c>
      <c r="C97" s="7" t="s">
        <v>2018</v>
      </c>
      <c r="D97" s="7" t="s">
        <v>2019</v>
      </c>
      <c r="E97" s="7" t="s">
        <v>2020</v>
      </c>
      <c r="F97" s="7" t="s">
        <v>2021</v>
      </c>
      <c r="G97" s="7" t="n">
        <v>0</v>
      </c>
      <c r="H97" s="7" t="n">
        <v>1</v>
      </c>
      <c r="I97" s="7"/>
      <c r="J97" s="7" t="n">
        <v>2025</v>
      </c>
      <c r="K97" s="7"/>
      <c r="L97" s="8"/>
      <c r="M97" s="8" t="n">
        <v>2000000</v>
      </c>
      <c r="N97" s="8"/>
      <c r="O97" s="7" t="n">
        <v>0</v>
      </c>
      <c r="P97" s="7" t="n">
        <v>0</v>
      </c>
      <c r="Q97" s="8"/>
      <c r="R97" s="8"/>
      <c r="S97" s="8"/>
      <c r="T97" s="8"/>
      <c r="U97" s="7"/>
      <c r="V97" s="7" t="n">
        <v>0</v>
      </c>
      <c r="W97" s="7"/>
      <c r="X97" s="7" t="n">
        <v>2000000</v>
      </c>
      <c r="Y97" s="7"/>
      <c r="Z97" s="7"/>
    </row>
    <row r="98" customFormat="false" ht="14.25" hidden="false" customHeight="false" outlineLevel="0" collapsed="false">
      <c r="A98" s="7" t="s">
        <v>459</v>
      </c>
      <c r="B98" s="7" t="s">
        <v>2169</v>
      </c>
      <c r="C98" s="7" t="s">
        <v>2170</v>
      </c>
      <c r="D98" s="7" t="s">
        <v>2019</v>
      </c>
      <c r="E98" s="7" t="s">
        <v>2020</v>
      </c>
      <c r="F98" s="7" t="s">
        <v>2021</v>
      </c>
      <c r="G98" s="7" t="n">
        <v>0</v>
      </c>
      <c r="H98" s="7" t="n">
        <v>1</v>
      </c>
      <c r="I98" s="7"/>
      <c r="J98" s="7" t="n">
        <v>2021</v>
      </c>
      <c r="K98" s="7"/>
      <c r="L98" s="8"/>
      <c r="M98" s="8" t="n">
        <v>1000000</v>
      </c>
      <c r="N98" s="8"/>
      <c r="O98" s="7" t="n">
        <v>0</v>
      </c>
      <c r="P98" s="7" t="n">
        <v>0</v>
      </c>
      <c r="Q98" s="8"/>
      <c r="R98" s="8"/>
      <c r="S98" s="8"/>
      <c r="T98" s="8"/>
      <c r="U98" s="7"/>
      <c r="V98" s="7" t="n">
        <v>0</v>
      </c>
      <c r="W98" s="7"/>
      <c r="X98" s="7" t="n">
        <v>1000000</v>
      </c>
      <c r="Y98" s="7"/>
      <c r="Z98" s="7"/>
    </row>
    <row r="99" customFormat="false" ht="14.25" hidden="false" customHeight="false" outlineLevel="0" collapsed="false">
      <c r="A99" s="7" t="s">
        <v>459</v>
      </c>
      <c r="B99" s="7" t="s">
        <v>2058</v>
      </c>
      <c r="C99" s="7" t="s">
        <v>2145</v>
      </c>
      <c r="D99" s="7" t="s">
        <v>2056</v>
      </c>
      <c r="E99" s="7" t="s">
        <v>2020</v>
      </c>
      <c r="F99" s="7" t="s">
        <v>2021</v>
      </c>
      <c r="G99" s="7" t="n">
        <v>0</v>
      </c>
      <c r="H99" s="7" t="n">
        <v>1</v>
      </c>
      <c r="I99" s="7"/>
      <c r="J99" s="7" t="n">
        <v>2024</v>
      </c>
      <c r="K99" s="7"/>
      <c r="L99" s="8"/>
      <c r="M99" s="8" t="n">
        <v>180000</v>
      </c>
      <c r="N99" s="8"/>
      <c r="O99" s="7" t="n">
        <v>0</v>
      </c>
      <c r="P99" s="7" t="n">
        <v>0</v>
      </c>
      <c r="Q99" s="8"/>
      <c r="R99" s="8"/>
      <c r="S99" s="8"/>
      <c r="T99" s="8"/>
      <c r="U99" s="7"/>
      <c r="V99" s="7" t="n">
        <v>0</v>
      </c>
      <c r="W99" s="7"/>
      <c r="X99" s="7" t="n">
        <v>180000</v>
      </c>
      <c r="Y99" s="7"/>
      <c r="Z99" s="7"/>
    </row>
    <row r="100" customFormat="false" ht="14.25" hidden="false" customHeight="false" outlineLevel="0" collapsed="false">
      <c r="A100" s="7" t="s">
        <v>465</v>
      </c>
      <c r="B100" s="7"/>
      <c r="C100" s="7" t="s">
        <v>2171</v>
      </c>
      <c r="D100" s="7" t="s">
        <v>262</v>
      </c>
      <c r="E100" s="7" t="s">
        <v>2141</v>
      </c>
      <c r="F100" s="7" t="s">
        <v>262</v>
      </c>
      <c r="G100" s="7" t="n">
        <v>0</v>
      </c>
      <c r="H100" s="7"/>
      <c r="I100" s="7"/>
      <c r="J100" s="7"/>
      <c r="K100" s="7"/>
      <c r="L100" s="8"/>
      <c r="M100" s="8"/>
      <c r="N100" s="8"/>
      <c r="O100" s="7" t="n">
        <v>0</v>
      </c>
      <c r="P100" s="7" t="n">
        <v>0</v>
      </c>
      <c r="Q100" s="8"/>
      <c r="R100" s="8"/>
      <c r="S100" s="8"/>
      <c r="T100" s="8"/>
      <c r="U100" s="7"/>
      <c r="V100" s="7" t="n">
        <v>0</v>
      </c>
      <c r="W100" s="7"/>
      <c r="X100" s="7"/>
      <c r="Y100" s="7"/>
      <c r="Z100" s="7"/>
    </row>
    <row r="101" customFormat="false" ht="14.25" hidden="false" customHeight="false" outlineLevel="0" collapsed="false">
      <c r="A101" s="7" t="s">
        <v>471</v>
      </c>
      <c r="B101" s="7"/>
      <c r="C101" s="7" t="s">
        <v>2172</v>
      </c>
      <c r="D101" s="7" t="s">
        <v>2053</v>
      </c>
      <c r="E101" s="7" t="s">
        <v>2020</v>
      </c>
      <c r="F101" s="7" t="s">
        <v>2021</v>
      </c>
      <c r="G101" s="7" t="n">
        <v>0</v>
      </c>
      <c r="H101" s="7" t="n">
        <v>1</v>
      </c>
      <c r="I101" s="7"/>
      <c r="J101" s="7" t="n">
        <v>2021</v>
      </c>
      <c r="K101" s="7" t="n">
        <v>2022</v>
      </c>
      <c r="L101" s="8" t="n">
        <v>1500000</v>
      </c>
      <c r="M101" s="8" t="n">
        <v>1500000</v>
      </c>
      <c r="N101" s="8" t="n">
        <v>2610000</v>
      </c>
      <c r="O101" s="7" t="n">
        <v>0</v>
      </c>
      <c r="P101" s="7" t="n">
        <v>0</v>
      </c>
      <c r="Q101" s="8"/>
      <c r="R101" s="8" t="n">
        <v>8000000</v>
      </c>
      <c r="S101" s="8" t="n">
        <v>12000000</v>
      </c>
      <c r="T101" s="8" t="n">
        <v>10000000</v>
      </c>
      <c r="U101" s="7" t="n">
        <v>4</v>
      </c>
      <c r="V101" s="7" t="n">
        <v>0</v>
      </c>
      <c r="W101" s="7" t="n">
        <v>1</v>
      </c>
      <c r="X101" s="7" t="s">
        <v>2173</v>
      </c>
      <c r="Y101" s="7" t="s">
        <v>2174</v>
      </c>
      <c r="Z101" s="7" t="s">
        <v>2175</v>
      </c>
    </row>
    <row r="102" customFormat="false" ht="14.25" hidden="false" customHeight="false" outlineLevel="0" collapsed="false">
      <c r="A102" s="7" t="s">
        <v>476</v>
      </c>
      <c r="B102" s="7"/>
      <c r="C102" s="7" t="s">
        <v>2176</v>
      </c>
      <c r="D102" s="7" t="s">
        <v>262</v>
      </c>
      <c r="E102" s="7" t="s">
        <v>2141</v>
      </c>
      <c r="F102" s="7" t="s">
        <v>262</v>
      </c>
      <c r="G102" s="7" t="n">
        <v>0</v>
      </c>
      <c r="H102" s="7"/>
      <c r="I102" s="7"/>
      <c r="J102" s="7"/>
      <c r="K102" s="7"/>
      <c r="L102" s="8"/>
      <c r="M102" s="8"/>
      <c r="N102" s="8"/>
      <c r="O102" s="7" t="n">
        <v>0</v>
      </c>
      <c r="P102" s="7" t="n">
        <v>0</v>
      </c>
      <c r="Q102" s="8"/>
      <c r="R102" s="8"/>
      <c r="S102" s="8"/>
      <c r="T102" s="8"/>
      <c r="U102" s="7" t="n">
        <v>4</v>
      </c>
      <c r="V102" s="7" t="n">
        <v>0</v>
      </c>
      <c r="W102" s="7" t="n">
        <v>0</v>
      </c>
      <c r="X102" s="7"/>
      <c r="Y102" s="7"/>
      <c r="Z102" s="7" t="s">
        <v>2177</v>
      </c>
    </row>
    <row r="103" customFormat="false" ht="14.25" hidden="false" customHeight="false" outlineLevel="0" collapsed="false">
      <c r="A103" s="7" t="s">
        <v>481</v>
      </c>
      <c r="B103" s="7"/>
      <c r="C103" s="7" t="s">
        <v>2171</v>
      </c>
      <c r="D103" s="7" t="s">
        <v>2032</v>
      </c>
      <c r="E103" s="7" t="s">
        <v>2141</v>
      </c>
      <c r="F103" s="7" t="s">
        <v>2021</v>
      </c>
      <c r="G103" s="7" t="n">
        <v>0</v>
      </c>
      <c r="H103" s="7" t="n">
        <v>1</v>
      </c>
      <c r="I103" s="7"/>
      <c r="J103" s="7"/>
      <c r="K103" s="7"/>
      <c r="L103" s="8"/>
      <c r="M103" s="8"/>
      <c r="N103" s="8"/>
      <c r="O103" s="7" t="n">
        <v>0</v>
      </c>
      <c r="P103" s="7" t="n">
        <v>0</v>
      </c>
      <c r="Q103" s="8"/>
      <c r="R103" s="8"/>
      <c r="S103" s="8"/>
      <c r="T103" s="8"/>
      <c r="U103" s="7"/>
      <c r="V103" s="7" t="n">
        <v>0</v>
      </c>
      <c r="W103" s="7" t="n">
        <v>0</v>
      </c>
      <c r="X103" s="7"/>
      <c r="Y103" s="7"/>
      <c r="Z103" s="7" t="s">
        <v>2178</v>
      </c>
    </row>
    <row r="104" customFormat="false" ht="14.25" hidden="false" customHeight="false" outlineLevel="0" collapsed="false">
      <c r="A104" s="7" t="s">
        <v>487</v>
      </c>
      <c r="B104" s="7"/>
      <c r="C104" s="7" t="s">
        <v>2161</v>
      </c>
      <c r="D104" s="7" t="s">
        <v>2032</v>
      </c>
      <c r="E104" s="7" t="s">
        <v>2020</v>
      </c>
      <c r="F104" s="7" t="s">
        <v>2021</v>
      </c>
      <c r="G104" s="7" t="n">
        <v>0</v>
      </c>
      <c r="H104" s="7" t="n">
        <v>1</v>
      </c>
      <c r="I104" s="7"/>
      <c r="J104" s="7" t="n">
        <v>2024</v>
      </c>
      <c r="K104" s="7"/>
      <c r="L104" s="8" t="n">
        <v>360000</v>
      </c>
      <c r="M104" s="8" t="n">
        <v>800000</v>
      </c>
      <c r="N104" s="8"/>
      <c r="O104" s="7" t="n">
        <v>0</v>
      </c>
      <c r="P104" s="7" t="n">
        <v>0</v>
      </c>
      <c r="Q104" s="8"/>
      <c r="R104" s="8" t="n">
        <v>2000000</v>
      </c>
      <c r="S104" s="8" t="n">
        <v>4000000</v>
      </c>
      <c r="T104" s="8" t="n">
        <v>3000000</v>
      </c>
      <c r="U104" s="7" t="n">
        <v>3</v>
      </c>
      <c r="V104" s="7" t="n">
        <v>0</v>
      </c>
      <c r="W104" s="7" t="n">
        <v>0</v>
      </c>
      <c r="X104" s="7" t="n">
        <v>800000</v>
      </c>
      <c r="Y104" s="7" t="s">
        <v>2179</v>
      </c>
      <c r="Z104" s="7" t="s">
        <v>2180</v>
      </c>
    </row>
    <row r="105" customFormat="false" ht="14.25" hidden="false" customHeight="false" outlineLevel="0" collapsed="false">
      <c r="A105" s="7" t="s">
        <v>491</v>
      </c>
      <c r="B105" s="7"/>
      <c r="C105" s="7" t="s">
        <v>2181</v>
      </c>
      <c r="D105" s="7" t="s">
        <v>2050</v>
      </c>
      <c r="E105" s="7" t="s">
        <v>2020</v>
      </c>
      <c r="F105" s="7" t="s">
        <v>2021</v>
      </c>
      <c r="G105" s="7" t="n">
        <v>0</v>
      </c>
      <c r="H105" s="7" t="n">
        <v>1</v>
      </c>
      <c r="I105" s="7"/>
      <c r="J105" s="7" t="n">
        <v>2021</v>
      </c>
      <c r="K105" s="7" t="n">
        <v>2026</v>
      </c>
      <c r="L105" s="8"/>
      <c r="M105" s="8" t="n">
        <v>200000</v>
      </c>
      <c r="N105" s="8"/>
      <c r="O105" s="7" t="n">
        <v>1</v>
      </c>
      <c r="P105" s="7" t="n">
        <v>0</v>
      </c>
      <c r="Q105" s="8"/>
      <c r="R105" s="8" t="n">
        <v>2500000</v>
      </c>
      <c r="S105" s="8" t="n">
        <v>5000000</v>
      </c>
      <c r="T105" s="8" t="n">
        <v>3750000</v>
      </c>
      <c r="U105" s="7" t="n">
        <v>3</v>
      </c>
      <c r="V105" s="7" t="n">
        <v>0</v>
      </c>
      <c r="W105" s="7" t="n">
        <v>0</v>
      </c>
      <c r="X105" s="7" t="s">
        <v>2182</v>
      </c>
      <c r="Y105" s="7" t="s">
        <v>2183</v>
      </c>
      <c r="Z105" s="7" t="s">
        <v>2184</v>
      </c>
    </row>
    <row r="106" customFormat="false" ht="14.25" hidden="false" customHeight="false" outlineLevel="0" collapsed="false">
      <c r="A106" s="7" t="s">
        <v>496</v>
      </c>
      <c r="B106" s="7"/>
      <c r="C106" s="7" t="s">
        <v>2185</v>
      </c>
      <c r="D106" s="7" t="s">
        <v>262</v>
      </c>
      <c r="E106" s="7" t="s">
        <v>2141</v>
      </c>
      <c r="F106" s="7" t="s">
        <v>262</v>
      </c>
      <c r="G106" s="7" t="n">
        <v>0</v>
      </c>
      <c r="H106" s="7"/>
      <c r="I106" s="7"/>
      <c r="J106" s="7"/>
      <c r="K106" s="7"/>
      <c r="L106" s="8"/>
      <c r="M106" s="8"/>
      <c r="N106" s="8"/>
      <c r="O106" s="7" t="n">
        <v>0</v>
      </c>
      <c r="P106" s="7" t="n">
        <v>0</v>
      </c>
      <c r="Q106" s="8"/>
      <c r="R106" s="8"/>
      <c r="S106" s="8"/>
      <c r="T106" s="8"/>
      <c r="U106" s="7"/>
      <c r="V106" s="7" t="n">
        <v>0</v>
      </c>
      <c r="W106" s="7" t="n">
        <v>0</v>
      </c>
      <c r="X106" s="7"/>
      <c r="Y106" s="7"/>
      <c r="Z106" s="7" t="s">
        <v>2186</v>
      </c>
    </row>
    <row r="107" customFormat="false" ht="14.25" hidden="false" customHeight="false" outlineLevel="0" collapsed="false">
      <c r="A107" s="7" t="s">
        <v>501</v>
      </c>
      <c r="B107" s="7"/>
      <c r="C107" s="7" t="s">
        <v>2187</v>
      </c>
      <c r="D107" s="7" t="s">
        <v>262</v>
      </c>
      <c r="E107" s="7" t="s">
        <v>2141</v>
      </c>
      <c r="F107" s="7" t="s">
        <v>262</v>
      </c>
      <c r="G107" s="7" t="n">
        <v>0</v>
      </c>
      <c r="H107" s="7"/>
      <c r="I107" s="7"/>
      <c r="J107" s="7"/>
      <c r="K107" s="7"/>
      <c r="L107" s="8"/>
      <c r="M107" s="8"/>
      <c r="N107" s="8"/>
      <c r="O107" s="7" t="n">
        <v>0</v>
      </c>
      <c r="P107" s="7" t="n">
        <v>0</v>
      </c>
      <c r="Q107" s="8"/>
      <c r="R107" s="8"/>
      <c r="S107" s="8"/>
      <c r="T107" s="8"/>
      <c r="U107" s="7"/>
      <c r="V107" s="7" t="n">
        <v>0</v>
      </c>
      <c r="W107" s="7" t="n">
        <v>0</v>
      </c>
      <c r="X107" s="7"/>
      <c r="Y107" s="7"/>
      <c r="Z107" s="7" t="s">
        <v>2188</v>
      </c>
    </row>
    <row r="108" customFormat="false" ht="14.25" hidden="false" customHeight="false" outlineLevel="0" collapsed="false">
      <c r="A108" s="7" t="s">
        <v>505</v>
      </c>
      <c r="B108" s="7"/>
      <c r="C108" s="7" t="s">
        <v>2181</v>
      </c>
      <c r="D108" s="7" t="s">
        <v>262</v>
      </c>
      <c r="E108" s="7" t="s">
        <v>2141</v>
      </c>
      <c r="F108" s="7" t="s">
        <v>262</v>
      </c>
      <c r="G108" s="7" t="n">
        <v>0</v>
      </c>
      <c r="H108" s="7"/>
      <c r="I108" s="7"/>
      <c r="J108" s="7"/>
      <c r="K108" s="7"/>
      <c r="L108" s="8"/>
      <c r="M108" s="8"/>
      <c r="N108" s="8"/>
      <c r="O108" s="7" t="n">
        <v>0</v>
      </c>
      <c r="P108" s="7" t="n">
        <v>0</v>
      </c>
      <c r="Q108" s="8"/>
      <c r="R108" s="8"/>
      <c r="S108" s="8"/>
      <c r="T108" s="8"/>
      <c r="U108" s="7"/>
      <c r="V108" s="7" t="n">
        <v>0</v>
      </c>
      <c r="W108" s="7"/>
      <c r="X108" s="7"/>
      <c r="Y108" s="7"/>
      <c r="Z108" s="7"/>
    </row>
    <row r="109" customFormat="false" ht="14.25" hidden="false" customHeight="false" outlineLevel="0" collapsed="false">
      <c r="A109" s="7" t="s">
        <v>508</v>
      </c>
      <c r="B109" s="7"/>
      <c r="C109" s="7" t="s">
        <v>2189</v>
      </c>
      <c r="D109" s="7" t="s">
        <v>2056</v>
      </c>
      <c r="E109" s="7" t="s">
        <v>2020</v>
      </c>
      <c r="F109" s="7" t="s">
        <v>2021</v>
      </c>
      <c r="G109" s="7" t="n">
        <v>0</v>
      </c>
      <c r="H109" s="7" t="n">
        <v>1</v>
      </c>
      <c r="I109" s="7"/>
      <c r="J109" s="7" t="n">
        <v>2020</v>
      </c>
      <c r="K109" s="7" t="n">
        <v>2018</v>
      </c>
      <c r="L109" s="8" t="n">
        <v>4000000</v>
      </c>
      <c r="M109" s="8" t="n">
        <v>3120000</v>
      </c>
      <c r="N109" s="8" t="n">
        <v>5110000</v>
      </c>
      <c r="O109" s="7" t="n">
        <v>0</v>
      </c>
      <c r="P109" s="7" t="n">
        <v>0</v>
      </c>
      <c r="Q109" s="8"/>
      <c r="R109" s="8" t="n">
        <v>15000000</v>
      </c>
      <c r="S109" s="8" t="n">
        <v>25000000</v>
      </c>
      <c r="T109" s="8" t="n">
        <v>20000000</v>
      </c>
      <c r="U109" s="7" t="n">
        <v>4</v>
      </c>
      <c r="V109" s="7" t="n">
        <v>0</v>
      </c>
      <c r="W109" s="7" t="n">
        <v>1</v>
      </c>
      <c r="X109" s="7" t="s">
        <v>2190</v>
      </c>
      <c r="Y109" s="7" t="s">
        <v>2191</v>
      </c>
      <c r="Z109" s="7" t="s">
        <v>2175</v>
      </c>
    </row>
    <row r="110" customFormat="false" ht="14.25" hidden="false" customHeight="false" outlineLevel="0" collapsed="false">
      <c r="A110" s="7" t="s">
        <v>513</v>
      </c>
      <c r="B110" s="7"/>
      <c r="C110" s="7" t="s">
        <v>2172</v>
      </c>
      <c r="D110" s="7" t="s">
        <v>2053</v>
      </c>
      <c r="E110" s="7" t="s">
        <v>2141</v>
      </c>
      <c r="F110" s="7" t="s">
        <v>2021</v>
      </c>
      <c r="G110" s="7" t="n">
        <v>0</v>
      </c>
      <c r="H110" s="7" t="n">
        <v>1</v>
      </c>
      <c r="I110" s="7"/>
      <c r="J110" s="7"/>
      <c r="K110" s="7"/>
      <c r="L110" s="8"/>
      <c r="M110" s="8"/>
      <c r="N110" s="8"/>
      <c r="O110" s="7" t="n">
        <v>0</v>
      </c>
      <c r="P110" s="7" t="n">
        <v>0</v>
      </c>
      <c r="Q110" s="8"/>
      <c r="R110" s="8"/>
      <c r="S110" s="8"/>
      <c r="T110" s="8"/>
      <c r="U110" s="7"/>
      <c r="V110" s="7" t="n">
        <v>0</v>
      </c>
      <c r="W110" s="7"/>
      <c r="X110" s="7"/>
      <c r="Y110" s="7"/>
      <c r="Z110" s="7"/>
    </row>
    <row r="111" customFormat="false" ht="14.25" hidden="false" customHeight="false" outlineLevel="0" collapsed="false">
      <c r="A111" s="7" t="s">
        <v>519</v>
      </c>
      <c r="B111" s="7"/>
      <c r="C111" s="7" t="s">
        <v>2053</v>
      </c>
      <c r="D111" s="7" t="s">
        <v>2192</v>
      </c>
      <c r="E111" s="7" t="s">
        <v>2141</v>
      </c>
      <c r="F111" s="7" t="s">
        <v>2021</v>
      </c>
      <c r="G111" s="7" t="n">
        <v>0</v>
      </c>
      <c r="H111" s="7" t="n">
        <v>1</v>
      </c>
      <c r="I111" s="7"/>
      <c r="J111" s="7"/>
      <c r="K111" s="7"/>
      <c r="L111" s="8"/>
      <c r="M111" s="8"/>
      <c r="N111" s="8"/>
      <c r="O111" s="7" t="n">
        <v>0</v>
      </c>
      <c r="P111" s="7" t="n">
        <v>0</v>
      </c>
      <c r="Q111" s="8"/>
      <c r="R111" s="8"/>
      <c r="S111" s="8"/>
      <c r="T111" s="8"/>
      <c r="U111" s="7"/>
      <c r="V111" s="7" t="n">
        <v>0</v>
      </c>
      <c r="W111" s="7" t="n">
        <v>0</v>
      </c>
      <c r="X111" s="7"/>
      <c r="Y111" s="7"/>
      <c r="Z111" s="7" t="s">
        <v>2193</v>
      </c>
    </row>
    <row r="112" customFormat="false" ht="14.25" hidden="false" customHeight="false" outlineLevel="0" collapsed="false">
      <c r="A112" s="7" t="s">
        <v>524</v>
      </c>
      <c r="B112" s="7"/>
      <c r="C112" s="7" t="s">
        <v>2194</v>
      </c>
      <c r="D112" s="7" t="s">
        <v>2053</v>
      </c>
      <c r="E112" s="7" t="s">
        <v>2020</v>
      </c>
      <c r="F112" s="7" t="s">
        <v>2021</v>
      </c>
      <c r="G112" s="7" t="n">
        <v>0</v>
      </c>
      <c r="H112" s="7" t="n">
        <v>1</v>
      </c>
      <c r="I112" s="7"/>
      <c r="J112" s="7" t="n">
        <v>2014</v>
      </c>
      <c r="K112" s="7"/>
      <c r="L112" s="8" t="n">
        <v>4300000</v>
      </c>
      <c r="M112" s="8" t="n">
        <v>4300000</v>
      </c>
      <c r="N112" s="8"/>
      <c r="O112" s="7" t="n">
        <v>0</v>
      </c>
      <c r="P112" s="7" t="n">
        <v>0</v>
      </c>
      <c r="Q112" s="8"/>
      <c r="R112" s="8" t="n">
        <v>35000000</v>
      </c>
      <c r="S112" s="8" t="n">
        <v>35000000</v>
      </c>
      <c r="T112" s="8" t="n">
        <v>35000000</v>
      </c>
      <c r="U112" s="7" t="n">
        <v>5</v>
      </c>
      <c r="V112" s="7" t="n">
        <v>0</v>
      </c>
      <c r="W112" s="7" t="n">
        <v>0</v>
      </c>
      <c r="X112" s="7" t="s">
        <v>2195</v>
      </c>
      <c r="Y112" s="7" t="s">
        <v>2196</v>
      </c>
      <c r="Z112" s="7" t="s">
        <v>2197</v>
      </c>
    </row>
    <row r="113" customFormat="false" ht="14.25" hidden="false" customHeight="false" outlineLevel="0" collapsed="false">
      <c r="A113" s="7" t="s">
        <v>530</v>
      </c>
      <c r="B113" s="7"/>
      <c r="C113" s="7" t="s">
        <v>2198</v>
      </c>
      <c r="D113" s="7" t="s">
        <v>262</v>
      </c>
      <c r="E113" s="7" t="s">
        <v>2141</v>
      </c>
      <c r="F113" s="7" t="s">
        <v>262</v>
      </c>
      <c r="G113" s="7" t="n">
        <v>0</v>
      </c>
      <c r="H113" s="7"/>
      <c r="I113" s="7"/>
      <c r="J113" s="7"/>
      <c r="K113" s="7"/>
      <c r="L113" s="8"/>
      <c r="M113" s="8"/>
      <c r="N113" s="8"/>
      <c r="O113" s="7" t="n">
        <v>0</v>
      </c>
      <c r="P113" s="7" t="n">
        <v>0</v>
      </c>
      <c r="Q113" s="8"/>
      <c r="R113" s="8"/>
      <c r="S113" s="8"/>
      <c r="T113" s="8"/>
      <c r="U113" s="7"/>
      <c r="V113" s="7" t="n">
        <v>0</v>
      </c>
      <c r="W113" s="7" t="n">
        <v>0</v>
      </c>
      <c r="X113" s="7"/>
      <c r="Y113" s="7"/>
      <c r="Z113" s="7" t="s">
        <v>2199</v>
      </c>
    </row>
    <row r="114" customFormat="false" ht="14.25" hidden="false" customHeight="false" outlineLevel="0" collapsed="false">
      <c r="A114" s="7" t="s">
        <v>1319</v>
      </c>
      <c r="B114" s="7"/>
      <c r="C114" s="7" t="s">
        <v>2172</v>
      </c>
      <c r="D114" s="7" t="s">
        <v>262</v>
      </c>
      <c r="E114" s="7" t="s">
        <v>2141</v>
      </c>
      <c r="F114" s="7" t="s">
        <v>262</v>
      </c>
      <c r="G114" s="7" t="n">
        <v>0</v>
      </c>
      <c r="H114" s="7"/>
      <c r="I114" s="7"/>
      <c r="J114" s="7"/>
      <c r="K114" s="7"/>
      <c r="L114" s="8"/>
      <c r="M114" s="8"/>
      <c r="N114" s="8"/>
      <c r="O114" s="7" t="n">
        <v>0</v>
      </c>
      <c r="P114" s="7" t="n">
        <v>0</v>
      </c>
      <c r="Q114" s="8"/>
      <c r="R114" s="8"/>
      <c r="S114" s="8"/>
      <c r="T114" s="8"/>
      <c r="U114" s="7"/>
      <c r="V114" s="7" t="n">
        <v>0</v>
      </c>
      <c r="W114" s="7"/>
      <c r="X114" s="7"/>
      <c r="Y114" s="7"/>
      <c r="Z114" s="7"/>
    </row>
    <row r="115" customFormat="false" ht="14.25" hidden="false" customHeight="false" outlineLevel="0" collapsed="false">
      <c r="A115" s="7" t="s">
        <v>535</v>
      </c>
      <c r="B115" s="7"/>
      <c r="C115" s="7" t="s">
        <v>2181</v>
      </c>
      <c r="D115" s="7" t="s">
        <v>262</v>
      </c>
      <c r="E115" s="7" t="s">
        <v>2141</v>
      </c>
      <c r="F115" s="7" t="s">
        <v>262</v>
      </c>
      <c r="G115" s="7" t="n">
        <v>0</v>
      </c>
      <c r="H115" s="7"/>
      <c r="I115" s="7"/>
      <c r="J115" s="7"/>
      <c r="K115" s="7"/>
      <c r="L115" s="8"/>
      <c r="M115" s="8"/>
      <c r="N115" s="8"/>
      <c r="O115" s="7" t="n">
        <v>0</v>
      </c>
      <c r="P115" s="7" t="n">
        <v>0</v>
      </c>
      <c r="Q115" s="8"/>
      <c r="R115" s="8"/>
      <c r="S115" s="8"/>
      <c r="T115" s="8"/>
      <c r="U115" s="7"/>
      <c r="V115" s="7" t="n">
        <v>0</v>
      </c>
      <c r="W115" s="7" t="n">
        <v>0</v>
      </c>
      <c r="X115" s="7"/>
      <c r="Y115" s="7"/>
      <c r="Z115" s="7" t="s">
        <v>2200</v>
      </c>
    </row>
    <row r="116" customFormat="false" ht="14.25" hidden="false" customHeight="false" outlineLevel="0" collapsed="false">
      <c r="A116" s="7" t="s">
        <v>540</v>
      </c>
      <c r="B116" s="7"/>
      <c r="C116" s="7" t="s">
        <v>2201</v>
      </c>
      <c r="D116" s="7" t="s">
        <v>262</v>
      </c>
      <c r="E116" s="7" t="s">
        <v>2141</v>
      </c>
      <c r="F116" s="7" t="s">
        <v>262</v>
      </c>
      <c r="G116" s="7" t="n">
        <v>0</v>
      </c>
      <c r="H116" s="7"/>
      <c r="I116" s="7"/>
      <c r="J116" s="7"/>
      <c r="K116" s="7"/>
      <c r="L116" s="8"/>
      <c r="M116" s="8"/>
      <c r="N116" s="8"/>
      <c r="O116" s="7" t="n">
        <v>0</v>
      </c>
      <c r="P116" s="7" t="n">
        <v>0</v>
      </c>
      <c r="Q116" s="8"/>
      <c r="R116" s="8"/>
      <c r="S116" s="8"/>
      <c r="T116" s="8"/>
      <c r="U116" s="7"/>
      <c r="V116" s="7" t="n">
        <v>0</v>
      </c>
      <c r="W116" s="7"/>
      <c r="X116" s="7"/>
      <c r="Y116" s="7"/>
      <c r="Z116" s="7"/>
    </row>
    <row r="117" customFormat="false" ht="14.25" hidden="false" customHeight="false" outlineLevel="0" collapsed="false">
      <c r="A117" s="7" t="s">
        <v>545</v>
      </c>
      <c r="B117" s="7"/>
      <c r="C117" s="7" t="s">
        <v>2198</v>
      </c>
      <c r="D117" s="7" t="s">
        <v>262</v>
      </c>
      <c r="E117" s="7" t="s">
        <v>2141</v>
      </c>
      <c r="F117" s="7" t="s">
        <v>262</v>
      </c>
      <c r="G117" s="7" t="n">
        <v>0</v>
      </c>
      <c r="H117" s="7"/>
      <c r="I117" s="7"/>
      <c r="J117" s="7"/>
      <c r="K117" s="7"/>
      <c r="L117" s="8"/>
      <c r="M117" s="8"/>
      <c r="N117" s="8"/>
      <c r="O117" s="7" t="n">
        <v>0</v>
      </c>
      <c r="P117" s="7" t="n">
        <v>0</v>
      </c>
      <c r="Q117" s="8"/>
      <c r="R117" s="8"/>
      <c r="S117" s="8"/>
      <c r="T117" s="8"/>
      <c r="U117" s="7"/>
      <c r="V117" s="7" t="n">
        <v>0</v>
      </c>
      <c r="W117" s="7"/>
      <c r="X117" s="7"/>
      <c r="Y117" s="7"/>
      <c r="Z117" s="7"/>
    </row>
    <row r="118" customFormat="false" ht="14.25" hidden="false" customHeight="false" outlineLevel="0" collapsed="false">
      <c r="A118" s="7" t="s">
        <v>550</v>
      </c>
      <c r="B118" s="7"/>
      <c r="C118" s="7" t="s">
        <v>2171</v>
      </c>
      <c r="D118" s="7" t="s">
        <v>2032</v>
      </c>
      <c r="E118" s="7" t="s">
        <v>2141</v>
      </c>
      <c r="F118" s="7" t="s">
        <v>2021</v>
      </c>
      <c r="G118" s="7" t="n">
        <v>0</v>
      </c>
      <c r="H118" s="7" t="n">
        <v>1</v>
      </c>
      <c r="I118" s="7"/>
      <c r="J118" s="7"/>
      <c r="K118" s="7"/>
      <c r="L118" s="8"/>
      <c r="M118" s="8"/>
      <c r="N118" s="8"/>
      <c r="O118" s="7" t="n">
        <v>0</v>
      </c>
      <c r="P118" s="7" t="n">
        <v>0</v>
      </c>
      <c r="Q118" s="8"/>
      <c r="R118" s="8"/>
      <c r="S118" s="8"/>
      <c r="T118" s="8"/>
      <c r="U118" s="7"/>
      <c r="V118" s="7" t="n">
        <v>0</v>
      </c>
      <c r="W118" s="7" t="n">
        <v>0</v>
      </c>
      <c r="X118" s="7"/>
      <c r="Y118" s="7"/>
      <c r="Z118" s="7" t="s">
        <v>2202</v>
      </c>
    </row>
    <row r="119" customFormat="false" ht="14.25" hidden="false" customHeight="false" outlineLevel="0" collapsed="false">
      <c r="A119" s="7" t="s">
        <v>554</v>
      </c>
      <c r="B119" s="7"/>
      <c r="C119" s="7" t="s">
        <v>2194</v>
      </c>
      <c r="D119" s="7" t="s">
        <v>262</v>
      </c>
      <c r="E119" s="7" t="s">
        <v>2141</v>
      </c>
      <c r="F119" s="7" t="s">
        <v>262</v>
      </c>
      <c r="G119" s="7" t="n">
        <v>0</v>
      </c>
      <c r="H119" s="7"/>
      <c r="I119" s="7"/>
      <c r="J119" s="7"/>
      <c r="K119" s="7"/>
      <c r="L119" s="8"/>
      <c r="M119" s="8"/>
      <c r="N119" s="8"/>
      <c r="O119" s="7" t="n">
        <v>0</v>
      </c>
      <c r="P119" s="7" t="n">
        <v>0</v>
      </c>
      <c r="Q119" s="8"/>
      <c r="R119" s="8"/>
      <c r="S119" s="8"/>
      <c r="T119" s="8"/>
      <c r="U119" s="7"/>
      <c r="V119" s="7" t="n">
        <v>0</v>
      </c>
      <c r="W119" s="7" t="n">
        <v>0</v>
      </c>
      <c r="X119" s="7"/>
      <c r="Y119" s="7"/>
      <c r="Z119" s="7" t="s">
        <v>2203</v>
      </c>
    </row>
    <row r="120" customFormat="false" ht="14.25" hidden="false" customHeight="false" outlineLevel="0" collapsed="false">
      <c r="A120" s="7" t="s">
        <v>106</v>
      </c>
      <c r="B120" s="7" t="s">
        <v>2204</v>
      </c>
      <c r="C120" s="7" t="s">
        <v>2205</v>
      </c>
      <c r="D120" s="7" t="s">
        <v>2056</v>
      </c>
      <c r="E120" s="7" t="s">
        <v>2020</v>
      </c>
      <c r="F120" s="7" t="s">
        <v>2021</v>
      </c>
      <c r="G120" s="7" t="n">
        <v>0</v>
      </c>
      <c r="H120" s="7" t="n">
        <v>1</v>
      </c>
      <c r="I120" s="7"/>
      <c r="J120" s="7" t="n">
        <v>2017</v>
      </c>
      <c r="K120" s="7"/>
      <c r="L120" s="8"/>
      <c r="M120" s="8"/>
      <c r="N120" s="8"/>
      <c r="O120" s="7" t="n">
        <v>0</v>
      </c>
      <c r="P120" s="7" t="n">
        <v>0</v>
      </c>
      <c r="Q120" s="8"/>
      <c r="R120" s="8"/>
      <c r="S120" s="8"/>
      <c r="T120" s="8"/>
      <c r="U120" s="7"/>
      <c r="V120" s="7" t="n">
        <v>0</v>
      </c>
      <c r="W120" s="7" t="n">
        <v>0</v>
      </c>
      <c r="X120" s="7" t="s">
        <v>2110</v>
      </c>
      <c r="Y120" s="7"/>
      <c r="Z120" s="7" t="s">
        <v>2206</v>
      </c>
    </row>
    <row r="121" customFormat="false" ht="14.25" hidden="false" customHeight="false" outlineLevel="0" collapsed="false">
      <c r="A121" s="7" t="s">
        <v>106</v>
      </c>
      <c r="B121" s="7" t="s">
        <v>2207</v>
      </c>
      <c r="C121" s="7" t="s">
        <v>2208</v>
      </c>
      <c r="D121" s="7" t="s">
        <v>2053</v>
      </c>
      <c r="E121" s="7" t="s">
        <v>2020</v>
      </c>
      <c r="F121" s="7" t="s">
        <v>2021</v>
      </c>
      <c r="G121" s="7" t="n">
        <v>0</v>
      </c>
      <c r="H121" s="7" t="n">
        <v>1</v>
      </c>
      <c r="I121" s="7"/>
      <c r="J121" s="7" t="n">
        <v>2017</v>
      </c>
      <c r="K121" s="7"/>
      <c r="L121" s="8"/>
      <c r="M121" s="8"/>
      <c r="N121" s="8"/>
      <c r="O121" s="7" t="n">
        <v>0</v>
      </c>
      <c r="P121" s="7" t="n">
        <v>0</v>
      </c>
      <c r="Q121" s="8"/>
      <c r="R121" s="8"/>
      <c r="S121" s="8"/>
      <c r="T121" s="8"/>
      <c r="U121" s="7"/>
      <c r="V121" s="7" t="n">
        <v>0</v>
      </c>
      <c r="W121" s="7" t="n">
        <v>0</v>
      </c>
      <c r="X121" s="7" t="s">
        <v>2110</v>
      </c>
      <c r="Y121" s="7"/>
      <c r="Z121" s="7" t="s">
        <v>2209</v>
      </c>
    </row>
    <row r="122" customFormat="false" ht="14.25" hidden="false" customHeight="false" outlineLevel="0" collapsed="false">
      <c r="A122" s="7" t="s">
        <v>110</v>
      </c>
      <c r="B122" s="7" t="s">
        <v>2210</v>
      </c>
      <c r="C122" s="7" t="s">
        <v>2211</v>
      </c>
      <c r="D122" s="7" t="s">
        <v>2192</v>
      </c>
      <c r="E122" s="7" t="s">
        <v>2020</v>
      </c>
      <c r="F122" s="7" t="s">
        <v>2021</v>
      </c>
      <c r="G122" s="7" t="n">
        <v>0</v>
      </c>
      <c r="H122" s="7" t="n">
        <v>1</v>
      </c>
      <c r="I122" s="7"/>
      <c r="J122" s="7"/>
      <c r="K122" s="7"/>
      <c r="L122" s="8"/>
      <c r="M122" s="8"/>
      <c r="N122" s="8"/>
      <c r="O122" s="7" t="n">
        <v>0</v>
      </c>
      <c r="P122" s="7" t="n">
        <v>0</v>
      </c>
      <c r="Q122" s="8"/>
      <c r="R122" s="8"/>
      <c r="S122" s="8"/>
      <c r="T122" s="8"/>
      <c r="U122" s="7"/>
      <c r="V122" s="7" t="n">
        <v>0</v>
      </c>
      <c r="W122" s="7"/>
      <c r="X122" s="7" t="s">
        <v>2212</v>
      </c>
      <c r="Y122" s="7"/>
      <c r="Z122" s="7"/>
    </row>
    <row r="123" customFormat="false" ht="14.25" hidden="false" customHeight="false" outlineLevel="0" collapsed="false">
      <c r="A123" s="7" t="s">
        <v>123</v>
      </c>
      <c r="B123" s="7" t="s">
        <v>2213</v>
      </c>
      <c r="C123" s="7" t="s">
        <v>2214</v>
      </c>
      <c r="D123" s="7" t="s">
        <v>2192</v>
      </c>
      <c r="E123" s="7" t="s">
        <v>2020</v>
      </c>
      <c r="F123" s="7" t="s">
        <v>2021</v>
      </c>
      <c r="G123" s="7" t="n">
        <v>0</v>
      </c>
      <c r="H123" s="7" t="n">
        <v>1</v>
      </c>
      <c r="I123" s="7"/>
      <c r="J123" s="7" t="n">
        <v>2020</v>
      </c>
      <c r="K123" s="7"/>
      <c r="L123" s="8"/>
      <c r="M123" s="8"/>
      <c r="N123" s="8"/>
      <c r="O123" s="7" t="n">
        <v>0</v>
      </c>
      <c r="P123" s="7" t="n">
        <v>0</v>
      </c>
      <c r="Q123" s="8"/>
      <c r="R123" s="8"/>
      <c r="S123" s="8"/>
      <c r="T123" s="8"/>
      <c r="U123" s="7"/>
      <c r="V123" s="7" t="n">
        <v>0</v>
      </c>
      <c r="W123" s="7"/>
      <c r="X123" s="7" t="s">
        <v>2215</v>
      </c>
      <c r="Y123" s="7"/>
      <c r="Z123" s="7"/>
    </row>
    <row r="124" customFormat="false" ht="14.25" hidden="false" customHeight="false" outlineLevel="0" collapsed="false">
      <c r="A124" s="7" t="s">
        <v>127</v>
      </c>
      <c r="B124" s="7" t="s">
        <v>2216</v>
      </c>
      <c r="C124" s="7" t="s">
        <v>2217</v>
      </c>
      <c r="D124" s="7" t="s">
        <v>2053</v>
      </c>
      <c r="E124" s="7" t="s">
        <v>2020</v>
      </c>
      <c r="F124" s="7" t="s">
        <v>2021</v>
      </c>
      <c r="G124" s="7" t="n">
        <v>0</v>
      </c>
      <c r="H124" s="7" t="n">
        <v>1</v>
      </c>
      <c r="I124" s="7"/>
      <c r="J124" s="7" t="n">
        <v>2018</v>
      </c>
      <c r="K124" s="7"/>
      <c r="L124" s="8"/>
      <c r="M124" s="8" t="n">
        <v>5000000</v>
      </c>
      <c r="N124" s="8"/>
      <c r="O124" s="7" t="n">
        <v>0</v>
      </c>
      <c r="P124" s="7" t="n">
        <v>0</v>
      </c>
      <c r="Q124" s="8"/>
      <c r="R124" s="8"/>
      <c r="S124" s="8"/>
      <c r="T124" s="8"/>
      <c r="U124" s="7"/>
      <c r="V124" s="7" t="n">
        <v>0</v>
      </c>
      <c r="W124" s="7" t="n">
        <v>0</v>
      </c>
      <c r="X124" s="7" t="s">
        <v>2218</v>
      </c>
      <c r="Y124" s="7"/>
      <c r="Z124" s="7" t="s">
        <v>2219</v>
      </c>
    </row>
    <row r="125" customFormat="false" ht="14.25" hidden="false" customHeight="false" outlineLevel="0" collapsed="false">
      <c r="A125" s="7" t="s">
        <v>131</v>
      </c>
      <c r="B125" s="7" t="s">
        <v>2110</v>
      </c>
      <c r="C125" s="7" t="s">
        <v>262</v>
      </c>
      <c r="D125" s="7" t="s">
        <v>262</v>
      </c>
      <c r="E125" s="7" t="s">
        <v>2141</v>
      </c>
      <c r="F125" s="7" t="s">
        <v>262</v>
      </c>
      <c r="G125" s="7" t="n">
        <v>0</v>
      </c>
      <c r="H125" s="7"/>
      <c r="I125" s="7"/>
      <c r="J125" s="7"/>
      <c r="K125" s="7"/>
      <c r="L125" s="8"/>
      <c r="M125" s="8"/>
      <c r="N125" s="8"/>
      <c r="O125" s="7" t="n">
        <v>0</v>
      </c>
      <c r="P125" s="7" t="n">
        <v>0</v>
      </c>
      <c r="Q125" s="8"/>
      <c r="R125" s="8"/>
      <c r="S125" s="8"/>
      <c r="T125" s="8"/>
      <c r="U125" s="7"/>
      <c r="V125" s="7" t="n">
        <v>0</v>
      </c>
      <c r="W125" s="7"/>
      <c r="X125" s="7"/>
      <c r="Y125" s="7"/>
      <c r="Z125" s="7"/>
    </row>
    <row r="126" customFormat="false" ht="14.25" hidden="false" customHeight="false" outlineLevel="0" collapsed="false">
      <c r="A126" s="7" t="s">
        <v>125</v>
      </c>
      <c r="B126" s="7" t="s">
        <v>2220</v>
      </c>
      <c r="C126" s="7" t="s">
        <v>2214</v>
      </c>
      <c r="D126" s="7" t="s">
        <v>2192</v>
      </c>
      <c r="E126" s="7" t="s">
        <v>2020</v>
      </c>
      <c r="F126" s="7" t="s">
        <v>2021</v>
      </c>
      <c r="G126" s="7" t="n">
        <v>0</v>
      </c>
      <c r="H126" s="7" t="n">
        <v>1</v>
      </c>
      <c r="I126" s="7"/>
      <c r="J126" s="7" t="n">
        <v>2013</v>
      </c>
      <c r="K126" s="7"/>
      <c r="L126" s="8"/>
      <c r="M126" s="8"/>
      <c r="N126" s="8"/>
      <c r="O126" s="7" t="n">
        <v>0</v>
      </c>
      <c r="P126" s="7" t="n">
        <v>0</v>
      </c>
      <c r="Q126" s="8"/>
      <c r="R126" s="8"/>
      <c r="S126" s="8"/>
      <c r="T126" s="8"/>
      <c r="U126" s="7"/>
      <c r="V126" s="7" t="n">
        <v>0</v>
      </c>
      <c r="W126" s="7"/>
      <c r="X126" s="7" t="s">
        <v>2221</v>
      </c>
      <c r="Y126" s="7"/>
      <c r="Z126" s="7"/>
    </row>
    <row r="127" customFormat="false" ht="14.25" hidden="false" customHeight="false" outlineLevel="0" collapsed="false">
      <c r="A127" s="7" t="s">
        <v>144</v>
      </c>
      <c r="B127" s="7" t="s">
        <v>2222</v>
      </c>
      <c r="C127" s="7" t="s">
        <v>2223</v>
      </c>
      <c r="D127" s="7" t="s">
        <v>2050</v>
      </c>
      <c r="E127" s="7" t="s">
        <v>2020</v>
      </c>
      <c r="F127" s="7" t="s">
        <v>2021</v>
      </c>
      <c r="G127" s="7" t="n">
        <v>0</v>
      </c>
      <c r="H127" s="7" t="n">
        <v>1</v>
      </c>
      <c r="I127" s="7"/>
      <c r="J127" s="7" t="n">
        <v>2015</v>
      </c>
      <c r="K127" s="7"/>
      <c r="L127" s="8"/>
      <c r="M127" s="8" t="n">
        <v>100000</v>
      </c>
      <c r="N127" s="8"/>
      <c r="O127" s="7" t="n">
        <v>0</v>
      </c>
      <c r="P127" s="7" t="n">
        <v>0</v>
      </c>
      <c r="Q127" s="8"/>
      <c r="R127" s="8"/>
      <c r="S127" s="8"/>
      <c r="T127" s="8"/>
      <c r="U127" s="7"/>
      <c r="V127" s="7" t="n">
        <v>0</v>
      </c>
      <c r="W127" s="7"/>
      <c r="X127" s="7" t="s">
        <v>2224</v>
      </c>
      <c r="Y127" s="7"/>
      <c r="Z127" s="7"/>
    </row>
    <row r="128" customFormat="false" ht="14.25" hidden="false" customHeight="false" outlineLevel="0" collapsed="false">
      <c r="A128" s="7" t="s">
        <v>144</v>
      </c>
      <c r="B128" s="7" t="s">
        <v>2225</v>
      </c>
      <c r="C128" s="7" t="s">
        <v>2226</v>
      </c>
      <c r="D128" s="7" t="s">
        <v>2053</v>
      </c>
      <c r="E128" s="7" t="s">
        <v>2020</v>
      </c>
      <c r="F128" s="7" t="s">
        <v>2021</v>
      </c>
      <c r="G128" s="7" t="n">
        <v>0</v>
      </c>
      <c r="H128" s="7" t="n">
        <v>1</v>
      </c>
      <c r="I128" s="7"/>
      <c r="J128" s="7" t="n">
        <v>2026</v>
      </c>
      <c r="K128" s="7"/>
      <c r="L128" s="8"/>
      <c r="M128" s="8" t="n">
        <v>1000000</v>
      </c>
      <c r="N128" s="8"/>
      <c r="O128" s="7" t="n">
        <v>0</v>
      </c>
      <c r="P128" s="7" t="n">
        <v>0</v>
      </c>
      <c r="Q128" s="8"/>
      <c r="R128" s="8"/>
      <c r="S128" s="8"/>
      <c r="T128" s="8"/>
      <c r="U128" s="7"/>
      <c r="V128" s="7" t="n">
        <v>1</v>
      </c>
      <c r="W128" s="7" t="n">
        <v>0</v>
      </c>
      <c r="X128" s="7" t="s">
        <v>2227</v>
      </c>
      <c r="Y128" s="7"/>
      <c r="Z128" s="7" t="s">
        <v>2228</v>
      </c>
    </row>
    <row r="129" customFormat="false" ht="14.25" hidden="false" customHeight="false" outlineLevel="0" collapsed="false">
      <c r="A129" s="7" t="s">
        <v>150</v>
      </c>
      <c r="B129" s="7" t="s">
        <v>2110</v>
      </c>
      <c r="C129" s="7" t="s">
        <v>262</v>
      </c>
      <c r="D129" s="7" t="s">
        <v>262</v>
      </c>
      <c r="E129" s="7" t="s">
        <v>2141</v>
      </c>
      <c r="F129" s="7" t="s">
        <v>262</v>
      </c>
      <c r="G129" s="7" t="n">
        <v>0</v>
      </c>
      <c r="H129" s="7"/>
      <c r="I129" s="7"/>
      <c r="J129" s="7"/>
      <c r="K129" s="7"/>
      <c r="L129" s="8"/>
      <c r="M129" s="8"/>
      <c r="N129" s="8"/>
      <c r="O129" s="7" t="n">
        <v>0</v>
      </c>
      <c r="P129" s="7" t="n">
        <v>0</v>
      </c>
      <c r="Q129" s="8"/>
      <c r="R129" s="8"/>
      <c r="S129" s="8"/>
      <c r="T129" s="8"/>
      <c r="U129" s="7"/>
      <c r="V129" s="7" t="n">
        <v>0</v>
      </c>
      <c r="W129" s="7"/>
      <c r="X129" s="7"/>
      <c r="Y129" s="7"/>
      <c r="Z129" s="7"/>
    </row>
    <row r="130" customFormat="false" ht="14.25" hidden="false" customHeight="false" outlineLevel="0" collapsed="false">
      <c r="A130" s="7" t="s">
        <v>156</v>
      </c>
      <c r="B130" s="7" t="s">
        <v>2110</v>
      </c>
      <c r="C130" s="7" t="s">
        <v>262</v>
      </c>
      <c r="D130" s="7" t="s">
        <v>262</v>
      </c>
      <c r="E130" s="7" t="s">
        <v>2141</v>
      </c>
      <c r="F130" s="7" t="s">
        <v>262</v>
      </c>
      <c r="G130" s="7" t="n">
        <v>0</v>
      </c>
      <c r="H130" s="7"/>
      <c r="I130" s="7"/>
      <c r="J130" s="7"/>
      <c r="K130" s="7"/>
      <c r="L130" s="8"/>
      <c r="M130" s="8"/>
      <c r="N130" s="8"/>
      <c r="O130" s="7" t="n">
        <v>0</v>
      </c>
      <c r="P130" s="7" t="n">
        <v>0</v>
      </c>
      <c r="Q130" s="8"/>
      <c r="R130" s="8"/>
      <c r="S130" s="8"/>
      <c r="T130" s="8"/>
      <c r="U130" s="7"/>
      <c r="V130" s="7" t="n">
        <v>0</v>
      </c>
      <c r="W130" s="7"/>
      <c r="X130" s="7"/>
      <c r="Y130" s="7"/>
      <c r="Z130" s="7"/>
    </row>
    <row r="131" customFormat="false" ht="14.25" hidden="false" customHeight="false" outlineLevel="0" collapsed="false">
      <c r="A131" s="7" t="s">
        <v>168</v>
      </c>
      <c r="B131" s="7" t="s">
        <v>2229</v>
      </c>
      <c r="C131" s="7" t="s">
        <v>2226</v>
      </c>
      <c r="D131" s="7" t="s">
        <v>2053</v>
      </c>
      <c r="E131" s="7" t="s">
        <v>2020</v>
      </c>
      <c r="F131" s="7" t="s">
        <v>2021</v>
      </c>
      <c r="G131" s="7" t="n">
        <v>0</v>
      </c>
      <c r="H131" s="7" t="n">
        <v>1</v>
      </c>
      <c r="I131" s="7"/>
      <c r="J131" s="7" t="n">
        <v>2018</v>
      </c>
      <c r="K131" s="7"/>
      <c r="L131" s="8"/>
      <c r="M131" s="8"/>
      <c r="N131" s="8"/>
      <c r="O131" s="7" t="n">
        <v>0</v>
      </c>
      <c r="P131" s="7" t="n">
        <v>0</v>
      </c>
      <c r="Q131" s="8"/>
      <c r="R131" s="8"/>
      <c r="S131" s="8"/>
      <c r="T131" s="8"/>
      <c r="U131" s="7"/>
      <c r="V131" s="7" t="n">
        <v>1</v>
      </c>
      <c r="W131" s="7" t="n">
        <v>0</v>
      </c>
      <c r="X131" s="7" t="s">
        <v>2230</v>
      </c>
      <c r="Y131" s="7"/>
      <c r="Z131" s="7" t="s">
        <v>2231</v>
      </c>
    </row>
    <row r="132" customFormat="false" ht="14.25" hidden="false" customHeight="false" outlineLevel="0" collapsed="false">
      <c r="A132" s="7" t="s">
        <v>173</v>
      </c>
      <c r="B132" s="7" t="s">
        <v>2110</v>
      </c>
      <c r="C132" s="7" t="s">
        <v>262</v>
      </c>
      <c r="D132" s="7" t="s">
        <v>262</v>
      </c>
      <c r="E132" s="7" t="s">
        <v>2141</v>
      </c>
      <c r="F132" s="7" t="s">
        <v>262</v>
      </c>
      <c r="G132" s="7" t="n">
        <v>0</v>
      </c>
      <c r="H132" s="7"/>
      <c r="I132" s="7"/>
      <c r="J132" s="7"/>
      <c r="K132" s="7"/>
      <c r="L132" s="8"/>
      <c r="M132" s="8"/>
      <c r="N132" s="8"/>
      <c r="O132" s="7" t="n">
        <v>0</v>
      </c>
      <c r="P132" s="7" t="n">
        <v>0</v>
      </c>
      <c r="Q132" s="8"/>
      <c r="R132" s="8"/>
      <c r="S132" s="8"/>
      <c r="T132" s="8"/>
      <c r="U132" s="7"/>
      <c r="V132" s="7" t="n">
        <v>0</v>
      </c>
      <c r="W132" s="7"/>
      <c r="X132" s="7"/>
      <c r="Y132" s="7"/>
      <c r="Z132" s="7"/>
    </row>
    <row r="133" customFormat="false" ht="14.25" hidden="false" customHeight="false" outlineLevel="0" collapsed="false">
      <c r="A133" s="7" t="s">
        <v>176</v>
      </c>
      <c r="B133" s="7" t="s">
        <v>2110</v>
      </c>
      <c r="C133" s="7" t="s">
        <v>262</v>
      </c>
      <c r="D133" s="7" t="s">
        <v>262</v>
      </c>
      <c r="E133" s="7" t="s">
        <v>2141</v>
      </c>
      <c r="F133" s="7" t="s">
        <v>262</v>
      </c>
      <c r="G133" s="7" t="n">
        <v>0</v>
      </c>
      <c r="H133" s="7"/>
      <c r="I133" s="7"/>
      <c r="J133" s="7"/>
      <c r="K133" s="7"/>
      <c r="L133" s="8"/>
      <c r="M133" s="8"/>
      <c r="N133" s="8"/>
      <c r="O133" s="7" t="n">
        <v>0</v>
      </c>
      <c r="P133" s="7" t="n">
        <v>0</v>
      </c>
      <c r="Q133" s="8"/>
      <c r="R133" s="8"/>
      <c r="S133" s="8"/>
      <c r="T133" s="8"/>
      <c r="U133" s="7"/>
      <c r="V133" s="7" t="n">
        <v>0</v>
      </c>
      <c r="W133" s="7"/>
      <c r="X133" s="7"/>
      <c r="Y133" s="7"/>
      <c r="Z133" s="7"/>
    </row>
    <row r="134" customFormat="false" ht="14.25" hidden="false" customHeight="false" outlineLevel="0" collapsed="false">
      <c r="A134" s="7" t="s">
        <v>180</v>
      </c>
      <c r="B134" s="7" t="s">
        <v>2110</v>
      </c>
      <c r="C134" s="7" t="s">
        <v>262</v>
      </c>
      <c r="D134" s="7" t="s">
        <v>262</v>
      </c>
      <c r="E134" s="7" t="s">
        <v>2141</v>
      </c>
      <c r="F134" s="7" t="s">
        <v>262</v>
      </c>
      <c r="G134" s="7" t="n">
        <v>0</v>
      </c>
      <c r="H134" s="7"/>
      <c r="I134" s="7"/>
      <c r="J134" s="7"/>
      <c r="K134" s="7"/>
      <c r="L134" s="8"/>
      <c r="M134" s="8"/>
      <c r="N134" s="8"/>
      <c r="O134" s="7" t="n">
        <v>0</v>
      </c>
      <c r="P134" s="7" t="n">
        <v>0</v>
      </c>
      <c r="Q134" s="8"/>
      <c r="R134" s="8"/>
      <c r="S134" s="8"/>
      <c r="T134" s="8"/>
      <c r="U134" s="7"/>
      <c r="V134" s="7" t="n">
        <v>0</v>
      </c>
      <c r="W134" s="7"/>
      <c r="X134" s="7"/>
      <c r="Y134" s="7"/>
      <c r="Z134" s="7"/>
    </row>
    <row r="135" customFormat="false" ht="14.25" hidden="false" customHeight="false" outlineLevel="0" collapsed="false">
      <c r="A135" s="7" t="s">
        <v>193</v>
      </c>
      <c r="B135" s="7" t="s">
        <v>2232</v>
      </c>
      <c r="C135" s="7" t="s">
        <v>2044</v>
      </c>
      <c r="D135" s="7" t="s">
        <v>2019</v>
      </c>
      <c r="E135" s="7" t="s">
        <v>2020</v>
      </c>
      <c r="F135" s="7" t="s">
        <v>2021</v>
      </c>
      <c r="G135" s="7" t="n">
        <v>0</v>
      </c>
      <c r="H135" s="7" t="n">
        <v>1</v>
      </c>
      <c r="I135" s="7"/>
      <c r="J135" s="7" t="n">
        <v>2018</v>
      </c>
      <c r="K135" s="7"/>
      <c r="L135" s="8"/>
      <c r="M135" s="8"/>
      <c r="N135" s="8"/>
      <c r="O135" s="7" t="n">
        <v>0</v>
      </c>
      <c r="P135" s="7" t="n">
        <v>0</v>
      </c>
      <c r="Q135" s="8"/>
      <c r="R135" s="8"/>
      <c r="S135" s="8"/>
      <c r="T135" s="8"/>
      <c r="U135" s="7"/>
      <c r="V135" s="7" t="n">
        <v>0</v>
      </c>
      <c r="W135" s="7" t="n">
        <v>0</v>
      </c>
      <c r="X135" s="7" t="s">
        <v>2110</v>
      </c>
      <c r="Y135" s="7"/>
      <c r="Z135" s="7" t="s">
        <v>2233</v>
      </c>
    </row>
    <row r="136" customFormat="false" ht="14.25" hidden="false" customHeight="false" outlineLevel="0" collapsed="false">
      <c r="A136" s="7" t="s">
        <v>193</v>
      </c>
      <c r="B136" s="7" t="s">
        <v>2234</v>
      </c>
      <c r="C136" s="7" t="s">
        <v>2235</v>
      </c>
      <c r="D136" s="7" t="s">
        <v>2047</v>
      </c>
      <c r="E136" s="7" t="s">
        <v>2020</v>
      </c>
      <c r="F136" s="7" t="s">
        <v>2021</v>
      </c>
      <c r="G136" s="7" t="n">
        <v>0</v>
      </c>
      <c r="H136" s="7" t="n">
        <v>1</v>
      </c>
      <c r="I136" s="7"/>
      <c r="J136" s="7" t="n">
        <v>2019</v>
      </c>
      <c r="K136" s="7"/>
      <c r="L136" s="8"/>
      <c r="M136" s="8" t="n">
        <v>4150000</v>
      </c>
      <c r="N136" s="8"/>
      <c r="O136" s="7" t="n">
        <v>0</v>
      </c>
      <c r="P136" s="7" t="n">
        <v>0</v>
      </c>
      <c r="Q136" s="8"/>
      <c r="R136" s="8"/>
      <c r="S136" s="8"/>
      <c r="T136" s="8"/>
      <c r="U136" s="7"/>
      <c r="V136" s="7" t="n">
        <v>0</v>
      </c>
      <c r="W136" s="7" t="n">
        <v>0</v>
      </c>
      <c r="X136" s="7" t="s">
        <v>2236</v>
      </c>
      <c r="Y136" s="7"/>
      <c r="Z136" s="7" t="s">
        <v>2237</v>
      </c>
    </row>
    <row r="137" customFormat="false" ht="14.25" hidden="false" customHeight="false" outlineLevel="0" collapsed="false">
      <c r="A137" s="7" t="s">
        <v>203</v>
      </c>
      <c r="B137" s="7" t="s">
        <v>2110</v>
      </c>
      <c r="C137" s="7" t="s">
        <v>262</v>
      </c>
      <c r="D137" s="7" t="s">
        <v>262</v>
      </c>
      <c r="E137" s="7" t="s">
        <v>2141</v>
      </c>
      <c r="F137" s="7" t="s">
        <v>262</v>
      </c>
      <c r="G137" s="7" t="n">
        <v>0</v>
      </c>
      <c r="H137" s="7"/>
      <c r="I137" s="7"/>
      <c r="J137" s="7"/>
      <c r="K137" s="7"/>
      <c r="L137" s="8"/>
      <c r="M137" s="8"/>
      <c r="N137" s="8"/>
      <c r="O137" s="7" t="n">
        <v>0</v>
      </c>
      <c r="P137" s="7" t="n">
        <v>0</v>
      </c>
      <c r="Q137" s="8"/>
      <c r="R137" s="8"/>
      <c r="S137" s="8"/>
      <c r="T137" s="8"/>
      <c r="U137" s="7"/>
      <c r="V137" s="7" t="n">
        <v>0</v>
      </c>
      <c r="W137" s="7"/>
      <c r="X137" s="7"/>
      <c r="Y137" s="7"/>
      <c r="Z137" s="7"/>
    </row>
    <row r="138" customFormat="false" ht="14.25" hidden="false" customHeight="false" outlineLevel="0" collapsed="false">
      <c r="A138" s="7" t="s">
        <v>216</v>
      </c>
      <c r="B138" s="7" t="s">
        <v>2110</v>
      </c>
      <c r="C138" s="7" t="s">
        <v>262</v>
      </c>
      <c r="D138" s="7" t="s">
        <v>262</v>
      </c>
      <c r="E138" s="7" t="s">
        <v>2141</v>
      </c>
      <c r="F138" s="7" t="s">
        <v>262</v>
      </c>
      <c r="G138" s="7" t="n">
        <v>0</v>
      </c>
      <c r="H138" s="7"/>
      <c r="I138" s="7"/>
      <c r="J138" s="7"/>
      <c r="K138" s="7"/>
      <c r="L138" s="8"/>
      <c r="M138" s="8"/>
      <c r="N138" s="8"/>
      <c r="O138" s="7" t="n">
        <v>0</v>
      </c>
      <c r="P138" s="7" t="n">
        <v>0</v>
      </c>
      <c r="Q138" s="8"/>
      <c r="R138" s="8"/>
      <c r="S138" s="8"/>
      <c r="T138" s="8"/>
      <c r="U138" s="7"/>
      <c r="V138" s="7" t="n">
        <v>0</v>
      </c>
      <c r="W138" s="7"/>
      <c r="X138" s="7"/>
      <c r="Y138" s="7"/>
      <c r="Z138" s="7"/>
    </row>
    <row r="139" customFormat="false" ht="14.25" hidden="false" customHeight="false" outlineLevel="0" collapsed="false">
      <c r="A139" s="7" t="s">
        <v>241</v>
      </c>
      <c r="B139" s="7" t="s">
        <v>2238</v>
      </c>
      <c r="C139" s="7" t="s">
        <v>2226</v>
      </c>
      <c r="D139" s="7" t="s">
        <v>2053</v>
      </c>
      <c r="E139" s="7" t="s">
        <v>2020</v>
      </c>
      <c r="F139" s="7" t="s">
        <v>2021</v>
      </c>
      <c r="G139" s="7" t="n">
        <v>0</v>
      </c>
      <c r="H139" s="7" t="n">
        <v>1</v>
      </c>
      <c r="I139" s="7"/>
      <c r="J139" s="7" t="n">
        <v>2021</v>
      </c>
      <c r="K139" s="7"/>
      <c r="L139" s="8"/>
      <c r="M139" s="8"/>
      <c r="N139" s="8"/>
      <c r="O139" s="7" t="n">
        <v>0</v>
      </c>
      <c r="P139" s="7" t="n">
        <v>0</v>
      </c>
      <c r="Q139" s="8"/>
      <c r="R139" s="8"/>
      <c r="S139" s="8"/>
      <c r="T139" s="8"/>
      <c r="U139" s="7"/>
      <c r="V139" s="7" t="n">
        <v>1</v>
      </c>
      <c r="W139" s="7" t="n">
        <v>0</v>
      </c>
      <c r="X139" s="7" t="s">
        <v>2110</v>
      </c>
      <c r="Y139" s="7"/>
      <c r="Z139" s="7" t="s">
        <v>2239</v>
      </c>
    </row>
    <row r="140" customFormat="false" ht="14.25" hidden="false" customHeight="false" outlineLevel="0" collapsed="false">
      <c r="A140" s="7" t="s">
        <v>247</v>
      </c>
      <c r="B140" s="7" t="s">
        <v>2240</v>
      </c>
      <c r="C140" s="7" t="s">
        <v>2241</v>
      </c>
      <c r="D140" s="7" t="s">
        <v>2053</v>
      </c>
      <c r="E140" s="7" t="s">
        <v>2020</v>
      </c>
      <c r="F140" s="7" t="s">
        <v>2021</v>
      </c>
      <c r="G140" s="7" t="n">
        <v>0</v>
      </c>
      <c r="H140" s="7" t="n">
        <v>1</v>
      </c>
      <c r="I140" s="7"/>
      <c r="J140" s="7"/>
      <c r="K140" s="7"/>
      <c r="L140" s="8"/>
      <c r="M140" s="8"/>
      <c r="N140" s="8"/>
      <c r="O140" s="7" t="n">
        <v>0</v>
      </c>
      <c r="P140" s="7" t="n">
        <v>0</v>
      </c>
      <c r="Q140" s="8"/>
      <c r="R140" s="8"/>
      <c r="S140" s="8"/>
      <c r="T140" s="8"/>
      <c r="U140" s="7"/>
      <c r="V140" s="7" t="n">
        <v>1</v>
      </c>
      <c r="W140" s="7" t="n">
        <v>0</v>
      </c>
      <c r="X140" s="7" t="s">
        <v>2110</v>
      </c>
      <c r="Y140" s="7"/>
      <c r="Z140" s="7" t="s">
        <v>2242</v>
      </c>
    </row>
    <row r="141" customFormat="false" ht="14.25" hidden="false" customHeight="false" outlineLevel="0" collapsed="false">
      <c r="A141" s="7" t="s">
        <v>256</v>
      </c>
      <c r="B141" s="7" t="s">
        <v>2243</v>
      </c>
      <c r="C141" s="7" t="s">
        <v>2244</v>
      </c>
      <c r="D141" s="7" t="s">
        <v>2053</v>
      </c>
      <c r="E141" s="7" t="s">
        <v>2020</v>
      </c>
      <c r="F141" s="7" t="s">
        <v>2021</v>
      </c>
      <c r="G141" s="7" t="n">
        <v>0</v>
      </c>
      <c r="H141" s="7" t="n">
        <v>1</v>
      </c>
      <c r="I141" s="7"/>
      <c r="J141" s="7" t="n">
        <v>2016</v>
      </c>
      <c r="K141" s="7"/>
      <c r="L141" s="8"/>
      <c r="M141" s="8"/>
      <c r="N141" s="8"/>
      <c r="O141" s="7" t="n">
        <v>0</v>
      </c>
      <c r="P141" s="7" t="n">
        <v>0</v>
      </c>
      <c r="Q141" s="8"/>
      <c r="R141" s="8"/>
      <c r="S141" s="8"/>
      <c r="T141" s="8"/>
      <c r="U141" s="7"/>
      <c r="V141" s="7" t="n">
        <v>0</v>
      </c>
      <c r="W141" s="7" t="n">
        <v>0</v>
      </c>
      <c r="X141" s="7" t="s">
        <v>2110</v>
      </c>
      <c r="Y141" s="7"/>
      <c r="Z141" s="7" t="s">
        <v>2245</v>
      </c>
    </row>
    <row r="142" customFormat="false" ht="14.25" hidden="false" customHeight="false" outlineLevel="0" collapsed="false">
      <c r="A142" s="7" t="s">
        <v>256</v>
      </c>
      <c r="B142" s="7" t="s">
        <v>2246</v>
      </c>
      <c r="C142" s="7" t="s">
        <v>2226</v>
      </c>
      <c r="D142" s="7" t="s">
        <v>2053</v>
      </c>
      <c r="E142" s="7" t="s">
        <v>2020</v>
      </c>
      <c r="F142" s="7" t="s">
        <v>2021</v>
      </c>
      <c r="G142" s="7" t="n">
        <v>0</v>
      </c>
      <c r="H142" s="7" t="n">
        <v>1</v>
      </c>
      <c r="I142" s="7"/>
      <c r="J142" s="7" t="n">
        <v>2023</v>
      </c>
      <c r="K142" s="7"/>
      <c r="L142" s="8"/>
      <c r="M142" s="8"/>
      <c r="N142" s="8"/>
      <c r="O142" s="7" t="n">
        <v>0</v>
      </c>
      <c r="P142" s="7" t="n">
        <v>0</v>
      </c>
      <c r="Q142" s="8"/>
      <c r="R142" s="8"/>
      <c r="S142" s="8"/>
      <c r="T142" s="8"/>
      <c r="U142" s="7"/>
      <c r="V142" s="7" t="n">
        <v>1</v>
      </c>
      <c r="W142" s="7" t="n">
        <v>0</v>
      </c>
      <c r="X142" s="7" t="s">
        <v>2110</v>
      </c>
      <c r="Y142" s="7"/>
      <c r="Z142" s="7" t="s">
        <v>2247</v>
      </c>
    </row>
    <row r="143" customFormat="false" ht="14.25" hidden="false" customHeight="false" outlineLevel="0" collapsed="false">
      <c r="A143" s="7" t="s">
        <v>256</v>
      </c>
      <c r="B143" s="7" t="s">
        <v>2248</v>
      </c>
      <c r="C143" s="7" t="s">
        <v>2249</v>
      </c>
      <c r="D143" s="7" t="s">
        <v>2053</v>
      </c>
      <c r="E143" s="7" t="s">
        <v>2020</v>
      </c>
      <c r="F143" s="7" t="s">
        <v>2021</v>
      </c>
      <c r="G143" s="7" t="n">
        <v>0</v>
      </c>
      <c r="H143" s="7" t="n">
        <v>1</v>
      </c>
      <c r="I143" s="7"/>
      <c r="J143" s="7" t="n">
        <v>2025</v>
      </c>
      <c r="K143" s="7"/>
      <c r="L143" s="8"/>
      <c r="M143" s="8"/>
      <c r="N143" s="8"/>
      <c r="O143" s="7" t="n">
        <v>0</v>
      </c>
      <c r="P143" s="7" t="n">
        <v>0</v>
      </c>
      <c r="Q143" s="8"/>
      <c r="R143" s="8"/>
      <c r="S143" s="8"/>
      <c r="T143" s="8"/>
      <c r="U143" s="7"/>
      <c r="V143" s="7" t="n">
        <v>0</v>
      </c>
      <c r="W143" s="7" t="n">
        <v>0</v>
      </c>
      <c r="X143" s="7" t="s">
        <v>2250</v>
      </c>
      <c r="Y143" s="7"/>
      <c r="Z143" s="7" t="s">
        <v>2251</v>
      </c>
    </row>
    <row r="144" customFormat="false" ht="14.25" hidden="false" customHeight="false" outlineLevel="0" collapsed="false">
      <c r="A144" s="7" t="s">
        <v>272</v>
      </c>
      <c r="B144" s="7" t="s">
        <v>2110</v>
      </c>
      <c r="C144" s="7" t="s">
        <v>262</v>
      </c>
      <c r="D144" s="7" t="s">
        <v>262</v>
      </c>
      <c r="E144" s="7" t="s">
        <v>2141</v>
      </c>
      <c r="F144" s="7" t="s">
        <v>262</v>
      </c>
      <c r="G144" s="7" t="n">
        <v>0</v>
      </c>
      <c r="H144" s="7"/>
      <c r="I144" s="7"/>
      <c r="J144" s="7"/>
      <c r="K144" s="7"/>
      <c r="L144" s="8"/>
      <c r="M144" s="8"/>
      <c r="N144" s="8"/>
      <c r="O144" s="7" t="n">
        <v>0</v>
      </c>
      <c r="P144" s="7" t="n">
        <v>0</v>
      </c>
      <c r="Q144" s="8"/>
      <c r="R144" s="8"/>
      <c r="S144" s="8"/>
      <c r="T144" s="8"/>
      <c r="U144" s="7"/>
      <c r="V144" s="7" t="n">
        <v>0</v>
      </c>
      <c r="W144" s="7"/>
      <c r="X144" s="7"/>
      <c r="Y144" s="7"/>
      <c r="Z144" s="7"/>
    </row>
    <row r="145" customFormat="false" ht="14.25" hidden="false" customHeight="false" outlineLevel="0" collapsed="false">
      <c r="A145" s="7" t="s">
        <v>279</v>
      </c>
      <c r="B145" s="7" t="s">
        <v>2110</v>
      </c>
      <c r="C145" s="7" t="s">
        <v>262</v>
      </c>
      <c r="D145" s="7" t="s">
        <v>262</v>
      </c>
      <c r="E145" s="7" t="s">
        <v>2141</v>
      </c>
      <c r="F145" s="7" t="s">
        <v>262</v>
      </c>
      <c r="G145" s="7" t="n">
        <v>0</v>
      </c>
      <c r="H145" s="7"/>
      <c r="I145" s="7"/>
      <c r="J145" s="7"/>
      <c r="K145" s="7"/>
      <c r="L145" s="8"/>
      <c r="M145" s="8"/>
      <c r="N145" s="8"/>
      <c r="O145" s="7" t="n">
        <v>0</v>
      </c>
      <c r="P145" s="7" t="n">
        <v>0</v>
      </c>
      <c r="Q145" s="8"/>
      <c r="R145" s="8"/>
      <c r="S145" s="8"/>
      <c r="T145" s="8"/>
      <c r="U145" s="7"/>
      <c r="V145" s="7" t="n">
        <v>0</v>
      </c>
      <c r="W145" s="7"/>
      <c r="X145" s="7"/>
      <c r="Y145" s="7"/>
      <c r="Z145" s="7"/>
    </row>
    <row r="146" customFormat="false" ht="14.25" hidden="false" customHeight="false" outlineLevel="0" collapsed="false">
      <c r="A146" s="7" t="s">
        <v>299</v>
      </c>
      <c r="B146" s="7" t="s">
        <v>2110</v>
      </c>
      <c r="C146" s="7" t="s">
        <v>262</v>
      </c>
      <c r="D146" s="7" t="s">
        <v>262</v>
      </c>
      <c r="E146" s="7" t="s">
        <v>2141</v>
      </c>
      <c r="F146" s="7" t="s">
        <v>262</v>
      </c>
      <c r="G146" s="7" t="n">
        <v>0</v>
      </c>
      <c r="H146" s="7"/>
      <c r="I146" s="7"/>
      <c r="J146" s="7"/>
      <c r="K146" s="7"/>
      <c r="L146" s="8"/>
      <c r="M146" s="8"/>
      <c r="N146" s="8"/>
      <c r="O146" s="7" t="n">
        <v>0</v>
      </c>
      <c r="P146" s="7" t="n">
        <v>0</v>
      </c>
      <c r="Q146" s="8"/>
      <c r="R146" s="8"/>
      <c r="S146" s="8"/>
      <c r="T146" s="8"/>
      <c r="U146" s="7"/>
      <c r="V146" s="7" t="n">
        <v>0</v>
      </c>
      <c r="W146" s="7"/>
      <c r="X146" s="7"/>
      <c r="Y146" s="7"/>
      <c r="Z146" s="7"/>
    </row>
    <row r="147" customFormat="false" ht="14.25" hidden="false" customHeight="false" outlineLevel="0" collapsed="false">
      <c r="A147" s="7" t="s">
        <v>307</v>
      </c>
      <c r="B147" s="7" t="s">
        <v>2110</v>
      </c>
      <c r="C147" s="7" t="s">
        <v>262</v>
      </c>
      <c r="D147" s="7" t="s">
        <v>262</v>
      </c>
      <c r="E147" s="7" t="s">
        <v>2141</v>
      </c>
      <c r="F147" s="7" t="s">
        <v>262</v>
      </c>
      <c r="G147" s="7" t="n">
        <v>0</v>
      </c>
      <c r="H147" s="7"/>
      <c r="I147" s="7"/>
      <c r="J147" s="7"/>
      <c r="K147" s="7"/>
      <c r="L147" s="8"/>
      <c r="M147" s="8"/>
      <c r="N147" s="8"/>
      <c r="O147" s="7" t="n">
        <v>0</v>
      </c>
      <c r="P147" s="7" t="n">
        <v>0</v>
      </c>
      <c r="Q147" s="8"/>
      <c r="R147" s="8"/>
      <c r="S147" s="8"/>
      <c r="T147" s="8"/>
      <c r="U147" s="7"/>
      <c r="V147" s="7" t="n">
        <v>0</v>
      </c>
      <c r="W147" s="7"/>
      <c r="X147" s="7"/>
      <c r="Y147" s="7"/>
      <c r="Z147" s="7"/>
    </row>
    <row r="148" customFormat="false" ht="14.25" hidden="false" customHeight="false" outlineLevel="0" collapsed="false">
      <c r="A148" s="7" t="s">
        <v>318</v>
      </c>
      <c r="B148" s="7" t="s">
        <v>2110</v>
      </c>
      <c r="C148" s="7" t="s">
        <v>262</v>
      </c>
      <c r="D148" s="7" t="s">
        <v>262</v>
      </c>
      <c r="E148" s="7" t="s">
        <v>2141</v>
      </c>
      <c r="F148" s="7" t="s">
        <v>262</v>
      </c>
      <c r="G148" s="7" t="n">
        <v>0</v>
      </c>
      <c r="H148" s="7"/>
      <c r="I148" s="7"/>
      <c r="J148" s="7"/>
      <c r="K148" s="7"/>
      <c r="L148" s="8"/>
      <c r="M148" s="8"/>
      <c r="N148" s="8"/>
      <c r="O148" s="7" t="n">
        <v>0</v>
      </c>
      <c r="P148" s="7" t="n">
        <v>0</v>
      </c>
      <c r="Q148" s="8"/>
      <c r="R148" s="8"/>
      <c r="S148" s="8"/>
      <c r="T148" s="8"/>
      <c r="U148" s="7"/>
      <c r="V148" s="7" t="n">
        <v>0</v>
      </c>
      <c r="W148" s="7"/>
      <c r="X148" s="7"/>
      <c r="Y148" s="7"/>
      <c r="Z148" s="7"/>
    </row>
    <row r="149" customFormat="false" ht="14.25" hidden="false" customHeight="false" outlineLevel="0" collapsed="false">
      <c r="A149" s="7" t="s">
        <v>321</v>
      </c>
      <c r="B149" s="7" t="s">
        <v>2110</v>
      </c>
      <c r="C149" s="7" t="s">
        <v>262</v>
      </c>
      <c r="D149" s="7" t="s">
        <v>262</v>
      </c>
      <c r="E149" s="7" t="s">
        <v>2141</v>
      </c>
      <c r="F149" s="7" t="s">
        <v>262</v>
      </c>
      <c r="G149" s="7" t="n">
        <v>0</v>
      </c>
      <c r="H149" s="7"/>
      <c r="I149" s="7"/>
      <c r="J149" s="7"/>
      <c r="K149" s="7"/>
      <c r="L149" s="8"/>
      <c r="M149" s="8"/>
      <c r="N149" s="8"/>
      <c r="O149" s="7" t="n">
        <v>0</v>
      </c>
      <c r="P149" s="7" t="n">
        <v>0</v>
      </c>
      <c r="Q149" s="8"/>
      <c r="R149" s="8"/>
      <c r="S149" s="8"/>
      <c r="T149" s="8"/>
      <c r="U149" s="7"/>
      <c r="V149" s="7" t="n">
        <v>0</v>
      </c>
      <c r="W149" s="7"/>
      <c r="X149" s="7"/>
      <c r="Y149" s="7"/>
      <c r="Z149" s="7"/>
    </row>
    <row r="150" customFormat="false" ht="14.25" hidden="false" customHeight="false" outlineLevel="0" collapsed="false">
      <c r="A150" s="7" t="s">
        <v>365</v>
      </c>
      <c r="B150" s="7" t="s">
        <v>2110</v>
      </c>
      <c r="C150" s="7" t="s">
        <v>262</v>
      </c>
      <c r="D150" s="7" t="s">
        <v>262</v>
      </c>
      <c r="E150" s="7" t="s">
        <v>2141</v>
      </c>
      <c r="F150" s="7" t="s">
        <v>262</v>
      </c>
      <c r="G150" s="7" t="n">
        <v>0</v>
      </c>
      <c r="H150" s="7"/>
      <c r="I150" s="7"/>
      <c r="J150" s="7"/>
      <c r="K150" s="7"/>
      <c r="L150" s="8"/>
      <c r="M150" s="8"/>
      <c r="N150" s="8"/>
      <c r="O150" s="7" t="n">
        <v>0</v>
      </c>
      <c r="P150" s="7" t="n">
        <v>0</v>
      </c>
      <c r="Q150" s="8"/>
      <c r="R150" s="8"/>
      <c r="S150" s="8"/>
      <c r="T150" s="8"/>
      <c r="U150" s="7"/>
      <c r="V150" s="7" t="n">
        <v>0</v>
      </c>
      <c r="W150" s="7"/>
      <c r="X150" s="7"/>
      <c r="Y150" s="7"/>
      <c r="Z150" s="7"/>
    </row>
    <row r="151" customFormat="false" ht="14.25" hidden="false" customHeight="false" outlineLevel="0" collapsed="false">
      <c r="A151" s="0" t="s">
        <v>558</v>
      </c>
      <c r="B151" s="0" t="s">
        <v>2110</v>
      </c>
      <c r="D151" s="0" t="s">
        <v>262</v>
      </c>
      <c r="E151" s="0" t="s">
        <v>2252</v>
      </c>
      <c r="F151" s="0" t="s">
        <v>2021</v>
      </c>
      <c r="H151" s="0" t="n">
        <v>1</v>
      </c>
      <c r="I151" s="0" t="n">
        <v>0</v>
      </c>
      <c r="Z151" s="0" t="s">
        <v>2253</v>
      </c>
    </row>
    <row r="152" customFormat="false" ht="14.25" hidden="false" customHeight="false" outlineLevel="0" collapsed="false">
      <c r="A152" s="0" t="s">
        <v>569</v>
      </c>
      <c r="B152" s="0" t="s">
        <v>2110</v>
      </c>
      <c r="D152" s="0" t="s">
        <v>262</v>
      </c>
      <c r="E152" s="0" t="s">
        <v>2252</v>
      </c>
      <c r="F152" s="0" t="s">
        <v>2021</v>
      </c>
      <c r="H152" s="0" t="n">
        <v>1</v>
      </c>
      <c r="I152" s="0" t="n">
        <v>0</v>
      </c>
      <c r="Z152" s="0" t="s">
        <v>2254</v>
      </c>
    </row>
    <row r="153" customFormat="false" ht="14.25" hidden="false" customHeight="false" outlineLevel="0" collapsed="false">
      <c r="A153" s="0" t="s">
        <v>575</v>
      </c>
      <c r="B153" s="0" t="s">
        <v>2110</v>
      </c>
      <c r="D153" s="0" t="s">
        <v>262</v>
      </c>
      <c r="E153" s="0" t="s">
        <v>2252</v>
      </c>
      <c r="F153" s="0" t="s">
        <v>2021</v>
      </c>
      <c r="H153" s="0" t="n">
        <v>1</v>
      </c>
      <c r="I153" s="0" t="n">
        <v>0</v>
      </c>
      <c r="Z153" s="0" t="s">
        <v>2255</v>
      </c>
    </row>
    <row r="154" customFormat="false" ht="14.25" hidden="false" customHeight="false" outlineLevel="0" collapsed="false">
      <c r="A154" s="0" t="s">
        <v>581</v>
      </c>
      <c r="B154" s="0" t="s">
        <v>2110</v>
      </c>
      <c r="D154" s="0" t="s">
        <v>262</v>
      </c>
      <c r="E154" s="0" t="s">
        <v>2252</v>
      </c>
      <c r="F154" s="0" t="s">
        <v>2021</v>
      </c>
      <c r="H154" s="0" t="n">
        <v>1</v>
      </c>
      <c r="I154" s="0" t="n">
        <v>0</v>
      </c>
      <c r="Z154" s="0" t="s">
        <v>2256</v>
      </c>
    </row>
    <row r="155" customFormat="false" ht="14.25" hidden="false" customHeight="false" outlineLevel="0" collapsed="false">
      <c r="A155" s="0" t="s">
        <v>588</v>
      </c>
      <c r="B155" s="0" t="s">
        <v>2110</v>
      </c>
      <c r="D155" s="0" t="s">
        <v>262</v>
      </c>
      <c r="E155" s="0" t="s">
        <v>2252</v>
      </c>
      <c r="F155" s="0" t="s">
        <v>2021</v>
      </c>
      <c r="H155" s="0" t="n">
        <v>1</v>
      </c>
      <c r="I155" s="0" t="n">
        <v>0</v>
      </c>
      <c r="Z155" s="0" t="s">
        <v>2257</v>
      </c>
    </row>
    <row r="156" customFormat="false" ht="14.25" hidden="false" customHeight="false" outlineLevel="0" collapsed="false">
      <c r="A156" s="0" t="s">
        <v>594</v>
      </c>
      <c r="B156" s="0" t="s">
        <v>2110</v>
      </c>
      <c r="D156" s="0" t="s">
        <v>262</v>
      </c>
      <c r="E156" s="0" t="s">
        <v>2252</v>
      </c>
      <c r="F156" s="0" t="s">
        <v>2021</v>
      </c>
      <c r="H156" s="0" t="n">
        <v>1</v>
      </c>
      <c r="I156" s="0" t="n">
        <v>0</v>
      </c>
      <c r="Z156" s="0" t="s">
        <v>2258</v>
      </c>
    </row>
    <row r="157" customFormat="false" ht="14.25" hidden="false" customHeight="false" outlineLevel="0" collapsed="false">
      <c r="A157" s="0" t="s">
        <v>599</v>
      </c>
      <c r="B157" s="0" t="s">
        <v>2110</v>
      </c>
      <c r="D157" s="0" t="s">
        <v>262</v>
      </c>
      <c r="E157" s="0" t="s">
        <v>2252</v>
      </c>
      <c r="F157" s="0" t="s">
        <v>2021</v>
      </c>
      <c r="H157" s="0" t="n">
        <v>1</v>
      </c>
      <c r="I157" s="0" t="n">
        <v>0</v>
      </c>
      <c r="Z157" s="0" t="s">
        <v>2259</v>
      </c>
    </row>
    <row r="158" customFormat="false" ht="14.25" hidden="false" customHeight="false" outlineLevel="0" collapsed="false">
      <c r="A158" s="0" t="s">
        <v>605</v>
      </c>
      <c r="B158" s="0" t="s">
        <v>2110</v>
      </c>
      <c r="D158" s="0" t="s">
        <v>262</v>
      </c>
      <c r="E158" s="0" t="s">
        <v>2252</v>
      </c>
      <c r="F158" s="0" t="s">
        <v>2021</v>
      </c>
      <c r="H158" s="0" t="n">
        <v>1</v>
      </c>
      <c r="I158" s="0" t="n">
        <v>0</v>
      </c>
      <c r="Z158" s="0" t="s">
        <v>2260</v>
      </c>
    </row>
    <row r="159" customFormat="false" ht="14.25" hidden="false" customHeight="false" outlineLevel="0" collapsed="false">
      <c r="A159" s="0" t="s">
        <v>612</v>
      </c>
      <c r="B159" s="0" t="s">
        <v>2110</v>
      </c>
      <c r="D159" s="0" t="s">
        <v>262</v>
      </c>
      <c r="E159" s="0" t="s">
        <v>2252</v>
      </c>
      <c r="F159" s="0" t="s">
        <v>2021</v>
      </c>
      <c r="H159" s="0" t="n">
        <v>1</v>
      </c>
      <c r="I159" s="0" t="n">
        <v>0</v>
      </c>
      <c r="Z159" s="0" t="s">
        <v>2261</v>
      </c>
    </row>
    <row r="160" customFormat="false" ht="14.25" hidden="false" customHeight="false" outlineLevel="0" collapsed="false">
      <c r="A160" s="0" t="s">
        <v>617</v>
      </c>
      <c r="B160" s="0" t="s">
        <v>2110</v>
      </c>
      <c r="D160" s="0" t="s">
        <v>262</v>
      </c>
      <c r="E160" s="0" t="s">
        <v>2252</v>
      </c>
      <c r="F160" s="0" t="s">
        <v>2021</v>
      </c>
      <c r="H160" s="0" t="n">
        <v>1</v>
      </c>
      <c r="I160" s="0" t="n">
        <v>0</v>
      </c>
      <c r="Z160" s="0" t="s">
        <v>2262</v>
      </c>
    </row>
    <row r="161" customFormat="false" ht="14.25" hidden="false" customHeight="false" outlineLevel="0" collapsed="false">
      <c r="A161" s="0" t="s">
        <v>624</v>
      </c>
      <c r="B161" s="0" t="s">
        <v>2110</v>
      </c>
      <c r="D161" s="0" t="s">
        <v>262</v>
      </c>
      <c r="E161" s="0" t="s">
        <v>2252</v>
      </c>
      <c r="F161" s="0" t="s">
        <v>2021</v>
      </c>
      <c r="H161" s="0" t="n">
        <v>1</v>
      </c>
      <c r="I161" s="0" t="n">
        <v>0</v>
      </c>
      <c r="Z161" s="0" t="s">
        <v>2263</v>
      </c>
    </row>
    <row r="162" customFormat="false" ht="14.25" hidden="false" customHeight="false" outlineLevel="0" collapsed="false">
      <c r="A162" s="0" t="s">
        <v>630</v>
      </c>
      <c r="B162" s="0" t="s">
        <v>2110</v>
      </c>
      <c r="D162" s="0" t="s">
        <v>262</v>
      </c>
      <c r="E162" s="0" t="s">
        <v>2252</v>
      </c>
      <c r="F162" s="0" t="s">
        <v>2021</v>
      </c>
      <c r="H162" s="0" t="n">
        <v>1</v>
      </c>
      <c r="I162" s="0" t="n">
        <v>0</v>
      </c>
      <c r="Z162" s="0" t="s">
        <v>2264</v>
      </c>
    </row>
    <row r="163" customFormat="false" ht="14.25" hidden="false" customHeight="false" outlineLevel="0" collapsed="false">
      <c r="A163" s="0" t="s">
        <v>636</v>
      </c>
      <c r="B163" s="0" t="s">
        <v>2110</v>
      </c>
      <c r="D163" s="0" t="s">
        <v>262</v>
      </c>
      <c r="E163" s="0" t="s">
        <v>2252</v>
      </c>
      <c r="F163" s="0" t="s">
        <v>2021</v>
      </c>
      <c r="H163" s="0" t="n">
        <v>1</v>
      </c>
      <c r="I163" s="0" t="n">
        <v>0</v>
      </c>
      <c r="Z163" s="0" t="s">
        <v>2265</v>
      </c>
    </row>
    <row r="164" customFormat="false" ht="14.25" hidden="false" customHeight="false" outlineLevel="0" collapsed="false">
      <c r="A164" s="0" t="s">
        <v>643</v>
      </c>
      <c r="B164" s="0" t="s">
        <v>2110</v>
      </c>
      <c r="D164" s="0" t="s">
        <v>262</v>
      </c>
      <c r="E164" s="0" t="s">
        <v>2252</v>
      </c>
      <c r="F164" s="0" t="s">
        <v>2021</v>
      </c>
      <c r="H164" s="0" t="n">
        <v>1</v>
      </c>
      <c r="I164" s="0" t="n">
        <v>0</v>
      </c>
      <c r="Z164" s="0" t="s">
        <v>2266</v>
      </c>
    </row>
    <row r="165" customFormat="false" ht="14.25" hidden="false" customHeight="false" outlineLevel="0" collapsed="false">
      <c r="A165" s="0" t="s">
        <v>648</v>
      </c>
      <c r="B165" s="0" t="s">
        <v>2110</v>
      </c>
      <c r="D165" s="0" t="s">
        <v>262</v>
      </c>
      <c r="E165" s="0" t="s">
        <v>2252</v>
      </c>
      <c r="F165" s="0" t="s">
        <v>2021</v>
      </c>
      <c r="H165" s="0" t="n">
        <v>1</v>
      </c>
      <c r="I165" s="0" t="n">
        <v>0</v>
      </c>
      <c r="Z165" s="0" t="s">
        <v>2267</v>
      </c>
    </row>
    <row r="166" customFormat="false" ht="14.25" hidden="false" customHeight="false" outlineLevel="0" collapsed="false">
      <c r="A166" s="0" t="s">
        <v>654</v>
      </c>
      <c r="B166" s="0" t="s">
        <v>2110</v>
      </c>
      <c r="D166" s="0" t="s">
        <v>262</v>
      </c>
      <c r="E166" s="0" t="s">
        <v>2252</v>
      </c>
      <c r="F166" s="0" t="s">
        <v>2021</v>
      </c>
      <c r="H166" s="0" t="n">
        <v>1</v>
      </c>
      <c r="I166" s="0" t="n">
        <v>0</v>
      </c>
      <c r="Z166" s="0" t="s">
        <v>2268</v>
      </c>
    </row>
    <row r="167" customFormat="false" ht="14.25" hidden="false" customHeight="false" outlineLevel="0" collapsed="false">
      <c r="A167" s="0" t="s">
        <v>659</v>
      </c>
      <c r="B167" s="0" t="s">
        <v>2110</v>
      </c>
      <c r="D167" s="0" t="s">
        <v>262</v>
      </c>
      <c r="E167" s="0" t="s">
        <v>2252</v>
      </c>
      <c r="F167" s="0" t="s">
        <v>2021</v>
      </c>
      <c r="H167" s="0" t="n">
        <v>1</v>
      </c>
      <c r="I167" s="0" t="n">
        <v>0</v>
      </c>
      <c r="Z167" s="0" t="s">
        <v>2269</v>
      </c>
    </row>
    <row r="168" customFormat="false" ht="14.25" hidden="false" customHeight="false" outlineLevel="0" collapsed="false">
      <c r="A168" s="0" t="s">
        <v>664</v>
      </c>
      <c r="B168" s="0" t="s">
        <v>2110</v>
      </c>
      <c r="D168" s="0" t="s">
        <v>262</v>
      </c>
      <c r="E168" s="0" t="s">
        <v>2252</v>
      </c>
      <c r="F168" s="0" t="s">
        <v>2021</v>
      </c>
      <c r="H168" s="0" t="n">
        <v>1</v>
      </c>
      <c r="I168" s="0" t="n">
        <v>0</v>
      </c>
      <c r="Z168" s="0" t="s">
        <v>2270</v>
      </c>
    </row>
    <row r="169" customFormat="false" ht="14.25" hidden="false" customHeight="false" outlineLevel="0" collapsed="false">
      <c r="A169" s="0" t="s">
        <v>669</v>
      </c>
      <c r="B169" s="0" t="s">
        <v>2110</v>
      </c>
      <c r="D169" s="0" t="s">
        <v>262</v>
      </c>
      <c r="E169" s="0" t="s">
        <v>2252</v>
      </c>
      <c r="F169" s="0" t="s">
        <v>2021</v>
      </c>
      <c r="H169" s="0" t="n">
        <v>1</v>
      </c>
      <c r="I169" s="0" t="n">
        <v>0</v>
      </c>
      <c r="Z169" s="0" t="s">
        <v>2271</v>
      </c>
    </row>
    <row r="170" customFormat="false" ht="14.25" hidden="false" customHeight="false" outlineLevel="0" collapsed="false">
      <c r="A170" s="0" t="s">
        <v>674</v>
      </c>
      <c r="B170" s="0" t="s">
        <v>2110</v>
      </c>
      <c r="D170" s="0" t="s">
        <v>262</v>
      </c>
      <c r="E170" s="0" t="s">
        <v>2252</v>
      </c>
      <c r="F170" s="0" t="s">
        <v>2021</v>
      </c>
      <c r="H170" s="0" t="n">
        <v>1</v>
      </c>
      <c r="I170" s="0" t="n">
        <v>0</v>
      </c>
      <c r="Z170" s="0" t="s">
        <v>2272</v>
      </c>
    </row>
    <row r="171" customFormat="false" ht="14.25" hidden="false" customHeight="false" outlineLevel="0" collapsed="false">
      <c r="A171" s="0" t="s">
        <v>680</v>
      </c>
      <c r="B171" s="0" t="s">
        <v>2110</v>
      </c>
      <c r="D171" s="0" t="s">
        <v>262</v>
      </c>
      <c r="E171" s="0" t="s">
        <v>2252</v>
      </c>
      <c r="F171" s="0" t="s">
        <v>2021</v>
      </c>
      <c r="H171" s="0" t="n">
        <v>1</v>
      </c>
      <c r="I171" s="0" t="n">
        <v>0</v>
      </c>
      <c r="Z171" s="0" t="s">
        <v>2273</v>
      </c>
    </row>
    <row r="172" customFormat="false" ht="14.25" hidden="false" customHeight="false" outlineLevel="0" collapsed="false">
      <c r="A172" s="0" t="s">
        <v>685</v>
      </c>
      <c r="B172" s="0" t="s">
        <v>2110</v>
      </c>
      <c r="D172" s="0" t="s">
        <v>262</v>
      </c>
      <c r="E172" s="0" t="s">
        <v>2252</v>
      </c>
      <c r="F172" s="0" t="s">
        <v>2021</v>
      </c>
      <c r="H172" s="0" t="n">
        <v>1</v>
      </c>
      <c r="I172" s="0" t="n">
        <v>0</v>
      </c>
      <c r="Z172" s="0" t="s">
        <v>2274</v>
      </c>
    </row>
    <row r="173" customFormat="false" ht="14.25" hidden="false" customHeight="false" outlineLevel="0" collapsed="false">
      <c r="A173" s="0" t="s">
        <v>691</v>
      </c>
      <c r="B173" s="0" t="s">
        <v>2110</v>
      </c>
      <c r="D173" s="0" t="s">
        <v>262</v>
      </c>
      <c r="E173" s="0" t="s">
        <v>2252</v>
      </c>
      <c r="F173" s="0" t="s">
        <v>2021</v>
      </c>
      <c r="H173" s="0" t="n">
        <v>1</v>
      </c>
      <c r="I173" s="0" t="n">
        <v>0</v>
      </c>
      <c r="Z173" s="0" t="s">
        <v>2275</v>
      </c>
    </row>
    <row r="174" customFormat="false" ht="14.25" hidden="false" customHeight="false" outlineLevel="0" collapsed="false">
      <c r="A174" s="0" t="s">
        <v>696</v>
      </c>
      <c r="B174" s="0" t="s">
        <v>2110</v>
      </c>
      <c r="D174" s="0" t="s">
        <v>262</v>
      </c>
      <c r="E174" s="0" t="s">
        <v>2252</v>
      </c>
      <c r="F174" s="0" t="s">
        <v>2021</v>
      </c>
      <c r="H174" s="0" t="n">
        <v>1</v>
      </c>
      <c r="I174" s="0" t="n">
        <v>0</v>
      </c>
      <c r="Z174" s="0" t="s">
        <v>2276</v>
      </c>
    </row>
    <row r="175" customFormat="false" ht="14.25" hidden="false" customHeight="false" outlineLevel="0" collapsed="false">
      <c r="A175" s="0" t="s">
        <v>701</v>
      </c>
      <c r="B175" s="0" t="s">
        <v>2110</v>
      </c>
      <c r="D175" s="0" t="s">
        <v>262</v>
      </c>
      <c r="E175" s="0" t="s">
        <v>2252</v>
      </c>
      <c r="F175" s="0" t="s">
        <v>2021</v>
      </c>
      <c r="H175" s="0" t="n">
        <v>1</v>
      </c>
      <c r="I175" s="0" t="n">
        <v>0</v>
      </c>
      <c r="Z175" s="0" t="s">
        <v>2277</v>
      </c>
    </row>
    <row r="176" customFormat="false" ht="14.25" hidden="false" customHeight="false" outlineLevel="0" collapsed="false">
      <c r="A176" s="0" t="s">
        <v>706</v>
      </c>
      <c r="B176" s="0" t="s">
        <v>2110</v>
      </c>
      <c r="D176" s="0" t="s">
        <v>262</v>
      </c>
      <c r="E176" s="0" t="s">
        <v>2252</v>
      </c>
      <c r="F176" s="0" t="s">
        <v>2021</v>
      </c>
      <c r="H176" s="0" t="n">
        <v>1</v>
      </c>
      <c r="I176" s="0" t="n">
        <v>0</v>
      </c>
      <c r="Z176" s="0" t="s">
        <v>2278</v>
      </c>
    </row>
    <row r="177" customFormat="false" ht="14.25" hidden="false" customHeight="false" outlineLevel="0" collapsed="false">
      <c r="A177" s="0" t="s">
        <v>712</v>
      </c>
      <c r="B177" s="0" t="s">
        <v>2110</v>
      </c>
      <c r="D177" s="0" t="s">
        <v>262</v>
      </c>
      <c r="E177" s="0" t="s">
        <v>2252</v>
      </c>
      <c r="F177" s="0" t="s">
        <v>2021</v>
      </c>
      <c r="H177" s="0" t="n">
        <v>1</v>
      </c>
      <c r="I177" s="0" t="n">
        <v>0</v>
      </c>
      <c r="Z177" s="0" t="s">
        <v>2279</v>
      </c>
    </row>
    <row r="178" customFormat="false" ht="14.25" hidden="false" customHeight="false" outlineLevel="0" collapsed="false">
      <c r="A178" s="0" t="s">
        <v>718</v>
      </c>
      <c r="B178" s="0" t="s">
        <v>2110</v>
      </c>
      <c r="D178" s="0" t="s">
        <v>262</v>
      </c>
      <c r="E178" s="0" t="s">
        <v>2252</v>
      </c>
      <c r="F178" s="0" t="s">
        <v>2021</v>
      </c>
      <c r="H178" s="0" t="n">
        <v>1</v>
      </c>
      <c r="I178" s="0" t="n">
        <v>0</v>
      </c>
      <c r="Z178" s="0" t="s">
        <v>2280</v>
      </c>
    </row>
    <row r="179" customFormat="false" ht="14.25" hidden="false" customHeight="false" outlineLevel="0" collapsed="false">
      <c r="A179" s="0" t="s">
        <v>723</v>
      </c>
      <c r="B179" s="0" t="s">
        <v>2110</v>
      </c>
      <c r="D179" s="0" t="s">
        <v>262</v>
      </c>
      <c r="E179" s="0" t="s">
        <v>2252</v>
      </c>
      <c r="F179" s="0" t="s">
        <v>2021</v>
      </c>
      <c r="H179" s="0" t="n">
        <v>1</v>
      </c>
      <c r="I179" s="0" t="n">
        <v>0</v>
      </c>
      <c r="Z179" s="0" t="s">
        <v>2281</v>
      </c>
    </row>
    <row r="180" customFormat="false" ht="14.25" hidden="false" customHeight="false" outlineLevel="0" collapsed="false">
      <c r="A180" s="0" t="s">
        <v>728</v>
      </c>
      <c r="B180" s="0" t="s">
        <v>2110</v>
      </c>
      <c r="D180" s="0" t="s">
        <v>262</v>
      </c>
      <c r="E180" s="0" t="s">
        <v>2252</v>
      </c>
      <c r="F180" s="0" t="s">
        <v>2021</v>
      </c>
      <c r="H180" s="0" t="n">
        <v>1</v>
      </c>
      <c r="I180" s="0" t="n">
        <v>0</v>
      </c>
      <c r="Z180" s="0" t="s">
        <v>2282</v>
      </c>
    </row>
    <row r="181" customFormat="false" ht="14.25" hidden="false" customHeight="false" outlineLevel="0" collapsed="false">
      <c r="A181" s="0" t="s">
        <v>733</v>
      </c>
      <c r="B181" s="0" t="s">
        <v>2110</v>
      </c>
      <c r="D181" s="0" t="s">
        <v>262</v>
      </c>
      <c r="E181" s="0" t="s">
        <v>2252</v>
      </c>
      <c r="F181" s="0" t="s">
        <v>2021</v>
      </c>
      <c r="H181" s="0" t="n">
        <v>1</v>
      </c>
      <c r="I181" s="0" t="n">
        <v>0</v>
      </c>
      <c r="Z181" s="0" t="s">
        <v>2283</v>
      </c>
    </row>
    <row r="182" customFormat="false" ht="14.25" hidden="false" customHeight="false" outlineLevel="0" collapsed="false">
      <c r="A182" s="0" t="s">
        <v>739</v>
      </c>
      <c r="B182" s="0" t="s">
        <v>2110</v>
      </c>
      <c r="D182" s="0" t="s">
        <v>262</v>
      </c>
      <c r="E182" s="0" t="s">
        <v>2252</v>
      </c>
      <c r="F182" s="0" t="s">
        <v>2021</v>
      </c>
      <c r="H182" s="0" t="n">
        <v>1</v>
      </c>
      <c r="I182" s="0" t="n">
        <v>0</v>
      </c>
      <c r="Z182" s="0" t="s">
        <v>2284</v>
      </c>
    </row>
    <row r="183" customFormat="false" ht="14.25" hidden="false" customHeight="false" outlineLevel="0" collapsed="false">
      <c r="A183" s="0" t="s">
        <v>744</v>
      </c>
      <c r="B183" s="0" t="s">
        <v>2110</v>
      </c>
      <c r="D183" s="0" t="s">
        <v>262</v>
      </c>
      <c r="E183" s="0" t="s">
        <v>2252</v>
      </c>
      <c r="F183" s="0" t="s">
        <v>2021</v>
      </c>
      <c r="H183" s="0" t="n">
        <v>1</v>
      </c>
      <c r="I183" s="0" t="n">
        <v>0</v>
      </c>
      <c r="Z183" s="0" t="s">
        <v>2285</v>
      </c>
    </row>
    <row r="184" customFormat="false" ht="14.25" hidden="false" customHeight="false" outlineLevel="0" collapsed="false">
      <c r="A184" s="0" t="s">
        <v>749</v>
      </c>
      <c r="B184" s="0" t="s">
        <v>2110</v>
      </c>
      <c r="D184" s="0" t="s">
        <v>262</v>
      </c>
      <c r="E184" s="0" t="s">
        <v>2252</v>
      </c>
      <c r="F184" s="0" t="s">
        <v>2021</v>
      </c>
      <c r="H184" s="0" t="n">
        <v>1</v>
      </c>
      <c r="I184" s="0" t="n">
        <v>0</v>
      </c>
      <c r="Z184" s="0" t="s">
        <v>2286</v>
      </c>
    </row>
    <row r="185" customFormat="false" ht="14.25" hidden="false" customHeight="false" outlineLevel="0" collapsed="false">
      <c r="A185" s="0" t="s">
        <v>809</v>
      </c>
      <c r="B185" s="0" t="s">
        <v>2110</v>
      </c>
      <c r="D185" s="0" t="s">
        <v>262</v>
      </c>
      <c r="E185" s="0" t="s">
        <v>2252</v>
      </c>
      <c r="F185" s="0" t="s">
        <v>2021</v>
      </c>
      <c r="H185" s="0" t="n">
        <v>1</v>
      </c>
      <c r="I185" s="0" t="n">
        <v>0</v>
      </c>
      <c r="Z185" s="0" t="s">
        <v>2287</v>
      </c>
    </row>
    <row r="186" customFormat="false" ht="14.25" hidden="false" customHeight="false" outlineLevel="0" collapsed="false">
      <c r="A186" s="0" t="s">
        <v>814</v>
      </c>
      <c r="B186" s="0" t="s">
        <v>2110</v>
      </c>
      <c r="D186" s="0" t="s">
        <v>262</v>
      </c>
      <c r="E186" s="0" t="s">
        <v>2252</v>
      </c>
      <c r="F186" s="0" t="s">
        <v>2021</v>
      </c>
      <c r="H186" s="0" t="n">
        <v>1</v>
      </c>
      <c r="I186" s="0" t="n">
        <v>0</v>
      </c>
      <c r="Z186" s="0" t="s">
        <v>2288</v>
      </c>
    </row>
    <row r="187" customFormat="false" ht="14.25" hidden="false" customHeight="false" outlineLevel="0" collapsed="false">
      <c r="A187" s="0" t="s">
        <v>820</v>
      </c>
      <c r="B187" s="0" t="s">
        <v>2110</v>
      </c>
      <c r="D187" s="0" t="s">
        <v>262</v>
      </c>
      <c r="E187" s="0" t="s">
        <v>2252</v>
      </c>
      <c r="F187" s="0" t="s">
        <v>2021</v>
      </c>
      <c r="H187" s="0" t="n">
        <v>1</v>
      </c>
      <c r="I187" s="0" t="n">
        <v>0</v>
      </c>
      <c r="Z187" s="0" t="s">
        <v>2289</v>
      </c>
    </row>
    <row r="188" customFormat="false" ht="14.25" hidden="false" customHeight="false" outlineLevel="0" collapsed="false">
      <c r="A188" s="0" t="s">
        <v>825</v>
      </c>
      <c r="B188" s="0" t="s">
        <v>2110</v>
      </c>
      <c r="D188" s="0" t="s">
        <v>262</v>
      </c>
      <c r="E188" s="0" t="s">
        <v>2252</v>
      </c>
      <c r="F188" s="0" t="s">
        <v>2021</v>
      </c>
      <c r="H188" s="0" t="n">
        <v>1</v>
      </c>
      <c r="I188" s="0" t="n">
        <v>0</v>
      </c>
      <c r="Z188" s="0" t="s">
        <v>2290</v>
      </c>
    </row>
    <row r="189" customFormat="false" ht="14.25" hidden="false" customHeight="false" outlineLevel="0" collapsed="false">
      <c r="A189" s="0" t="s">
        <v>831</v>
      </c>
      <c r="B189" s="0" t="s">
        <v>2110</v>
      </c>
      <c r="D189" s="0" t="s">
        <v>262</v>
      </c>
      <c r="E189" s="0" t="s">
        <v>2252</v>
      </c>
      <c r="F189" s="0" t="s">
        <v>2021</v>
      </c>
      <c r="H189" s="0" t="n">
        <v>1</v>
      </c>
      <c r="I189" s="0" t="n">
        <v>0</v>
      </c>
      <c r="Z189" s="0" t="s">
        <v>2291</v>
      </c>
    </row>
    <row r="190" customFormat="false" ht="14.25" hidden="false" customHeight="false" outlineLevel="0" collapsed="false">
      <c r="A190" s="0" t="s">
        <v>841</v>
      </c>
      <c r="B190" s="0" t="s">
        <v>2110</v>
      </c>
      <c r="D190" s="0" t="s">
        <v>262</v>
      </c>
      <c r="E190" s="0" t="s">
        <v>2252</v>
      </c>
      <c r="F190" s="0" t="s">
        <v>2021</v>
      </c>
      <c r="H190" s="0" t="n">
        <v>1</v>
      </c>
      <c r="I190" s="0" t="n">
        <v>0</v>
      </c>
      <c r="Z190" s="0" t="s">
        <v>2292</v>
      </c>
    </row>
    <row r="191" customFormat="false" ht="14.25" hidden="false" customHeight="false" outlineLevel="0" collapsed="false">
      <c r="A191" s="0" t="s">
        <v>849</v>
      </c>
      <c r="B191" s="0" t="s">
        <v>2110</v>
      </c>
      <c r="D191" s="0" t="s">
        <v>262</v>
      </c>
      <c r="E191" s="0" t="s">
        <v>2252</v>
      </c>
      <c r="F191" s="0" t="s">
        <v>2021</v>
      </c>
      <c r="H191" s="0" t="n">
        <v>1</v>
      </c>
      <c r="I191" s="0" t="n">
        <v>0</v>
      </c>
      <c r="Z191" s="0" t="s">
        <v>2293</v>
      </c>
    </row>
    <row r="192" customFormat="false" ht="14.25" hidden="false" customHeight="false" outlineLevel="0" collapsed="false">
      <c r="A192" s="0" t="s">
        <v>854</v>
      </c>
      <c r="B192" s="0" t="s">
        <v>2110</v>
      </c>
      <c r="D192" s="0" t="s">
        <v>262</v>
      </c>
      <c r="E192" s="0" t="s">
        <v>2252</v>
      </c>
      <c r="F192" s="0" t="s">
        <v>2021</v>
      </c>
      <c r="H192" s="0" t="n">
        <v>1</v>
      </c>
      <c r="I192" s="0" t="n">
        <v>0</v>
      </c>
      <c r="Z192" s="0" t="s">
        <v>2294</v>
      </c>
    </row>
    <row r="193" customFormat="false" ht="14.25" hidden="false" customHeight="false" outlineLevel="0" collapsed="false">
      <c r="A193" s="0" t="s">
        <v>860</v>
      </c>
      <c r="B193" s="0" t="s">
        <v>2110</v>
      </c>
      <c r="D193" s="0" t="s">
        <v>262</v>
      </c>
      <c r="E193" s="0" t="s">
        <v>2252</v>
      </c>
      <c r="F193" s="0" t="s">
        <v>2021</v>
      </c>
      <c r="H193" s="0" t="n">
        <v>1</v>
      </c>
      <c r="I193" s="0" t="n">
        <v>0</v>
      </c>
      <c r="Z193" s="0" t="s">
        <v>2295</v>
      </c>
    </row>
    <row r="194" customFormat="false" ht="14.25" hidden="false" customHeight="false" outlineLevel="0" collapsed="false">
      <c r="A194" s="0" t="s">
        <v>865</v>
      </c>
      <c r="B194" s="0" t="s">
        <v>2110</v>
      </c>
      <c r="D194" s="0" t="s">
        <v>262</v>
      </c>
      <c r="E194" s="0" t="s">
        <v>2252</v>
      </c>
      <c r="F194" s="0" t="s">
        <v>2021</v>
      </c>
      <c r="H194" s="0" t="n">
        <v>1</v>
      </c>
      <c r="I194" s="0" t="n">
        <v>0</v>
      </c>
      <c r="Z194" s="0" t="s">
        <v>2296</v>
      </c>
    </row>
    <row r="195" customFormat="false" ht="14.25" hidden="false" customHeight="false" outlineLevel="0" collapsed="false">
      <c r="A195" s="0" t="s">
        <v>871</v>
      </c>
      <c r="B195" s="0" t="s">
        <v>2110</v>
      </c>
      <c r="D195" s="0" t="s">
        <v>262</v>
      </c>
      <c r="E195" s="0" t="s">
        <v>2252</v>
      </c>
      <c r="F195" s="0" t="s">
        <v>2021</v>
      </c>
      <c r="H195" s="0" t="n">
        <v>1</v>
      </c>
      <c r="I195" s="0" t="n">
        <v>0</v>
      </c>
      <c r="Z195" s="0" t="s">
        <v>2297</v>
      </c>
    </row>
    <row r="196" customFormat="false" ht="14.25" hidden="false" customHeight="false" outlineLevel="0" collapsed="false">
      <c r="A196" s="0" t="s">
        <v>876</v>
      </c>
      <c r="B196" s="0" t="s">
        <v>2110</v>
      </c>
      <c r="D196" s="0" t="s">
        <v>262</v>
      </c>
      <c r="E196" s="0" t="s">
        <v>2252</v>
      </c>
      <c r="F196" s="0" t="s">
        <v>2021</v>
      </c>
      <c r="H196" s="0" t="n">
        <v>1</v>
      </c>
      <c r="I196" s="0" t="n">
        <v>0</v>
      </c>
      <c r="Z196" s="0" t="s">
        <v>2298</v>
      </c>
    </row>
    <row r="197" customFormat="false" ht="14.25" hidden="false" customHeight="false" outlineLevel="0" collapsed="false">
      <c r="A197" s="0" t="s">
        <v>882</v>
      </c>
      <c r="B197" s="0" t="s">
        <v>2110</v>
      </c>
      <c r="D197" s="0" t="s">
        <v>262</v>
      </c>
      <c r="E197" s="0" t="s">
        <v>2252</v>
      </c>
      <c r="F197" s="0" t="s">
        <v>2021</v>
      </c>
      <c r="H197" s="0" t="n">
        <v>1</v>
      </c>
      <c r="I197" s="0" t="n">
        <v>0</v>
      </c>
      <c r="Z197" s="0" t="s">
        <v>2299</v>
      </c>
    </row>
    <row r="198" customFormat="false" ht="14.25" hidden="false" customHeight="false" outlineLevel="0" collapsed="false">
      <c r="A198" s="0" t="s">
        <v>887</v>
      </c>
      <c r="B198" s="0" t="s">
        <v>2110</v>
      </c>
      <c r="D198" s="0" t="s">
        <v>262</v>
      </c>
      <c r="E198" s="0" t="s">
        <v>2252</v>
      </c>
      <c r="F198" s="0" t="s">
        <v>2021</v>
      </c>
      <c r="H198" s="0" t="n">
        <v>1</v>
      </c>
      <c r="I198" s="0" t="n">
        <v>0</v>
      </c>
      <c r="Z198" s="0" t="s">
        <v>2300</v>
      </c>
    </row>
    <row r="199" customFormat="false" ht="14.25" hidden="false" customHeight="false" outlineLevel="0" collapsed="false">
      <c r="A199" s="0" t="s">
        <v>892</v>
      </c>
      <c r="B199" s="0" t="s">
        <v>2110</v>
      </c>
      <c r="D199" s="0" t="s">
        <v>262</v>
      </c>
      <c r="E199" s="0" t="s">
        <v>2252</v>
      </c>
      <c r="F199" s="0" t="s">
        <v>2021</v>
      </c>
      <c r="H199" s="0" t="n">
        <v>1</v>
      </c>
      <c r="I199" s="0" t="n">
        <v>0</v>
      </c>
      <c r="Z199" s="0" t="s">
        <v>2301</v>
      </c>
    </row>
    <row r="200" customFormat="false" ht="14.25" hidden="false" customHeight="false" outlineLevel="0" collapsed="false">
      <c r="A200" s="0" t="s">
        <v>898</v>
      </c>
      <c r="B200" s="0" t="s">
        <v>2110</v>
      </c>
      <c r="D200" s="0" t="s">
        <v>262</v>
      </c>
      <c r="E200" s="0" t="s">
        <v>2252</v>
      </c>
      <c r="F200" s="0" t="s">
        <v>2021</v>
      </c>
      <c r="H200" s="0" t="n">
        <v>1</v>
      </c>
      <c r="I200" s="0" t="n">
        <v>0</v>
      </c>
      <c r="Z200" s="0" t="s">
        <v>2302</v>
      </c>
    </row>
    <row r="201" customFormat="false" ht="14.25" hidden="false" customHeight="false" outlineLevel="0" collapsed="false">
      <c r="A201" s="0" t="s">
        <v>903</v>
      </c>
      <c r="B201" s="0" t="s">
        <v>2110</v>
      </c>
      <c r="D201" s="0" t="s">
        <v>262</v>
      </c>
      <c r="E201" s="0" t="s">
        <v>2252</v>
      </c>
      <c r="F201" s="0" t="s">
        <v>2021</v>
      </c>
      <c r="H201" s="0" t="n">
        <v>1</v>
      </c>
      <c r="I201" s="0" t="n">
        <v>0</v>
      </c>
      <c r="Z201" s="0" t="s">
        <v>2303</v>
      </c>
    </row>
    <row r="202" customFormat="false" ht="14.25" hidden="false" customHeight="false" outlineLevel="0" collapsed="false">
      <c r="A202" s="0" t="s">
        <v>908</v>
      </c>
      <c r="B202" s="0" t="s">
        <v>2110</v>
      </c>
      <c r="D202" s="0" t="s">
        <v>262</v>
      </c>
      <c r="E202" s="0" t="s">
        <v>2252</v>
      </c>
      <c r="F202" s="0" t="s">
        <v>2021</v>
      </c>
      <c r="H202" s="0" t="n">
        <v>1</v>
      </c>
      <c r="I202" s="0" t="n">
        <v>0</v>
      </c>
      <c r="Z202" s="0" t="s">
        <v>2304</v>
      </c>
    </row>
    <row r="203" customFormat="false" ht="14.25" hidden="false" customHeight="false" outlineLevel="0" collapsed="false">
      <c r="A203" s="0" t="s">
        <v>913</v>
      </c>
      <c r="B203" s="0" t="s">
        <v>2110</v>
      </c>
      <c r="D203" s="0" t="s">
        <v>262</v>
      </c>
      <c r="E203" s="0" t="s">
        <v>2252</v>
      </c>
      <c r="F203" s="0" t="s">
        <v>2021</v>
      </c>
      <c r="H203" s="0" t="n">
        <v>1</v>
      </c>
      <c r="I203" s="0" t="n">
        <v>0</v>
      </c>
      <c r="Z203" s="0" t="s">
        <v>2305</v>
      </c>
    </row>
    <row r="204" customFormat="false" ht="14.25" hidden="false" customHeight="false" outlineLevel="0" collapsed="false">
      <c r="A204" s="0" t="s">
        <v>918</v>
      </c>
      <c r="B204" s="0" t="s">
        <v>2110</v>
      </c>
      <c r="D204" s="0" t="s">
        <v>262</v>
      </c>
      <c r="E204" s="0" t="s">
        <v>2252</v>
      </c>
      <c r="F204" s="0" t="s">
        <v>2021</v>
      </c>
      <c r="H204" s="0" t="n">
        <v>1</v>
      </c>
      <c r="I204" s="0" t="n">
        <v>0</v>
      </c>
      <c r="Z204" s="0" t="s">
        <v>2306</v>
      </c>
    </row>
    <row r="205" customFormat="false" ht="14.25" hidden="false" customHeight="false" outlineLevel="0" collapsed="false">
      <c r="A205" s="0" t="s">
        <v>923</v>
      </c>
      <c r="B205" s="0" t="s">
        <v>2110</v>
      </c>
      <c r="D205" s="0" t="s">
        <v>262</v>
      </c>
      <c r="E205" s="0" t="s">
        <v>2252</v>
      </c>
      <c r="F205" s="0" t="s">
        <v>2021</v>
      </c>
      <c r="H205" s="0" t="n">
        <v>1</v>
      </c>
      <c r="I205" s="0" t="n">
        <v>0</v>
      </c>
      <c r="Z205" s="0" t="s">
        <v>2307</v>
      </c>
    </row>
    <row r="206" customFormat="false" ht="14.25" hidden="false" customHeight="false" outlineLevel="0" collapsed="false">
      <c r="A206" s="0" t="s">
        <v>928</v>
      </c>
      <c r="B206" s="0" t="s">
        <v>2110</v>
      </c>
      <c r="D206" s="0" t="s">
        <v>262</v>
      </c>
      <c r="E206" s="0" t="s">
        <v>2252</v>
      </c>
      <c r="F206" s="0" t="s">
        <v>2021</v>
      </c>
      <c r="H206" s="0" t="n">
        <v>1</v>
      </c>
      <c r="I206" s="0" t="n">
        <v>0</v>
      </c>
      <c r="Z206" s="0" t="s">
        <v>2308</v>
      </c>
    </row>
    <row r="207" customFormat="false" ht="14.25" hidden="false" customHeight="false" outlineLevel="0" collapsed="false">
      <c r="A207" s="0" t="s">
        <v>932</v>
      </c>
      <c r="B207" s="0" t="s">
        <v>2110</v>
      </c>
      <c r="D207" s="0" t="s">
        <v>262</v>
      </c>
      <c r="E207" s="0" t="s">
        <v>2252</v>
      </c>
      <c r="F207" s="0" t="s">
        <v>2021</v>
      </c>
      <c r="H207" s="0" t="n">
        <v>1</v>
      </c>
      <c r="I207" s="0" t="n">
        <v>0</v>
      </c>
      <c r="Z207" s="0" t="s">
        <v>2309</v>
      </c>
    </row>
    <row r="208" customFormat="false" ht="14.25" hidden="false" customHeight="false" outlineLevel="0" collapsed="false">
      <c r="A208" s="0" t="s">
        <v>937</v>
      </c>
      <c r="B208" s="0" t="s">
        <v>2110</v>
      </c>
      <c r="D208" s="0" t="s">
        <v>262</v>
      </c>
      <c r="E208" s="0" t="s">
        <v>2252</v>
      </c>
      <c r="F208" s="0" t="s">
        <v>2021</v>
      </c>
      <c r="H208" s="0" t="n">
        <v>1</v>
      </c>
      <c r="I208" s="0" t="n">
        <v>0</v>
      </c>
      <c r="Z208" s="0" t="s">
        <v>2310</v>
      </c>
    </row>
    <row r="209" customFormat="false" ht="14.25" hidden="false" customHeight="false" outlineLevel="0" collapsed="false">
      <c r="A209" s="0" t="s">
        <v>943</v>
      </c>
      <c r="B209" s="0" t="s">
        <v>2110</v>
      </c>
      <c r="D209" s="0" t="s">
        <v>262</v>
      </c>
      <c r="E209" s="0" t="s">
        <v>2252</v>
      </c>
      <c r="F209" s="0" t="s">
        <v>2021</v>
      </c>
      <c r="H209" s="0" t="n">
        <v>1</v>
      </c>
      <c r="I209" s="0" t="n">
        <v>0</v>
      </c>
      <c r="Z209" s="0" t="s">
        <v>2311</v>
      </c>
    </row>
    <row r="210" customFormat="false" ht="14.25" hidden="false" customHeight="false" outlineLevel="0" collapsed="false">
      <c r="A210" s="0" t="s">
        <v>948</v>
      </c>
      <c r="B210" s="0" t="s">
        <v>2110</v>
      </c>
      <c r="D210" s="0" t="s">
        <v>262</v>
      </c>
      <c r="E210" s="0" t="s">
        <v>2252</v>
      </c>
      <c r="F210" s="0" t="s">
        <v>2021</v>
      </c>
      <c r="H210" s="0" t="n">
        <v>1</v>
      </c>
      <c r="I210" s="0" t="n">
        <v>0</v>
      </c>
      <c r="Z210" s="0" t="s">
        <v>2312</v>
      </c>
    </row>
    <row r="211" customFormat="false" ht="14.25" hidden="false" customHeight="false" outlineLevel="0" collapsed="false">
      <c r="A211" s="0" t="s">
        <v>959</v>
      </c>
      <c r="B211" s="0" t="s">
        <v>2110</v>
      </c>
      <c r="D211" s="0" t="s">
        <v>262</v>
      </c>
      <c r="E211" s="0" t="s">
        <v>2252</v>
      </c>
      <c r="F211" s="0" t="s">
        <v>2021</v>
      </c>
      <c r="H211" s="0" t="n">
        <v>1</v>
      </c>
      <c r="I211" s="0" t="n">
        <v>0</v>
      </c>
      <c r="Z211" s="0" t="s">
        <v>2313</v>
      </c>
    </row>
    <row r="212" customFormat="false" ht="14.25" hidden="false" customHeight="false" outlineLevel="0" collapsed="false">
      <c r="A212" s="0" t="s">
        <v>964</v>
      </c>
      <c r="B212" s="0" t="s">
        <v>2110</v>
      </c>
      <c r="D212" s="0" t="s">
        <v>262</v>
      </c>
      <c r="E212" s="0" t="s">
        <v>2252</v>
      </c>
      <c r="F212" s="0" t="s">
        <v>2021</v>
      </c>
      <c r="H212" s="0" t="n">
        <v>1</v>
      </c>
      <c r="I212" s="0" t="n">
        <v>0</v>
      </c>
      <c r="Z212" s="0" t="s">
        <v>2314</v>
      </c>
    </row>
    <row r="213" customFormat="false" ht="14.25" hidden="false" customHeight="false" outlineLevel="0" collapsed="false">
      <c r="A213" s="0" t="s">
        <v>969</v>
      </c>
      <c r="B213" s="0" t="s">
        <v>2110</v>
      </c>
      <c r="D213" s="0" t="s">
        <v>262</v>
      </c>
      <c r="E213" s="0" t="s">
        <v>2252</v>
      </c>
      <c r="F213" s="0" t="s">
        <v>2021</v>
      </c>
      <c r="H213" s="0" t="n">
        <v>1</v>
      </c>
      <c r="I213" s="0" t="n">
        <v>0</v>
      </c>
      <c r="Z213" s="0" t="s">
        <v>2315</v>
      </c>
    </row>
    <row r="214" customFormat="false" ht="14.25" hidden="false" customHeight="false" outlineLevel="0" collapsed="false">
      <c r="A214" s="0" t="s">
        <v>1022</v>
      </c>
      <c r="B214" s="0" t="s">
        <v>2110</v>
      </c>
      <c r="D214" s="0" t="s">
        <v>262</v>
      </c>
      <c r="E214" s="0" t="s">
        <v>2252</v>
      </c>
      <c r="F214" s="0" t="s">
        <v>2021</v>
      </c>
      <c r="H214" s="0" t="n">
        <v>1</v>
      </c>
      <c r="I214" s="0" t="n">
        <v>0</v>
      </c>
      <c r="Z214" s="0" t="s">
        <v>2316</v>
      </c>
    </row>
    <row r="215" customFormat="false" ht="14.25" hidden="false" customHeight="false" outlineLevel="0" collapsed="false">
      <c r="A215" s="0" t="s">
        <v>1028</v>
      </c>
      <c r="B215" s="0" t="s">
        <v>2110</v>
      </c>
      <c r="D215" s="0" t="s">
        <v>262</v>
      </c>
      <c r="E215" s="0" t="s">
        <v>2252</v>
      </c>
      <c r="F215" s="0" t="s">
        <v>2021</v>
      </c>
      <c r="H215" s="0" t="n">
        <v>1</v>
      </c>
      <c r="I215" s="0" t="n">
        <v>0</v>
      </c>
      <c r="Z215" s="0" t="s">
        <v>2317</v>
      </c>
    </row>
  </sheetData>
  <autoFilter ref="A1:Z15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6796875" defaultRowHeight="14.25" zeroHeight="false" outlineLevelRow="0" outlineLevelCol="0"/>
  <cols>
    <col collapsed="false" customWidth="true" hidden="false" outlineLevel="0" max="3" min="1" style="0" width="16"/>
    <col collapsed="false" customWidth="true" hidden="false" outlineLevel="0" max="4" min="4" style="0" width="55"/>
    <col collapsed="false" customWidth="true" hidden="false" outlineLevel="0" max="5" min="5" style="0" width="60"/>
  </cols>
  <sheetData>
    <row r="1" customFormat="false" ht="42" hidden="false" customHeight="true" outlineLevel="0" collapsed="false">
      <c r="A1" s="9" t="s">
        <v>2318</v>
      </c>
      <c r="B1" s="5" t="s">
        <v>92</v>
      </c>
      <c r="C1" s="5" t="s">
        <v>2319</v>
      </c>
      <c r="D1" s="5" t="s">
        <v>2320</v>
      </c>
      <c r="E1" s="5" t="s">
        <v>2321</v>
      </c>
      <c r="F1" s="5" t="s">
        <v>2322</v>
      </c>
    </row>
    <row r="2" customFormat="false" ht="14.25" hidden="false" customHeight="false" outlineLevel="0" collapsed="false">
      <c r="A2" s="0" t="s">
        <v>89</v>
      </c>
      <c r="B2" s="7" t="n">
        <v>1997</v>
      </c>
      <c r="C2" s="7" t="n">
        <v>4.49</v>
      </c>
      <c r="D2" s="7" t="n">
        <v>5.31</v>
      </c>
      <c r="E2" s="7" t="s">
        <v>2323</v>
      </c>
      <c r="F2" s="7" t="s">
        <v>2324</v>
      </c>
    </row>
    <row r="3" customFormat="false" ht="14.25" hidden="false" customHeight="false" outlineLevel="0" collapsed="false">
      <c r="A3" s="0" t="s">
        <v>89</v>
      </c>
      <c r="B3" s="7" t="n">
        <v>1998</v>
      </c>
      <c r="C3" s="7" t="n">
        <v>5.18</v>
      </c>
      <c r="D3" s="7" t="n">
        <v>8.4</v>
      </c>
      <c r="E3" s="7" t="s">
        <v>2323</v>
      </c>
      <c r="F3" s="7" t="s">
        <v>2324</v>
      </c>
    </row>
    <row r="4" customFormat="false" ht="14.25" hidden="false" customHeight="false" outlineLevel="0" collapsed="false">
      <c r="A4" s="0" t="s">
        <v>89</v>
      </c>
      <c r="B4" s="7" t="n">
        <v>1999</v>
      </c>
      <c r="C4" s="7" t="n">
        <v>4.67</v>
      </c>
      <c r="D4" s="7" t="n">
        <v>6.11</v>
      </c>
      <c r="E4" s="7" t="s">
        <v>2323</v>
      </c>
      <c r="F4" s="7" t="s">
        <v>2324</v>
      </c>
    </row>
    <row r="5" customFormat="false" ht="14.25" hidden="false" customHeight="false" outlineLevel="0" collapsed="false">
      <c r="A5" s="0" t="s">
        <v>89</v>
      </c>
      <c r="B5" s="7" t="n">
        <v>2000</v>
      </c>
      <c r="C5" s="7" t="n">
        <v>5.29</v>
      </c>
      <c r="D5" s="7" t="n">
        <v>2.21</v>
      </c>
      <c r="E5" s="7" t="s">
        <v>2323</v>
      </c>
      <c r="F5" s="7" t="s">
        <v>2324</v>
      </c>
    </row>
    <row r="6" customFormat="false" ht="14.25" hidden="false" customHeight="false" outlineLevel="0" collapsed="false">
      <c r="A6" s="0" t="s">
        <v>89</v>
      </c>
      <c r="B6" s="7" t="n">
        <v>2001</v>
      </c>
      <c r="C6" s="7" t="n">
        <v>5.08</v>
      </c>
      <c r="D6" s="7" t="n">
        <v>2.01</v>
      </c>
      <c r="E6" s="7" t="s">
        <v>2323</v>
      </c>
      <c r="F6" s="7" t="s">
        <v>2324</v>
      </c>
    </row>
    <row r="7" customFormat="false" ht="14.25" hidden="false" customHeight="false" outlineLevel="0" collapsed="false">
      <c r="A7" s="0" t="s">
        <v>89</v>
      </c>
      <c r="B7" s="7" t="n">
        <v>2002</v>
      </c>
      <c r="C7" s="7" t="n">
        <v>3.83</v>
      </c>
      <c r="D7" s="7" t="n">
        <v>3.33</v>
      </c>
      <c r="E7" s="7" t="s">
        <v>2323</v>
      </c>
      <c r="F7" s="7" t="s">
        <v>2324</v>
      </c>
    </row>
    <row r="8" customFormat="false" ht="14.25" hidden="false" customHeight="false" outlineLevel="0" collapsed="false">
      <c r="A8" s="0" t="s">
        <v>89</v>
      </c>
      <c r="B8" s="7" t="n">
        <v>2003</v>
      </c>
      <c r="C8" s="7" t="n">
        <v>4.74</v>
      </c>
      <c r="D8" s="7" t="n">
        <v>5.67</v>
      </c>
      <c r="E8" s="7" t="s">
        <v>2323</v>
      </c>
      <c r="F8" s="7" t="s">
        <v>2324</v>
      </c>
    </row>
    <row r="9" customFormat="false" ht="14.25" hidden="false" customHeight="false" outlineLevel="0" collapsed="false">
      <c r="A9" s="0" t="s">
        <v>89</v>
      </c>
      <c r="B9" s="7" t="n">
        <v>2004</v>
      </c>
      <c r="C9" s="7" t="n">
        <v>5.24</v>
      </c>
      <c r="D9" s="7" t="n">
        <v>7.59</v>
      </c>
      <c r="E9" s="7" t="s">
        <v>2323</v>
      </c>
      <c r="F9" s="7" t="s">
        <v>2324</v>
      </c>
    </row>
    <row r="10" customFormat="false" ht="14.25" hidden="false" customHeight="false" outlineLevel="0" collapsed="false">
      <c r="A10" s="0" t="s">
        <v>89</v>
      </c>
      <c r="B10" s="7" t="n">
        <v>2005</v>
      </c>
      <c r="C10" s="7" t="n">
        <v>6.54</v>
      </c>
      <c r="D10" s="7" t="n">
        <v>7.05</v>
      </c>
      <c r="E10" s="7" t="s">
        <v>2323</v>
      </c>
      <c r="F10" s="7" t="s">
        <v>2324</v>
      </c>
    </row>
    <row r="11" customFormat="false" ht="14.25" hidden="false" customHeight="false" outlineLevel="0" collapsed="false">
      <c r="A11" s="0" t="s">
        <v>89</v>
      </c>
      <c r="B11" s="7" t="n">
        <v>2006</v>
      </c>
      <c r="C11" s="7" t="n">
        <v>6.67</v>
      </c>
      <c r="D11" s="7" t="n">
        <v>6.77</v>
      </c>
      <c r="E11" s="7" t="s">
        <v>2323</v>
      </c>
      <c r="F11" s="7" t="s">
        <v>2324</v>
      </c>
    </row>
    <row r="12" customFormat="false" ht="14.25" hidden="false" customHeight="false" outlineLevel="0" collapsed="false">
      <c r="A12" s="0" t="s">
        <v>89</v>
      </c>
      <c r="B12" s="7" t="n">
        <v>2007</v>
      </c>
      <c r="C12" s="7" t="n">
        <v>7.06</v>
      </c>
      <c r="D12" s="7" t="n">
        <v>9.11</v>
      </c>
      <c r="E12" s="7" t="s">
        <v>2323</v>
      </c>
      <c r="F12" s="7" t="s">
        <v>2324</v>
      </c>
    </row>
    <row r="13" customFormat="false" ht="14.25" hidden="false" customHeight="false" outlineLevel="0" collapsed="false">
      <c r="A13" s="0" t="s">
        <v>89</v>
      </c>
      <c r="B13" s="7" t="n">
        <v>2008</v>
      </c>
      <c r="C13" s="7" t="n">
        <v>6.01</v>
      </c>
      <c r="D13" s="7" t="n">
        <v>8.9</v>
      </c>
      <c r="E13" s="7" t="s">
        <v>2323</v>
      </c>
      <c r="F13" s="7" t="s">
        <v>2324</v>
      </c>
    </row>
    <row r="14" customFormat="false" ht="14.25" hidden="false" customHeight="false" outlineLevel="0" collapsed="false">
      <c r="A14" s="0" t="s">
        <v>89</v>
      </c>
      <c r="B14" s="7" t="n">
        <v>2009</v>
      </c>
      <c r="C14" s="7" t="n">
        <v>5.05</v>
      </c>
      <c r="D14" s="7" t="n">
        <v>5.42</v>
      </c>
      <c r="E14" s="7" t="s">
        <v>2323</v>
      </c>
      <c r="F14" s="7" t="s">
        <v>2324</v>
      </c>
    </row>
    <row r="15" customFormat="false" ht="14.25" hidden="false" customHeight="false" outlineLevel="0" collapsed="false">
      <c r="A15" s="0" t="s">
        <v>89</v>
      </c>
      <c r="B15" s="7" t="n">
        <v>2010</v>
      </c>
      <c r="C15" s="7" t="n">
        <v>5.57</v>
      </c>
      <c r="D15" s="7" t="n">
        <v>7.3</v>
      </c>
      <c r="E15" s="7" t="s">
        <v>2323</v>
      </c>
      <c r="F15" s="7" t="s">
        <v>2325</v>
      </c>
    </row>
    <row r="16" customFormat="false" ht="14.25" hidden="false" customHeight="false" outlineLevel="0" collapsed="false">
      <c r="A16" s="0" t="s">
        <v>89</v>
      </c>
      <c r="B16" s="7" t="n">
        <v>2011</v>
      </c>
      <c r="C16" s="7" t="n">
        <v>6.46</v>
      </c>
      <c r="D16" s="7" t="n">
        <v>11.4</v>
      </c>
      <c r="E16" s="7" t="s">
        <v>2323</v>
      </c>
      <c r="F16" s="7" t="s">
        <v>2324</v>
      </c>
    </row>
    <row r="17" customFormat="false" ht="14.25" hidden="false" customHeight="false" outlineLevel="0" collapsed="false">
      <c r="A17" s="0" t="s">
        <v>89</v>
      </c>
      <c r="B17" s="7" t="n">
        <v>2012</v>
      </c>
      <c r="C17" s="7" t="n">
        <v>6.52</v>
      </c>
      <c r="D17" s="7" t="n">
        <v>6.22</v>
      </c>
      <c r="E17" s="7" t="s">
        <v>2323</v>
      </c>
      <c r="F17" s="7" t="s">
        <v>2324</v>
      </c>
    </row>
    <row r="18" customFormat="false" ht="14.25" hidden="false" customHeight="false" outlineLevel="0" collapsed="false">
      <c r="A18" s="0" t="s">
        <v>89</v>
      </c>
      <c r="B18" s="7" t="n">
        <v>2013</v>
      </c>
      <c r="C18" s="7" t="n">
        <v>6.01</v>
      </c>
      <c r="D18" s="7" t="n">
        <v>7.53</v>
      </c>
      <c r="E18" s="7" t="s">
        <v>2323</v>
      </c>
      <c r="F18" s="7" t="s">
        <v>2324</v>
      </c>
    </row>
    <row r="19" customFormat="false" ht="14.25" hidden="false" customHeight="false" outlineLevel="0" collapsed="false">
      <c r="A19" s="0" t="s">
        <v>89</v>
      </c>
      <c r="B19" s="7" t="n">
        <v>2014</v>
      </c>
      <c r="C19" s="7" t="n">
        <v>6.06</v>
      </c>
      <c r="D19" s="7" t="n">
        <v>6.99</v>
      </c>
      <c r="E19" s="7" t="s">
        <v>2323</v>
      </c>
      <c r="F19" s="7" t="s">
        <v>2324</v>
      </c>
    </row>
    <row r="20" customFormat="false" ht="14.25" hidden="false" customHeight="false" outlineLevel="0" collapsed="false">
      <c r="A20" s="0" t="s">
        <v>89</v>
      </c>
      <c r="B20" s="7" t="n">
        <v>2015</v>
      </c>
      <c r="C20" s="7" t="n">
        <v>6.55</v>
      </c>
      <c r="D20" s="7" t="n">
        <v>6.4</v>
      </c>
      <c r="E20" s="7" t="s">
        <v>2323</v>
      </c>
      <c r="F20" s="7" t="s">
        <v>2325</v>
      </c>
    </row>
    <row r="21" customFormat="false" ht="14.25" hidden="false" customHeight="false" outlineLevel="0" collapsed="false">
      <c r="A21" s="0" t="s">
        <v>89</v>
      </c>
      <c r="B21" s="7" t="n">
        <v>2016</v>
      </c>
      <c r="C21" s="7" t="n">
        <v>7.11</v>
      </c>
      <c r="D21" s="7" t="n">
        <v>5.51</v>
      </c>
      <c r="E21" s="7" t="s">
        <v>2323</v>
      </c>
      <c r="F21" s="7" t="s">
        <v>2324</v>
      </c>
    </row>
    <row r="22" customFormat="false" ht="14.25" hidden="false" customHeight="false" outlineLevel="0" collapsed="false">
      <c r="A22" s="0" t="s">
        <v>89</v>
      </c>
      <c r="B22" s="7" t="n">
        <v>2017</v>
      </c>
      <c r="C22" s="7" t="n">
        <v>6.59</v>
      </c>
      <c r="D22" s="7" t="n">
        <v>5.7</v>
      </c>
      <c r="E22" s="7" t="s">
        <v>2323</v>
      </c>
      <c r="F22" s="7" t="s">
        <v>2324</v>
      </c>
    </row>
    <row r="23" customFormat="false" ht="14.25" hidden="false" customHeight="false" outlineLevel="0" collapsed="false">
      <c r="A23" s="0" t="s">
        <v>89</v>
      </c>
      <c r="B23" s="7" t="n">
        <v>2018</v>
      </c>
      <c r="C23" s="7" t="n">
        <v>7.32</v>
      </c>
      <c r="D23" s="7" t="n">
        <v>5.54</v>
      </c>
      <c r="E23" s="7" t="s">
        <v>2323</v>
      </c>
      <c r="F23" s="7" t="s">
        <v>2324</v>
      </c>
    </row>
    <row r="24" customFormat="false" ht="14.25" hidden="false" customHeight="false" outlineLevel="0" collapsed="false">
      <c r="A24" s="0" t="s">
        <v>89</v>
      </c>
      <c r="B24" s="7" t="n">
        <v>2019</v>
      </c>
      <c r="C24" s="7" t="n">
        <v>7.88</v>
      </c>
      <c r="D24" s="7" t="n">
        <v>5.5</v>
      </c>
      <c r="E24" s="7" t="s">
        <v>2323</v>
      </c>
      <c r="F24" s="7" t="s">
        <v>2325</v>
      </c>
    </row>
    <row r="25" customFormat="false" ht="14.25" hidden="false" customHeight="false" outlineLevel="0" collapsed="false">
      <c r="A25" s="0" t="s">
        <v>89</v>
      </c>
      <c r="B25" s="7" t="n">
        <v>2020</v>
      </c>
      <c r="C25" s="7" t="n">
        <v>3.45</v>
      </c>
      <c r="D25" s="7" t="n">
        <v>5.69</v>
      </c>
      <c r="E25" s="7" t="s">
        <v>2323</v>
      </c>
      <c r="F25" s="7" t="s">
        <v>2324</v>
      </c>
    </row>
    <row r="26" customFormat="false" ht="14.25" hidden="false" customHeight="false" outlineLevel="0" collapsed="false">
      <c r="A26" s="0" t="s">
        <v>89</v>
      </c>
      <c r="B26" s="7" t="n">
        <v>2021</v>
      </c>
      <c r="C26" s="7" t="n">
        <v>6.94</v>
      </c>
      <c r="D26" s="7" t="n">
        <v>5.55</v>
      </c>
      <c r="E26" s="7" t="s">
        <v>2323</v>
      </c>
      <c r="F26" s="7" t="s">
        <v>2324</v>
      </c>
    </row>
    <row r="27" customFormat="false" ht="14.25" hidden="false" customHeight="false" outlineLevel="0" collapsed="false">
      <c r="A27" s="0" t="s">
        <v>89</v>
      </c>
      <c r="B27" s="7" t="n">
        <v>2022</v>
      </c>
      <c r="C27" s="7" t="n">
        <v>7.1</v>
      </c>
      <c r="D27" s="7" t="n">
        <v>7.7</v>
      </c>
      <c r="E27" s="7" t="s">
        <v>2323</v>
      </c>
      <c r="F27" s="7" t="s">
        <v>2324</v>
      </c>
    </row>
    <row r="28" customFormat="false" ht="14.25" hidden="false" customHeight="false" outlineLevel="0" collapsed="false">
      <c r="A28" s="0" t="s">
        <v>89</v>
      </c>
      <c r="B28" s="7" t="n">
        <v>2023</v>
      </c>
      <c r="C28" s="7" t="n">
        <v>5.78</v>
      </c>
      <c r="D28" s="7" t="n">
        <v>9.02</v>
      </c>
      <c r="E28" s="7" t="s">
        <v>2323</v>
      </c>
      <c r="F28" s="7" t="s">
        <v>2324</v>
      </c>
    </row>
    <row r="29" customFormat="false" ht="14.25" hidden="false" customHeight="false" outlineLevel="0" collapsed="false">
      <c r="A29" s="0" t="s">
        <v>89</v>
      </c>
      <c r="B29" s="7" t="n">
        <v>2024</v>
      </c>
      <c r="C29" s="7" t="n">
        <v>4.22</v>
      </c>
      <c r="D29" s="7" t="n">
        <v>9.7</v>
      </c>
      <c r="E29" s="7" t="s">
        <v>2326</v>
      </c>
      <c r="F29" s="7" t="s">
        <v>2327</v>
      </c>
    </row>
    <row r="30" customFormat="false" ht="14.25" hidden="false" customHeight="false" outlineLevel="0" collapsed="false">
      <c r="A30" s="0" t="s">
        <v>89</v>
      </c>
      <c r="B30" s="7" t="n">
        <v>2025</v>
      </c>
      <c r="C30" s="7" t="n">
        <v>3.49</v>
      </c>
      <c r="D30" s="7" t="n">
        <v>8.77</v>
      </c>
      <c r="E30" s="7" t="s">
        <v>2328</v>
      </c>
      <c r="F30" s="7" t="s">
        <v>2329</v>
      </c>
    </row>
    <row r="31" customFormat="false" ht="14.25" hidden="false" customHeight="false" outlineLevel="0" collapsed="false">
      <c r="A31" s="0" t="s">
        <v>89</v>
      </c>
      <c r="B31" s="7" t="n">
        <v>2026</v>
      </c>
      <c r="C31" s="7"/>
      <c r="D31" s="7" t="n">
        <v>9.16</v>
      </c>
      <c r="E31" s="7" t="s">
        <v>2330</v>
      </c>
      <c r="F31" s="7" t="s">
        <v>2331</v>
      </c>
    </row>
    <row r="32" customFormat="false" ht="14.25" hidden="false" customHeight="false" outlineLevel="0" collapsed="false">
      <c r="A32" s="0" t="s">
        <v>89</v>
      </c>
    </row>
    <row r="33" customFormat="false" ht="14.25" hidden="false" customHeight="false" outlineLevel="0" collapsed="false">
      <c r="A33" s="0" t="s">
        <v>89</v>
      </c>
      <c r="B33" s="10" t="s">
        <v>2332</v>
      </c>
    </row>
    <row r="34" customFormat="false" ht="14.25" hidden="false" customHeight="false" outlineLevel="0" collapsed="false">
      <c r="A34" s="0" t="s">
        <v>89</v>
      </c>
      <c r="B34" s="11" t="s">
        <v>2333</v>
      </c>
    </row>
    <row r="35" customFormat="false" ht="14.25" hidden="false" customHeight="false" outlineLevel="0" collapsed="false">
      <c r="A35" s="0" t="s">
        <v>89</v>
      </c>
      <c r="B35" s="11" t="s">
        <v>2334</v>
      </c>
    </row>
    <row r="36" customFormat="false" ht="14.25" hidden="false" customHeight="false" outlineLevel="0" collapsed="false">
      <c r="A36" s="0" t="s">
        <v>89</v>
      </c>
      <c r="B36" s="11" t="s">
        <v>2335</v>
      </c>
    </row>
    <row r="37" customFormat="false" ht="14.25" hidden="false" customHeight="false" outlineLevel="0" collapsed="false">
      <c r="A37" s="0" t="s">
        <v>89</v>
      </c>
      <c r="B37" s="11" t="s">
        <v>2336</v>
      </c>
    </row>
    <row r="38" customFormat="false" ht="14.25" hidden="false" customHeight="false" outlineLevel="0" collapsed="false">
      <c r="A38" s="0" t="s">
        <v>560</v>
      </c>
      <c r="B38" s="0" t="n">
        <v>1997</v>
      </c>
      <c r="C38" s="0" t="n">
        <v>4.04982084902483</v>
      </c>
      <c r="D38" s="0" t="n">
        <v>7.16425211462721</v>
      </c>
      <c r="E38" s="0" t="s">
        <v>2337</v>
      </c>
      <c r="F38" s="0" t="s">
        <v>2338</v>
      </c>
    </row>
    <row r="39" customFormat="false" ht="14.25" hidden="false" customHeight="false" outlineLevel="0" collapsed="false">
      <c r="A39" s="0" t="s">
        <v>560</v>
      </c>
      <c r="B39" s="0" t="n">
        <v>1998</v>
      </c>
      <c r="C39" s="0" t="n">
        <v>6.18441582080355</v>
      </c>
      <c r="D39" s="0" t="n">
        <v>13.2308389767977</v>
      </c>
      <c r="E39" s="0" t="s">
        <v>2337</v>
      </c>
      <c r="F39" s="0" t="s">
        <v>2338</v>
      </c>
    </row>
    <row r="40" customFormat="false" ht="14.25" hidden="false" customHeight="false" outlineLevel="0" collapsed="false">
      <c r="A40" s="0" t="s">
        <v>560</v>
      </c>
      <c r="B40" s="0" t="n">
        <v>1999</v>
      </c>
      <c r="C40" s="0" t="n">
        <v>8.84575556114116</v>
      </c>
      <c r="D40" s="0" t="n">
        <v>4.66982038037589</v>
      </c>
      <c r="E40" s="0" t="s">
        <v>2337</v>
      </c>
      <c r="F40" s="0" t="s">
        <v>2338</v>
      </c>
    </row>
    <row r="41" customFormat="false" ht="14.25" hidden="false" customHeight="false" outlineLevel="0" collapsed="false">
      <c r="A41" s="0" t="s">
        <v>560</v>
      </c>
      <c r="B41" s="0" t="n">
        <v>2000</v>
      </c>
      <c r="C41" s="0" t="n">
        <v>3.84099115686554</v>
      </c>
      <c r="D41" s="0" t="n">
        <v>4.0094359104519</v>
      </c>
      <c r="E41" s="0" t="s">
        <v>2337</v>
      </c>
      <c r="F41" s="0" t="s">
        <v>2338</v>
      </c>
    </row>
    <row r="42" customFormat="false" ht="14.25" hidden="false" customHeight="false" outlineLevel="0" collapsed="false">
      <c r="A42" s="0" t="s">
        <v>560</v>
      </c>
      <c r="B42" s="0" t="n">
        <v>2001</v>
      </c>
      <c r="C42" s="0" t="n">
        <v>4.82396626397303</v>
      </c>
      <c r="D42" s="0" t="n">
        <v>3.77929312235637</v>
      </c>
      <c r="E42" s="0" t="s">
        <v>2337</v>
      </c>
      <c r="F42" s="0" t="s">
        <v>2338</v>
      </c>
    </row>
    <row r="43" customFormat="false" ht="14.25" hidden="false" customHeight="false" outlineLevel="0" collapsed="false">
      <c r="A43" s="0" t="s">
        <v>560</v>
      </c>
      <c r="B43" s="0" t="n">
        <v>2002</v>
      </c>
      <c r="C43" s="0" t="n">
        <v>3.80397532120038</v>
      </c>
      <c r="D43" s="0" t="n">
        <v>4.29715203929561</v>
      </c>
      <c r="E43" s="0" t="s">
        <v>2337</v>
      </c>
      <c r="F43" s="0" t="s">
        <v>2338</v>
      </c>
    </row>
    <row r="44" customFormat="false" ht="14.25" hidden="false" customHeight="false" outlineLevel="0" collapsed="false">
      <c r="A44" s="0" t="s">
        <v>560</v>
      </c>
      <c r="B44" s="0" t="n">
        <v>2003</v>
      </c>
      <c r="C44" s="0" t="n">
        <v>7.86038147545045</v>
      </c>
      <c r="D44" s="0" t="n">
        <v>3.80585899528852</v>
      </c>
      <c r="E44" s="0" t="s">
        <v>2337</v>
      </c>
      <c r="F44" s="0" t="s">
        <v>2338</v>
      </c>
    </row>
    <row r="45" customFormat="false" ht="14.25" hidden="false" customHeight="false" outlineLevel="0" collapsed="false">
      <c r="A45" s="0" t="s">
        <v>560</v>
      </c>
      <c r="B45" s="0" t="n">
        <v>2004</v>
      </c>
      <c r="C45" s="0" t="n">
        <v>7.92293661307978</v>
      </c>
      <c r="D45" s="0" t="n">
        <v>3.76725173477517</v>
      </c>
      <c r="E45" s="0" t="s">
        <v>2337</v>
      </c>
      <c r="F45" s="0" t="s">
        <v>2338</v>
      </c>
    </row>
    <row r="46" customFormat="false" ht="14.25" hidden="false" customHeight="false" outlineLevel="0" collapsed="false">
      <c r="A46" s="0" t="s">
        <v>560</v>
      </c>
      <c r="B46" s="0" t="n">
        <v>2005</v>
      </c>
      <c r="C46" s="0" t="n">
        <v>7.92343062131789</v>
      </c>
      <c r="D46" s="0" t="n">
        <v>4.24634362031923</v>
      </c>
      <c r="E46" s="0" t="s">
        <v>2337</v>
      </c>
      <c r="F46" s="0" t="s">
        <v>2338</v>
      </c>
    </row>
    <row r="47" customFormat="false" ht="14.25" hidden="false" customHeight="false" outlineLevel="0" collapsed="false">
      <c r="A47" s="0" t="s">
        <v>560</v>
      </c>
      <c r="B47" s="0" t="n">
        <v>2006</v>
      </c>
      <c r="C47" s="0" t="n">
        <v>8.06073257305057</v>
      </c>
      <c r="D47" s="0" t="n">
        <v>5.79652337561633</v>
      </c>
      <c r="E47" s="0" t="s">
        <v>2337</v>
      </c>
      <c r="F47" s="0" t="s">
        <v>2338</v>
      </c>
    </row>
    <row r="48" customFormat="false" ht="14.25" hidden="false" customHeight="false" outlineLevel="0" collapsed="false">
      <c r="A48" s="0" t="s">
        <v>560</v>
      </c>
      <c r="B48" s="0" t="n">
        <v>2007</v>
      </c>
      <c r="C48" s="0" t="n">
        <v>7.66081506510766</v>
      </c>
      <c r="D48" s="0" t="n">
        <v>6.37288135593231</v>
      </c>
      <c r="E48" s="0" t="s">
        <v>2337</v>
      </c>
      <c r="F48" s="0" t="s">
        <v>2338</v>
      </c>
    </row>
    <row r="49" customFormat="false" ht="14.25" hidden="false" customHeight="false" outlineLevel="0" collapsed="false">
      <c r="A49" s="0" t="s">
        <v>560</v>
      </c>
      <c r="B49" s="0" t="n">
        <v>2008</v>
      </c>
      <c r="C49" s="0" t="n">
        <v>3.08669805950082</v>
      </c>
      <c r="D49" s="0" t="n">
        <v>8.34926704907574</v>
      </c>
      <c r="E49" s="0" t="s">
        <v>2337</v>
      </c>
      <c r="F49" s="0" t="s">
        <v>2338</v>
      </c>
    </row>
    <row r="50" customFormat="false" ht="14.25" hidden="false" customHeight="false" outlineLevel="0" collapsed="false">
      <c r="A50" s="0" t="s">
        <v>560</v>
      </c>
      <c r="B50" s="0" t="n">
        <v>2009</v>
      </c>
      <c r="C50" s="0" t="n">
        <v>7.8618888330338</v>
      </c>
      <c r="D50" s="0" t="n">
        <v>10.8823529411764</v>
      </c>
      <c r="E50" s="0" t="s">
        <v>2337</v>
      </c>
      <c r="F50" s="0" t="s">
        <v>2338</v>
      </c>
    </row>
    <row r="51" customFormat="false" ht="14.25" hidden="false" customHeight="false" outlineLevel="0" collapsed="false">
      <c r="A51" s="0" t="s">
        <v>560</v>
      </c>
      <c r="B51" s="0" t="n">
        <v>2010</v>
      </c>
      <c r="C51" s="0" t="n">
        <v>8.49758470165625</v>
      </c>
      <c r="D51" s="0" t="n">
        <v>11.9893899204244</v>
      </c>
      <c r="E51" s="0" t="s">
        <v>2337</v>
      </c>
      <c r="F51" s="0" t="s">
        <v>2338</v>
      </c>
    </row>
    <row r="52" customFormat="false" ht="14.25" hidden="false" customHeight="false" outlineLevel="0" collapsed="false">
      <c r="A52" s="0" t="s">
        <v>560</v>
      </c>
      <c r="B52" s="0" t="n">
        <v>2011</v>
      </c>
      <c r="C52" s="0" t="n">
        <v>5.24131620024293</v>
      </c>
      <c r="D52" s="0" t="n">
        <v>8.9117933648336</v>
      </c>
      <c r="E52" s="0" t="s">
        <v>2337</v>
      </c>
      <c r="F52" s="0" t="s">
        <v>2338</v>
      </c>
    </row>
    <row r="53" customFormat="false" ht="14.25" hidden="false" customHeight="false" outlineLevel="0" collapsed="false">
      <c r="A53" s="0" t="s">
        <v>560</v>
      </c>
      <c r="B53" s="0" t="n">
        <v>2012</v>
      </c>
      <c r="C53" s="0" t="n">
        <v>5.45638755164772</v>
      </c>
      <c r="D53" s="0" t="n">
        <v>9.47899691419792</v>
      </c>
      <c r="E53" s="0" t="s">
        <v>2337</v>
      </c>
      <c r="F53" s="0" t="s">
        <v>2338</v>
      </c>
    </row>
    <row r="54" customFormat="false" ht="14.25" hidden="false" customHeight="false" outlineLevel="0" collapsed="false">
      <c r="A54" s="0" t="s">
        <v>560</v>
      </c>
      <c r="B54" s="0" t="n">
        <v>2013</v>
      </c>
      <c r="C54" s="0" t="n">
        <v>6.38610640091713</v>
      </c>
      <c r="D54" s="0" t="n">
        <v>10.0178784746104</v>
      </c>
      <c r="E54" s="0" t="s">
        <v>2337</v>
      </c>
      <c r="F54" s="0" t="s">
        <v>2338</v>
      </c>
    </row>
    <row r="55" customFormat="false" ht="14.25" hidden="false" customHeight="false" outlineLevel="0" collapsed="false">
      <c r="A55" s="0" t="s">
        <v>560</v>
      </c>
      <c r="B55" s="0" t="n">
        <v>2014</v>
      </c>
      <c r="C55" s="0" t="n">
        <v>7.41022760516977</v>
      </c>
      <c r="D55" s="0" t="n">
        <v>6.66565671867899</v>
      </c>
      <c r="E55" s="0" t="s">
        <v>2337</v>
      </c>
      <c r="F55" s="0" t="s">
        <v>2338</v>
      </c>
    </row>
    <row r="56" customFormat="false" ht="14.25" hidden="false" customHeight="false" outlineLevel="0" collapsed="false">
      <c r="A56" s="0" t="s">
        <v>560</v>
      </c>
      <c r="B56" s="0" t="n">
        <v>2015</v>
      </c>
      <c r="C56" s="0" t="n">
        <v>7.99625378567987</v>
      </c>
      <c r="D56" s="0" t="n">
        <v>4.90697344127249</v>
      </c>
      <c r="E56" s="0" t="s">
        <v>2337</v>
      </c>
      <c r="F56" s="0" t="s">
        <v>2338</v>
      </c>
    </row>
    <row r="57" customFormat="false" ht="14.25" hidden="false" customHeight="false" outlineLevel="0" collapsed="false">
      <c r="A57" s="0" t="s">
        <v>560</v>
      </c>
      <c r="B57" s="0" t="n">
        <v>2016</v>
      </c>
      <c r="C57" s="0" t="n">
        <v>8.25630550176662</v>
      </c>
      <c r="D57" s="0" t="n">
        <v>4.94821634062134</v>
      </c>
      <c r="E57" s="0" t="s">
        <v>2337</v>
      </c>
      <c r="F57" s="0" t="s">
        <v>2338</v>
      </c>
    </row>
    <row r="58" customFormat="false" ht="14.25" hidden="false" customHeight="false" outlineLevel="0" collapsed="false">
      <c r="A58" s="0" t="s">
        <v>560</v>
      </c>
      <c r="B58" s="0" t="n">
        <v>2017</v>
      </c>
      <c r="C58" s="0" t="n">
        <v>6.79538341902422</v>
      </c>
      <c r="D58" s="0" t="n">
        <v>3.32817337461304</v>
      </c>
      <c r="E58" s="0" t="s">
        <v>2337</v>
      </c>
      <c r="F58" s="0" t="s">
        <v>2338</v>
      </c>
    </row>
    <row r="59" customFormat="false" ht="14.25" hidden="false" customHeight="false" outlineLevel="0" collapsed="false">
      <c r="A59" s="0" t="s">
        <v>560</v>
      </c>
      <c r="B59" s="0" t="n">
        <v>2018</v>
      </c>
      <c r="C59" s="0" t="n">
        <v>6.45385134495295</v>
      </c>
      <c r="D59" s="0" t="n">
        <v>3.93882646691642</v>
      </c>
      <c r="E59" s="0" t="s">
        <v>2337</v>
      </c>
      <c r="F59" s="0" t="s">
        <v>2338</v>
      </c>
    </row>
    <row r="60" customFormat="false" ht="14.25" hidden="false" customHeight="false" outlineLevel="0" collapsed="false">
      <c r="A60" s="0" t="s">
        <v>560</v>
      </c>
      <c r="B60" s="0" t="n">
        <v>2019</v>
      </c>
      <c r="C60" s="0" t="n">
        <v>3.87143694070524</v>
      </c>
      <c r="D60" s="0" t="n">
        <v>3.72950573539123</v>
      </c>
      <c r="E60" s="0" t="s">
        <v>2337</v>
      </c>
      <c r="F60" s="0" t="s">
        <v>2338</v>
      </c>
    </row>
    <row r="61" customFormat="false" ht="14.25" hidden="false" customHeight="false" outlineLevel="0" collapsed="false">
      <c r="A61" s="0" t="s">
        <v>560</v>
      </c>
      <c r="B61" s="0" t="n">
        <v>2020</v>
      </c>
      <c r="C61" s="0" t="n">
        <v>-5.77772470687303</v>
      </c>
      <c r="D61" s="0" t="n">
        <v>6.62343677628529</v>
      </c>
      <c r="E61" s="0" t="s">
        <v>2337</v>
      </c>
      <c r="F61" s="0" t="s">
        <v>2338</v>
      </c>
    </row>
    <row r="62" customFormat="false" ht="14.25" hidden="false" customHeight="false" outlineLevel="0" collapsed="false">
      <c r="A62" s="0" t="s">
        <v>560</v>
      </c>
      <c r="B62" s="0" t="n">
        <v>2021</v>
      </c>
      <c r="C62" s="0" t="n">
        <v>9.68959249191741</v>
      </c>
      <c r="D62" s="0" t="n">
        <v>5.13140747176363</v>
      </c>
      <c r="E62" s="0" t="s">
        <v>2337</v>
      </c>
      <c r="F62" s="0" t="s">
        <v>2338</v>
      </c>
    </row>
    <row r="63" customFormat="false" ht="14.25" hidden="false" customHeight="false" outlineLevel="0" collapsed="false">
      <c r="A63" s="0" t="s">
        <v>560</v>
      </c>
      <c r="B63" s="0" t="n">
        <v>2022</v>
      </c>
      <c r="C63" s="0" t="n">
        <v>7.6093649776932</v>
      </c>
      <c r="D63" s="0" t="n">
        <v>6.69903414079857</v>
      </c>
      <c r="E63" s="0" t="s">
        <v>2337</v>
      </c>
      <c r="F63" s="0" t="s">
        <v>2338</v>
      </c>
    </row>
    <row r="64" customFormat="false" ht="14.25" hidden="false" customHeight="false" outlineLevel="0" collapsed="false">
      <c r="A64" s="0" t="s">
        <v>560</v>
      </c>
      <c r="B64" s="0" t="n">
        <v>2023</v>
      </c>
      <c r="C64" s="0" t="n">
        <v>7.210224629335</v>
      </c>
      <c r="D64" s="0" t="n">
        <v>5.64914318907925</v>
      </c>
      <c r="E64" s="0" t="s">
        <v>2337</v>
      </c>
      <c r="F64" s="0" t="s">
        <v>2338</v>
      </c>
    </row>
    <row r="65" customFormat="false" ht="14.25" hidden="false" customHeight="false" outlineLevel="0" collapsed="false">
      <c r="A65" s="0" t="s">
        <v>560</v>
      </c>
      <c r="B65" s="0" t="n">
        <v>2024</v>
      </c>
      <c r="C65" s="0" t="n">
        <v>7.09927893176518</v>
      </c>
      <c r="D65" s="0" t="n">
        <v>4.9530355097366</v>
      </c>
      <c r="E65" s="0" t="s">
        <v>2337</v>
      </c>
      <c r="F65" s="0" t="s">
        <v>2338</v>
      </c>
    </row>
    <row r="66" customFormat="false" ht="14.25" hidden="false" customHeight="false" outlineLevel="0" collapsed="false">
      <c r="A66" s="0" t="s">
        <v>560</v>
      </c>
      <c r="B66" s="0" t="n">
        <v>2025</v>
      </c>
      <c r="C66" s="0" t="n">
        <v>7.56666179284244</v>
      </c>
      <c r="D66" s="0" t="n">
        <v>2.39884954182294</v>
      </c>
      <c r="E66" s="0" t="s">
        <v>2337</v>
      </c>
      <c r="F66" s="0" t="s">
        <v>2338</v>
      </c>
    </row>
    <row r="67" customFormat="false" ht="14.25" hidden="false" customHeight="false" outlineLevel="0" collapsed="false">
      <c r="A67" s="0" t="s">
        <v>843</v>
      </c>
      <c r="B67" s="0" t="n">
        <v>1997</v>
      </c>
      <c r="C67" s="0" t="n">
        <v>1.01439601077892</v>
      </c>
      <c r="D67" s="0" t="n">
        <v>11.3754928865122</v>
      </c>
      <c r="E67" s="0" t="s">
        <v>2337</v>
      </c>
      <c r="F67" s="0" t="s">
        <v>2338</v>
      </c>
    </row>
    <row r="68" customFormat="false" ht="14.25" hidden="false" customHeight="false" outlineLevel="0" collapsed="false">
      <c r="A68" s="0" t="s">
        <v>843</v>
      </c>
      <c r="B68" s="0" t="n">
        <v>1998</v>
      </c>
      <c r="C68" s="0" t="n">
        <v>2.55023429817393</v>
      </c>
      <c r="D68" s="0" t="n">
        <v>6.22800415424543</v>
      </c>
      <c r="E68" s="0" t="s">
        <v>2337</v>
      </c>
      <c r="F68" s="0" t="s">
        <v>2338</v>
      </c>
    </row>
    <row r="69" customFormat="false" ht="14.25" hidden="false" customHeight="false" outlineLevel="0" collapsed="false">
      <c r="A69" s="0" t="s">
        <v>843</v>
      </c>
      <c r="B69" s="0" t="n">
        <v>1999</v>
      </c>
      <c r="C69" s="0" t="n">
        <v>3.66013273943236</v>
      </c>
      <c r="D69" s="0" t="n">
        <v>4.14263718082171</v>
      </c>
      <c r="E69" s="0" t="s">
        <v>2337</v>
      </c>
      <c r="F69" s="0" t="s">
        <v>2338</v>
      </c>
    </row>
    <row r="70" customFormat="false" ht="14.25" hidden="false" customHeight="false" outlineLevel="0" collapsed="false">
      <c r="A70" s="0" t="s">
        <v>843</v>
      </c>
      <c r="B70" s="0" t="n">
        <v>2000</v>
      </c>
      <c r="C70" s="0" t="n">
        <v>4.2600880111325</v>
      </c>
      <c r="D70" s="0" t="n">
        <v>4.3666645129168</v>
      </c>
      <c r="E70" s="0" t="s">
        <v>2337</v>
      </c>
      <c r="F70" s="0" t="s">
        <v>2338</v>
      </c>
    </row>
    <row r="71" customFormat="false" ht="14.25" hidden="false" customHeight="false" outlineLevel="0" collapsed="false">
      <c r="A71" s="0" t="s">
        <v>843</v>
      </c>
      <c r="B71" s="0" t="n">
        <v>2001</v>
      </c>
      <c r="C71" s="0" t="n">
        <v>3.65135017083765</v>
      </c>
      <c r="D71" s="0" t="n">
        <v>3.14826144590617</v>
      </c>
      <c r="E71" s="0" t="s">
        <v>2337</v>
      </c>
      <c r="F71" s="0" t="s">
        <v>2338</v>
      </c>
    </row>
    <row r="72" customFormat="false" ht="14.25" hidden="false" customHeight="false" outlineLevel="0" collapsed="false">
      <c r="A72" s="0" t="s">
        <v>843</v>
      </c>
      <c r="B72" s="0" t="n">
        <v>2002</v>
      </c>
      <c r="C72" s="0" t="n">
        <v>2.59481668445784</v>
      </c>
      <c r="D72" s="0" t="n">
        <v>3.29034472613152</v>
      </c>
      <c r="E72" s="0" t="s">
        <v>2337</v>
      </c>
      <c r="F72" s="0" t="s">
        <v>2338</v>
      </c>
    </row>
    <row r="73" customFormat="false" ht="14.25" hidden="false" customHeight="false" outlineLevel="0" collapsed="false">
      <c r="A73" s="0" t="s">
        <v>843</v>
      </c>
      <c r="B73" s="0" t="n">
        <v>2003</v>
      </c>
      <c r="C73" s="0" t="n">
        <v>5.40131087314342</v>
      </c>
      <c r="D73" s="0" t="n">
        <v>2.91413470059479</v>
      </c>
      <c r="E73" s="0" t="s">
        <v>2337</v>
      </c>
      <c r="F73" s="0" t="s">
        <v>2338</v>
      </c>
    </row>
    <row r="74" customFormat="false" ht="14.25" hidden="false" customHeight="false" outlineLevel="0" collapsed="false">
      <c r="A74" s="0" t="s">
        <v>843</v>
      </c>
      <c r="B74" s="0" t="n">
        <v>2004</v>
      </c>
      <c r="C74" s="0" t="n">
        <v>7.83125556961251</v>
      </c>
      <c r="D74" s="0" t="n">
        <v>7.44462469342739</v>
      </c>
      <c r="E74" s="0" t="s">
        <v>2337</v>
      </c>
      <c r="F74" s="0" t="s">
        <v>2338</v>
      </c>
    </row>
    <row r="75" customFormat="false" ht="14.25" hidden="false" customHeight="false" outlineLevel="0" collapsed="false">
      <c r="A75" s="0" t="s">
        <v>843</v>
      </c>
      <c r="B75" s="0" t="n">
        <v>2005</v>
      </c>
      <c r="C75" s="0" t="n">
        <v>7.2765744364722</v>
      </c>
      <c r="D75" s="0" t="n">
        <v>9.06332737030417</v>
      </c>
      <c r="E75" s="0" t="s">
        <v>2337</v>
      </c>
      <c r="F75" s="0" t="s">
        <v>2338</v>
      </c>
    </row>
    <row r="76" customFormat="false" ht="14.25" hidden="false" customHeight="false" outlineLevel="0" collapsed="false">
      <c r="A76" s="0" t="s">
        <v>843</v>
      </c>
      <c r="B76" s="0" t="n">
        <v>2006</v>
      </c>
      <c r="C76" s="0" t="n">
        <v>6.05163767569996</v>
      </c>
      <c r="D76" s="0" t="n">
        <v>7.92108440058788</v>
      </c>
      <c r="E76" s="0" t="s">
        <v>2337</v>
      </c>
      <c r="F76" s="0" t="s">
        <v>2338</v>
      </c>
    </row>
    <row r="77" customFormat="false" ht="14.25" hidden="false" customHeight="false" outlineLevel="0" collapsed="false">
      <c r="A77" s="0" t="s">
        <v>843</v>
      </c>
      <c r="B77" s="0" t="n">
        <v>2007</v>
      </c>
      <c r="C77" s="0" t="n">
        <v>4.4448143398844</v>
      </c>
      <c r="D77" s="0" t="n">
        <v>7.59868441050774</v>
      </c>
      <c r="E77" s="0" t="s">
        <v>2337</v>
      </c>
      <c r="F77" s="0" t="s">
        <v>2338</v>
      </c>
    </row>
    <row r="78" customFormat="false" ht="14.25" hidden="false" customHeight="false" outlineLevel="0" collapsed="false">
      <c r="A78" s="0" t="s">
        <v>843</v>
      </c>
      <c r="B78" s="0" t="n">
        <v>2008</v>
      </c>
      <c r="C78" s="0" t="n">
        <v>2.1204410433083</v>
      </c>
      <c r="D78" s="0" t="n">
        <v>20.2861210929554</v>
      </c>
      <c r="E78" s="0" t="s">
        <v>2337</v>
      </c>
      <c r="F78" s="0" t="s">
        <v>2338</v>
      </c>
    </row>
    <row r="79" customFormat="false" ht="14.25" hidden="false" customHeight="false" outlineLevel="0" collapsed="false">
      <c r="A79" s="0" t="s">
        <v>843</v>
      </c>
      <c r="B79" s="0" t="n">
        <v>2009</v>
      </c>
      <c r="C79" s="0" t="n">
        <v>3.47255059567348</v>
      </c>
      <c r="D79" s="0" t="n">
        <v>13.6477650639761</v>
      </c>
      <c r="E79" s="0" t="s">
        <v>2337</v>
      </c>
      <c r="F79" s="0" t="s">
        <v>2338</v>
      </c>
    </row>
    <row r="80" customFormat="false" ht="14.25" hidden="false" customHeight="false" outlineLevel="0" collapsed="false">
      <c r="A80" s="0" t="s">
        <v>843</v>
      </c>
      <c r="B80" s="0" t="n">
        <v>2010</v>
      </c>
      <c r="C80" s="0" t="n">
        <v>1.50171752152883</v>
      </c>
      <c r="D80" s="0" t="n">
        <v>12.9388705634889</v>
      </c>
      <c r="E80" s="0" t="s">
        <v>2337</v>
      </c>
      <c r="F80" s="0" t="s">
        <v>2338</v>
      </c>
    </row>
    <row r="81" customFormat="false" ht="14.25" hidden="false" customHeight="false" outlineLevel="0" collapsed="false">
      <c r="A81" s="0" t="s">
        <v>843</v>
      </c>
      <c r="B81" s="0" t="n">
        <v>2011</v>
      </c>
      <c r="C81" s="0" t="n">
        <v>2.68011685421705</v>
      </c>
      <c r="D81" s="0" t="n">
        <v>11.9160927116277</v>
      </c>
      <c r="E81" s="0" t="s">
        <v>2337</v>
      </c>
      <c r="F81" s="0" t="s">
        <v>2338</v>
      </c>
    </row>
    <row r="82" customFormat="false" ht="14.25" hidden="false" customHeight="false" outlineLevel="0" collapsed="false">
      <c r="A82" s="0" t="s">
        <v>843</v>
      </c>
      <c r="B82" s="0" t="n">
        <v>2012</v>
      </c>
      <c r="C82" s="0" t="n">
        <v>3.02758391088629</v>
      </c>
      <c r="D82" s="0" t="n">
        <v>9.68235186055683</v>
      </c>
      <c r="E82" s="0" t="s">
        <v>2337</v>
      </c>
      <c r="F82" s="0" t="s">
        <v>2338</v>
      </c>
    </row>
    <row r="83" customFormat="false" ht="14.25" hidden="false" customHeight="false" outlineLevel="0" collapsed="false">
      <c r="A83" s="0" t="s">
        <v>843</v>
      </c>
      <c r="B83" s="0" t="n">
        <v>2013</v>
      </c>
      <c r="C83" s="0" t="n">
        <v>4.36686504978387</v>
      </c>
      <c r="D83" s="0" t="n">
        <v>7.69215611899564</v>
      </c>
      <c r="E83" s="0" t="s">
        <v>2337</v>
      </c>
      <c r="F83" s="0" t="s">
        <v>2338</v>
      </c>
    </row>
    <row r="84" customFormat="false" ht="14.25" hidden="false" customHeight="false" outlineLevel="0" collapsed="false">
      <c r="A84" s="0" t="s">
        <v>843</v>
      </c>
      <c r="B84" s="0" t="n">
        <v>2014</v>
      </c>
      <c r="C84" s="0" t="n">
        <v>4.11642817161422</v>
      </c>
      <c r="D84" s="0" t="n">
        <v>7.18938402847027</v>
      </c>
      <c r="E84" s="0" t="s">
        <v>2337</v>
      </c>
      <c r="F84" s="0" t="s">
        <v>2338</v>
      </c>
    </row>
    <row r="85" customFormat="false" ht="14.25" hidden="false" customHeight="false" outlineLevel="0" collapsed="false">
      <c r="A85" s="0" t="s">
        <v>843</v>
      </c>
      <c r="B85" s="0" t="n">
        <v>2015</v>
      </c>
      <c r="C85" s="0" t="n">
        <v>4.21794209572506</v>
      </c>
      <c r="D85" s="0" t="n">
        <v>2.52932817254228</v>
      </c>
      <c r="E85" s="0" t="s">
        <v>2337</v>
      </c>
      <c r="F85" s="0" t="s">
        <v>2338</v>
      </c>
    </row>
    <row r="86" customFormat="false" ht="14.25" hidden="false" customHeight="false" outlineLevel="0" collapsed="false">
      <c r="A86" s="0" t="s">
        <v>843</v>
      </c>
      <c r="B86" s="0" t="n">
        <v>2016</v>
      </c>
      <c r="C86" s="0" t="n">
        <v>6.57383828511043</v>
      </c>
      <c r="D86" s="0" t="n">
        <v>3.7651191635658</v>
      </c>
      <c r="E86" s="0" t="s">
        <v>2337</v>
      </c>
      <c r="F86" s="0" t="s">
        <v>2338</v>
      </c>
    </row>
    <row r="87" customFormat="false" ht="14.25" hidden="false" customHeight="false" outlineLevel="0" collapsed="false">
      <c r="A87" s="0" t="s">
        <v>843</v>
      </c>
      <c r="B87" s="0" t="n">
        <v>2017</v>
      </c>
      <c r="C87" s="0" t="n">
        <v>4.43262590683975</v>
      </c>
      <c r="D87" s="0" t="n">
        <v>4.08537368032608</v>
      </c>
      <c r="E87" s="0" t="s">
        <v>2337</v>
      </c>
      <c r="F87" s="0" t="s">
        <v>2338</v>
      </c>
    </row>
    <row r="88" customFormat="false" ht="14.25" hidden="false" customHeight="false" outlineLevel="0" collapsed="false">
      <c r="A88" s="0" t="s">
        <v>843</v>
      </c>
      <c r="B88" s="0" t="n">
        <v>2018</v>
      </c>
      <c r="C88" s="0" t="n">
        <v>6.15170261099519</v>
      </c>
      <c r="D88" s="0" t="n">
        <v>5.07805725868916</v>
      </c>
      <c r="E88" s="0" t="s">
        <v>2337</v>
      </c>
      <c r="F88" s="0" t="s">
        <v>2338</v>
      </c>
    </row>
    <row r="89" customFormat="false" ht="14.25" hidden="false" customHeight="false" outlineLevel="0" collapsed="false">
      <c r="A89" s="0" t="s">
        <v>843</v>
      </c>
      <c r="B89" s="0" t="n">
        <v>2019</v>
      </c>
      <c r="C89" s="0" t="n">
        <v>2.49763692943365</v>
      </c>
      <c r="D89" s="0" t="n">
        <v>10.5780305672024</v>
      </c>
      <c r="E89" s="0" t="s">
        <v>2337</v>
      </c>
      <c r="F89" s="0" t="s">
        <v>2338</v>
      </c>
    </row>
    <row r="90" customFormat="false" ht="14.25" hidden="false" customHeight="false" outlineLevel="0" collapsed="false">
      <c r="A90" s="0" t="s">
        <v>843</v>
      </c>
      <c r="B90" s="0" t="n">
        <v>2020</v>
      </c>
      <c r="C90" s="0" t="n">
        <v>-1.27408744338709</v>
      </c>
      <c r="D90" s="0" t="n">
        <v>9.74011619320125</v>
      </c>
      <c r="E90" s="0" t="s">
        <v>2337</v>
      </c>
      <c r="F90" s="0" t="s">
        <v>2338</v>
      </c>
    </row>
    <row r="91" customFormat="false" ht="14.25" hidden="false" customHeight="false" outlineLevel="0" collapsed="false">
      <c r="A91" s="0" t="s">
        <v>843</v>
      </c>
      <c r="B91" s="0" t="n">
        <v>2021</v>
      </c>
      <c r="C91" s="0" t="n">
        <v>6.51388575852702</v>
      </c>
      <c r="D91" s="0" t="n">
        <v>9.49641577285205</v>
      </c>
      <c r="E91" s="0" t="s">
        <v>2337</v>
      </c>
      <c r="F91" s="0" t="s">
        <v>2338</v>
      </c>
    </row>
    <row r="92" customFormat="false" ht="14.25" hidden="false" customHeight="false" outlineLevel="0" collapsed="false">
      <c r="A92" s="0" t="s">
        <v>843</v>
      </c>
      <c r="B92" s="0" t="n">
        <v>2022</v>
      </c>
      <c r="C92" s="0" t="n">
        <v>4.7781068690358</v>
      </c>
      <c r="D92" s="0" t="n">
        <v>19.8738599646655</v>
      </c>
      <c r="E92" s="0" t="s">
        <v>2337</v>
      </c>
      <c r="F92" s="0" t="s">
        <v>2338</v>
      </c>
    </row>
    <row r="93" customFormat="false" ht="14.25" hidden="false" customHeight="false" outlineLevel="0" collapsed="false">
      <c r="A93" s="0" t="s">
        <v>843</v>
      </c>
      <c r="B93" s="0" t="n">
        <v>2023</v>
      </c>
      <c r="C93" s="0" t="n">
        <v>-0.414935997088406</v>
      </c>
      <c r="D93" s="0" t="n">
        <v>30.7681280657005</v>
      </c>
      <c r="E93" s="0" t="s">
        <v>2337</v>
      </c>
      <c r="F93" s="0" t="s">
        <v>2338</v>
      </c>
    </row>
    <row r="94" customFormat="false" ht="14.25" hidden="false" customHeight="false" outlineLevel="0" collapsed="false">
      <c r="A94" s="0" t="s">
        <v>843</v>
      </c>
      <c r="B94" s="0" t="n">
        <v>2024</v>
      </c>
      <c r="C94" s="0" t="n">
        <v>3.08176295579301</v>
      </c>
      <c r="D94" s="0" t="n">
        <v>12.6325318530451</v>
      </c>
      <c r="E94" s="0" t="s">
        <v>2337</v>
      </c>
      <c r="F94" s="0" t="s">
        <v>2338</v>
      </c>
    </row>
    <row r="95" customFormat="false" ht="14.25" hidden="false" customHeight="false" outlineLevel="0" collapsed="false">
      <c r="A95" s="0" t="s">
        <v>843</v>
      </c>
      <c r="B95" s="0" t="n">
        <v>2025</v>
      </c>
      <c r="C95" s="0" t="n">
        <v>3.69842668749033</v>
      </c>
      <c r="D95" s="0" t="n">
        <v>3.54555214890892</v>
      </c>
      <c r="E95" s="0" t="s">
        <v>2337</v>
      </c>
      <c r="F95" s="0" t="s">
        <v>2338</v>
      </c>
    </row>
  </sheetData>
  <autoFilter ref="A1:E3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6796875" defaultRowHeight="14.2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26"/>
    <col collapsed="false" customWidth="true" hidden="false" outlineLevel="0" max="4" min="4" style="0" width="110"/>
    <col collapsed="false" customWidth="true" hidden="false" outlineLevel="0" max="5" min="5" style="0" width="11"/>
  </cols>
  <sheetData>
    <row r="1" customFormat="false" ht="42" hidden="false" customHeight="true" outlineLevel="0" collapsed="false">
      <c r="A1" s="5" t="s">
        <v>2339</v>
      </c>
      <c r="B1" s="5" t="s">
        <v>2340</v>
      </c>
      <c r="C1" s="5" t="s">
        <v>2341</v>
      </c>
      <c r="D1" s="5" t="s">
        <v>2342</v>
      </c>
      <c r="E1" s="5" t="s">
        <v>2343</v>
      </c>
    </row>
    <row r="2" customFormat="false" ht="14.25" hidden="false" customHeight="false" outlineLevel="0" collapsed="false">
      <c r="A2" s="7" t="s">
        <v>2344</v>
      </c>
      <c r="B2" s="7" t="s">
        <v>0</v>
      </c>
      <c r="C2" s="7" t="s">
        <v>2345</v>
      </c>
      <c r="D2" s="7" t="s">
        <v>2346</v>
      </c>
      <c r="E2" s="12" t="n">
        <v>1</v>
      </c>
    </row>
    <row r="3" customFormat="false" ht="14.25" hidden="false" customHeight="false" outlineLevel="0" collapsed="false">
      <c r="A3" s="7" t="s">
        <v>2344</v>
      </c>
      <c r="B3" s="7" t="s">
        <v>1</v>
      </c>
      <c r="C3" s="7" t="s">
        <v>2347</v>
      </c>
      <c r="D3" s="7" t="s">
        <v>2348</v>
      </c>
      <c r="E3" s="12" t="n">
        <v>1</v>
      </c>
    </row>
    <row r="4" customFormat="false" ht="14.25" hidden="false" customHeight="false" outlineLevel="0" collapsed="false">
      <c r="A4" s="7" t="s">
        <v>2344</v>
      </c>
      <c r="B4" s="7" t="s">
        <v>2</v>
      </c>
      <c r="C4" s="7" t="s">
        <v>2347</v>
      </c>
      <c r="D4" s="7" t="s">
        <v>2349</v>
      </c>
      <c r="E4" s="12" t="n">
        <v>1</v>
      </c>
    </row>
    <row r="5" customFormat="false" ht="14.25" hidden="false" customHeight="false" outlineLevel="0" collapsed="false">
      <c r="A5" s="7" t="s">
        <v>2344</v>
      </c>
      <c r="B5" s="7" t="s">
        <v>3</v>
      </c>
      <c r="C5" s="7" t="s">
        <v>2347</v>
      </c>
      <c r="D5" s="7" t="s">
        <v>2350</v>
      </c>
      <c r="E5" s="12" t="n">
        <v>0.969</v>
      </c>
    </row>
    <row r="6" customFormat="false" ht="14.25" hidden="false" customHeight="false" outlineLevel="0" collapsed="false">
      <c r="A6" s="7" t="s">
        <v>2344</v>
      </c>
      <c r="B6" s="7" t="s">
        <v>4</v>
      </c>
      <c r="C6" s="7" t="s">
        <v>2351</v>
      </c>
      <c r="D6" s="7" t="s">
        <v>2352</v>
      </c>
      <c r="E6" s="12" t="n">
        <v>0.622</v>
      </c>
    </row>
    <row r="7" customFormat="false" ht="14.25" hidden="false" customHeight="false" outlineLevel="0" collapsed="false">
      <c r="A7" s="7" t="s">
        <v>2344</v>
      </c>
      <c r="B7" s="7" t="s">
        <v>5</v>
      </c>
      <c r="C7" s="7" t="s">
        <v>2351</v>
      </c>
      <c r="D7" s="7" t="s">
        <v>2353</v>
      </c>
      <c r="E7" s="12" t="n">
        <v>1</v>
      </c>
    </row>
    <row r="8" customFormat="false" ht="14.25" hidden="false" customHeight="false" outlineLevel="0" collapsed="false">
      <c r="A8" s="7" t="s">
        <v>2344</v>
      </c>
      <c r="B8" s="7" t="s">
        <v>6</v>
      </c>
      <c r="C8" s="7" t="s">
        <v>2351</v>
      </c>
      <c r="D8" s="7" t="s">
        <v>2354</v>
      </c>
      <c r="E8" s="12" t="n">
        <v>0.022</v>
      </c>
    </row>
    <row r="9" customFormat="false" ht="14.25" hidden="false" customHeight="false" outlineLevel="0" collapsed="false">
      <c r="A9" s="7" t="s">
        <v>2344</v>
      </c>
      <c r="B9" s="7" t="s">
        <v>7</v>
      </c>
      <c r="C9" s="7" t="s">
        <v>2351</v>
      </c>
      <c r="D9" s="7" t="s">
        <v>2355</v>
      </c>
      <c r="E9" s="12" t="n">
        <v>0</v>
      </c>
    </row>
    <row r="10" customFormat="false" ht="14.25" hidden="false" customHeight="false" outlineLevel="0" collapsed="false">
      <c r="A10" s="7" t="s">
        <v>2344</v>
      </c>
      <c r="B10" s="7" t="s">
        <v>8</v>
      </c>
      <c r="C10" s="7" t="s">
        <v>2347</v>
      </c>
      <c r="D10" s="7" t="s">
        <v>2356</v>
      </c>
      <c r="E10" s="12" t="n">
        <v>0.987</v>
      </c>
    </row>
    <row r="11" customFormat="false" ht="14.25" hidden="false" customHeight="false" outlineLevel="0" collapsed="false">
      <c r="A11" s="7" t="s">
        <v>2344</v>
      </c>
      <c r="B11" s="7" t="s">
        <v>9</v>
      </c>
      <c r="C11" s="7" t="s">
        <v>2347</v>
      </c>
      <c r="D11" s="7" t="s">
        <v>2357</v>
      </c>
      <c r="E11" s="12" t="n">
        <v>0.093</v>
      </c>
    </row>
    <row r="12" customFormat="false" ht="14.25" hidden="false" customHeight="false" outlineLevel="0" collapsed="false">
      <c r="A12" s="7" t="s">
        <v>2344</v>
      </c>
      <c r="B12" s="7" t="s">
        <v>10</v>
      </c>
      <c r="C12" s="7" t="s">
        <v>2351</v>
      </c>
      <c r="D12" s="7" t="s">
        <v>2358</v>
      </c>
      <c r="E12" s="12" t="n">
        <v>0.996</v>
      </c>
    </row>
    <row r="13" customFormat="false" ht="14.25" hidden="false" customHeight="false" outlineLevel="0" collapsed="false">
      <c r="A13" s="7" t="s">
        <v>2344</v>
      </c>
      <c r="B13" s="7" t="s">
        <v>11</v>
      </c>
      <c r="C13" s="7" t="s">
        <v>2347</v>
      </c>
      <c r="D13" s="7" t="s">
        <v>2359</v>
      </c>
      <c r="E13" s="12" t="n">
        <v>1</v>
      </c>
    </row>
    <row r="14" customFormat="false" ht="14.25" hidden="false" customHeight="false" outlineLevel="0" collapsed="false">
      <c r="A14" s="7" t="s">
        <v>2344</v>
      </c>
      <c r="B14" s="7" t="s">
        <v>12</v>
      </c>
      <c r="C14" s="7" t="s">
        <v>2360</v>
      </c>
      <c r="D14" s="7" t="s">
        <v>2361</v>
      </c>
      <c r="E14" s="12" t="n">
        <v>0.996</v>
      </c>
    </row>
    <row r="15" customFormat="false" ht="14.25" hidden="false" customHeight="false" outlineLevel="0" collapsed="false">
      <c r="A15" s="7" t="s">
        <v>2344</v>
      </c>
      <c r="B15" s="7" t="s">
        <v>13</v>
      </c>
      <c r="C15" s="7" t="s">
        <v>2360</v>
      </c>
      <c r="D15" s="7" t="s">
        <v>2362</v>
      </c>
      <c r="E15" s="12" t="n">
        <v>0.996</v>
      </c>
    </row>
    <row r="16" customFormat="false" ht="14.25" hidden="false" customHeight="false" outlineLevel="0" collapsed="false">
      <c r="A16" s="7" t="s">
        <v>2344</v>
      </c>
      <c r="B16" s="7" t="s">
        <v>14</v>
      </c>
      <c r="C16" s="7" t="s">
        <v>2347</v>
      </c>
      <c r="D16" s="7" t="s">
        <v>2363</v>
      </c>
      <c r="E16" s="12" t="n">
        <v>0.622</v>
      </c>
    </row>
    <row r="17" customFormat="false" ht="14.25" hidden="false" customHeight="false" outlineLevel="0" collapsed="false">
      <c r="A17" s="7" t="s">
        <v>2344</v>
      </c>
      <c r="B17" s="7" t="s">
        <v>15</v>
      </c>
      <c r="C17" s="7" t="s">
        <v>2351</v>
      </c>
      <c r="D17" s="7" t="s">
        <v>2364</v>
      </c>
      <c r="E17" s="12" t="n">
        <v>1</v>
      </c>
    </row>
    <row r="18" customFormat="false" ht="14.25" hidden="false" customHeight="false" outlineLevel="0" collapsed="false">
      <c r="A18" s="7" t="s">
        <v>2344</v>
      </c>
      <c r="B18" s="7" t="s">
        <v>16</v>
      </c>
      <c r="C18" s="7" t="s">
        <v>2347</v>
      </c>
      <c r="D18" s="7" t="s">
        <v>2365</v>
      </c>
      <c r="E18" s="12" t="n">
        <v>1</v>
      </c>
    </row>
    <row r="19" customFormat="false" ht="14.25" hidden="false" customHeight="false" outlineLevel="0" collapsed="false">
      <c r="A19" s="7" t="s">
        <v>2344</v>
      </c>
      <c r="B19" s="7" t="s">
        <v>17</v>
      </c>
      <c r="C19" s="7" t="s">
        <v>2351</v>
      </c>
      <c r="D19" s="7" t="s">
        <v>2366</v>
      </c>
      <c r="E19" s="12" t="n">
        <v>0.924</v>
      </c>
    </row>
    <row r="20" customFormat="false" ht="14.25" hidden="false" customHeight="false" outlineLevel="0" collapsed="false">
      <c r="A20" s="7" t="s">
        <v>2344</v>
      </c>
      <c r="B20" s="7" t="s">
        <v>18</v>
      </c>
      <c r="C20" s="7" t="s">
        <v>2351</v>
      </c>
      <c r="D20" s="7" t="s">
        <v>2367</v>
      </c>
      <c r="E20" s="12" t="n">
        <v>0.996</v>
      </c>
    </row>
    <row r="21" customFormat="false" ht="14.25" hidden="false" customHeight="false" outlineLevel="0" collapsed="false">
      <c r="A21" s="7" t="s">
        <v>2344</v>
      </c>
      <c r="B21" s="7" t="s">
        <v>19</v>
      </c>
      <c r="C21" s="7" t="s">
        <v>2351</v>
      </c>
      <c r="D21" s="7" t="s">
        <v>2368</v>
      </c>
      <c r="E21" s="12" t="n">
        <v>0.973</v>
      </c>
    </row>
    <row r="22" customFormat="false" ht="14.25" hidden="false" customHeight="false" outlineLevel="0" collapsed="false">
      <c r="A22" s="7" t="s">
        <v>2344</v>
      </c>
      <c r="B22" s="7" t="s">
        <v>20</v>
      </c>
      <c r="C22" s="7" t="s">
        <v>2351</v>
      </c>
      <c r="D22" s="7" t="s">
        <v>2369</v>
      </c>
      <c r="E22" s="12" t="n">
        <v>0.822</v>
      </c>
    </row>
    <row r="23" customFormat="false" ht="14.25" hidden="false" customHeight="false" outlineLevel="0" collapsed="false">
      <c r="A23" s="7" t="s">
        <v>2344</v>
      </c>
      <c r="B23" s="7" t="s">
        <v>21</v>
      </c>
      <c r="C23" s="7" t="s">
        <v>2351</v>
      </c>
      <c r="D23" s="7" t="s">
        <v>2370</v>
      </c>
      <c r="E23" s="12" t="n">
        <v>0.924</v>
      </c>
    </row>
    <row r="24" customFormat="false" ht="14.25" hidden="false" customHeight="false" outlineLevel="0" collapsed="false">
      <c r="A24" s="7" t="s">
        <v>2344</v>
      </c>
      <c r="B24" s="7" t="s">
        <v>22</v>
      </c>
      <c r="C24" s="7" t="s">
        <v>2351</v>
      </c>
      <c r="D24" s="7" t="s">
        <v>2371</v>
      </c>
      <c r="E24" s="12" t="n">
        <v>0.716</v>
      </c>
    </row>
    <row r="25" customFormat="false" ht="14.25" hidden="false" customHeight="false" outlineLevel="0" collapsed="false">
      <c r="A25" s="7" t="s">
        <v>2344</v>
      </c>
      <c r="B25" s="7" t="s">
        <v>23</v>
      </c>
      <c r="C25" s="7" t="s">
        <v>2347</v>
      </c>
      <c r="D25" s="7" t="s">
        <v>2372</v>
      </c>
      <c r="E25" s="12" t="n">
        <v>0.44</v>
      </c>
    </row>
    <row r="26" customFormat="false" ht="14.25" hidden="false" customHeight="false" outlineLevel="0" collapsed="false">
      <c r="A26" s="7" t="s">
        <v>2344</v>
      </c>
      <c r="B26" s="7" t="s">
        <v>24</v>
      </c>
      <c r="C26" s="7" t="s">
        <v>2351</v>
      </c>
      <c r="D26" s="7" t="s">
        <v>2373</v>
      </c>
      <c r="E26" s="12" t="n">
        <v>0.987</v>
      </c>
    </row>
    <row r="27" customFormat="false" ht="14.25" hidden="false" customHeight="false" outlineLevel="0" collapsed="false">
      <c r="A27" s="7" t="s">
        <v>2344</v>
      </c>
      <c r="B27" s="7" t="s">
        <v>25</v>
      </c>
      <c r="C27" s="7" t="s">
        <v>2351</v>
      </c>
      <c r="D27" s="7" t="s">
        <v>2374</v>
      </c>
      <c r="E27" s="12" t="n">
        <v>0.987</v>
      </c>
    </row>
    <row r="28" customFormat="false" ht="14.25" hidden="false" customHeight="false" outlineLevel="0" collapsed="false">
      <c r="A28" s="7" t="s">
        <v>2344</v>
      </c>
      <c r="B28" s="7" t="s">
        <v>26</v>
      </c>
      <c r="C28" s="7" t="s">
        <v>2351</v>
      </c>
      <c r="D28" s="7" t="s">
        <v>2375</v>
      </c>
      <c r="E28" s="12" t="n">
        <v>0.364</v>
      </c>
    </row>
    <row r="29" customFormat="false" ht="14.25" hidden="false" customHeight="false" outlineLevel="0" collapsed="false">
      <c r="A29" s="7" t="s">
        <v>2344</v>
      </c>
      <c r="B29" s="7" t="s">
        <v>27</v>
      </c>
      <c r="C29" s="7" t="s">
        <v>2347</v>
      </c>
      <c r="D29" s="7" t="s">
        <v>2376</v>
      </c>
      <c r="E29" s="12" t="n">
        <v>0.32</v>
      </c>
    </row>
    <row r="30" customFormat="false" ht="14.25" hidden="false" customHeight="false" outlineLevel="0" collapsed="false">
      <c r="A30" s="7" t="s">
        <v>2344</v>
      </c>
      <c r="B30" s="7" t="s">
        <v>28</v>
      </c>
      <c r="C30" s="7" t="s">
        <v>2351</v>
      </c>
      <c r="D30" s="7" t="s">
        <v>2377</v>
      </c>
      <c r="E30" s="12" t="n">
        <v>0.258</v>
      </c>
    </row>
    <row r="31" customFormat="false" ht="14.25" hidden="false" customHeight="false" outlineLevel="0" collapsed="false">
      <c r="A31" s="7" t="s">
        <v>2344</v>
      </c>
      <c r="B31" s="7" t="s">
        <v>29</v>
      </c>
      <c r="C31" s="7" t="s">
        <v>2351</v>
      </c>
      <c r="D31" s="7" t="s">
        <v>2378</v>
      </c>
      <c r="E31" s="12" t="n">
        <v>0.058</v>
      </c>
    </row>
    <row r="32" customFormat="false" ht="14.25" hidden="false" customHeight="false" outlineLevel="0" collapsed="false">
      <c r="A32" s="7" t="s">
        <v>2344</v>
      </c>
      <c r="B32" s="7" t="s">
        <v>30</v>
      </c>
      <c r="C32" s="7" t="s">
        <v>2351</v>
      </c>
      <c r="D32" s="7" t="s">
        <v>2379</v>
      </c>
      <c r="E32" s="12" t="n">
        <v>0.076</v>
      </c>
    </row>
    <row r="33" customFormat="false" ht="14.25" hidden="false" customHeight="false" outlineLevel="0" collapsed="false">
      <c r="A33" s="7" t="s">
        <v>2344</v>
      </c>
      <c r="B33" s="7" t="s">
        <v>31</v>
      </c>
      <c r="C33" s="7" t="s">
        <v>2360</v>
      </c>
      <c r="D33" s="7" t="s">
        <v>2380</v>
      </c>
      <c r="E33" s="12" t="n">
        <v>0.92</v>
      </c>
    </row>
    <row r="34" customFormat="false" ht="14.25" hidden="false" customHeight="false" outlineLevel="0" collapsed="false">
      <c r="A34" s="7" t="s">
        <v>2344</v>
      </c>
      <c r="B34" s="7" t="s">
        <v>32</v>
      </c>
      <c r="C34" s="7" t="s">
        <v>2360</v>
      </c>
      <c r="D34" s="7" t="s">
        <v>2381</v>
      </c>
      <c r="E34" s="12" t="n">
        <v>0.622</v>
      </c>
    </row>
    <row r="35" customFormat="false" ht="14.25" hidden="false" customHeight="false" outlineLevel="0" collapsed="false">
      <c r="A35" s="7" t="s">
        <v>2344</v>
      </c>
      <c r="B35" s="7" t="s">
        <v>33</v>
      </c>
      <c r="C35" s="7" t="s">
        <v>2360</v>
      </c>
      <c r="D35" s="7" t="s">
        <v>2381</v>
      </c>
      <c r="E35" s="12" t="n">
        <v>0.622</v>
      </c>
    </row>
    <row r="36" customFormat="false" ht="14.25" hidden="false" customHeight="false" outlineLevel="0" collapsed="false">
      <c r="A36" s="7" t="s">
        <v>2344</v>
      </c>
      <c r="B36" s="7" t="s">
        <v>34</v>
      </c>
      <c r="C36" s="7" t="s">
        <v>2360</v>
      </c>
      <c r="D36" s="7" t="s">
        <v>2382</v>
      </c>
      <c r="E36" s="12" t="n">
        <v>0.622</v>
      </c>
    </row>
    <row r="37" customFormat="false" ht="14.25" hidden="false" customHeight="false" outlineLevel="0" collapsed="false">
      <c r="A37" s="7" t="s">
        <v>2344</v>
      </c>
      <c r="B37" s="7" t="s">
        <v>35</v>
      </c>
      <c r="C37" s="7" t="s">
        <v>2360</v>
      </c>
      <c r="D37" s="7" t="s">
        <v>2383</v>
      </c>
      <c r="E37" s="12" t="n">
        <v>0.622</v>
      </c>
    </row>
    <row r="38" customFormat="false" ht="14.25" hidden="false" customHeight="false" outlineLevel="0" collapsed="false">
      <c r="A38" s="7" t="s">
        <v>2344</v>
      </c>
      <c r="B38" s="7" t="s">
        <v>36</v>
      </c>
      <c r="C38" s="7" t="s">
        <v>2360</v>
      </c>
      <c r="D38" s="7" t="s">
        <v>2384</v>
      </c>
      <c r="E38" s="12" t="n">
        <v>0.622</v>
      </c>
    </row>
    <row r="39" customFormat="false" ht="14.25" hidden="false" customHeight="false" outlineLevel="0" collapsed="false">
      <c r="A39" s="7" t="s">
        <v>2344</v>
      </c>
      <c r="B39" s="7" t="s">
        <v>37</v>
      </c>
      <c r="C39" s="7" t="s">
        <v>2351</v>
      </c>
      <c r="D39" s="7" t="s">
        <v>2385</v>
      </c>
      <c r="E39" s="12" t="n">
        <v>0.089</v>
      </c>
    </row>
    <row r="40" customFormat="false" ht="14.25" hidden="false" customHeight="false" outlineLevel="0" collapsed="false">
      <c r="A40" s="7" t="s">
        <v>2344</v>
      </c>
      <c r="B40" s="7" t="s">
        <v>38</v>
      </c>
      <c r="C40" s="7" t="s">
        <v>2351</v>
      </c>
      <c r="D40" s="7" t="s">
        <v>2386</v>
      </c>
      <c r="E40" s="12" t="n">
        <v>0.587</v>
      </c>
    </row>
    <row r="41" customFormat="false" ht="14.25" hidden="false" customHeight="false" outlineLevel="0" collapsed="false">
      <c r="A41" s="7" t="s">
        <v>2344</v>
      </c>
      <c r="B41" s="7" t="s">
        <v>39</v>
      </c>
      <c r="C41" s="7" t="s">
        <v>2351</v>
      </c>
      <c r="D41" s="7" t="s">
        <v>2387</v>
      </c>
      <c r="E41" s="12" t="n">
        <v>0.587</v>
      </c>
    </row>
    <row r="42" customFormat="false" ht="14.25" hidden="false" customHeight="false" outlineLevel="0" collapsed="false">
      <c r="A42" s="7" t="s">
        <v>2344</v>
      </c>
      <c r="B42" s="7" t="s">
        <v>40</v>
      </c>
      <c r="C42" s="7" t="s">
        <v>2351</v>
      </c>
      <c r="D42" s="7" t="s">
        <v>2388</v>
      </c>
      <c r="E42" s="12" t="n">
        <v>0.56</v>
      </c>
    </row>
    <row r="43" customFormat="false" ht="14.25" hidden="false" customHeight="false" outlineLevel="0" collapsed="false">
      <c r="A43" s="7" t="s">
        <v>2344</v>
      </c>
      <c r="B43" s="7" t="s">
        <v>41</v>
      </c>
      <c r="C43" s="7" t="s">
        <v>2351</v>
      </c>
      <c r="D43" s="7" t="s">
        <v>2389</v>
      </c>
      <c r="E43" s="12" t="n">
        <v>0.453</v>
      </c>
    </row>
    <row r="44" customFormat="false" ht="14.25" hidden="false" customHeight="false" outlineLevel="0" collapsed="false">
      <c r="A44" s="7" t="s">
        <v>2344</v>
      </c>
      <c r="B44" s="7" t="s">
        <v>42</v>
      </c>
      <c r="C44" s="7" t="s">
        <v>2351</v>
      </c>
      <c r="D44" s="7" t="s">
        <v>2390</v>
      </c>
      <c r="E44" s="12" t="n">
        <v>0.493</v>
      </c>
    </row>
    <row r="45" customFormat="false" ht="14.25" hidden="false" customHeight="false" outlineLevel="0" collapsed="false">
      <c r="A45" s="7" t="s">
        <v>2344</v>
      </c>
      <c r="B45" s="7" t="s">
        <v>43</v>
      </c>
      <c r="C45" s="7" t="s">
        <v>2351</v>
      </c>
      <c r="D45" s="7" t="s">
        <v>2391</v>
      </c>
      <c r="E45" s="12" t="n">
        <v>0.489</v>
      </c>
    </row>
    <row r="46" customFormat="false" ht="14.25" hidden="false" customHeight="false" outlineLevel="0" collapsed="false">
      <c r="A46" s="7" t="s">
        <v>2344</v>
      </c>
      <c r="B46" s="7" t="s">
        <v>44</v>
      </c>
      <c r="C46" s="7" t="s">
        <v>2351</v>
      </c>
      <c r="D46" s="7" t="s">
        <v>2392</v>
      </c>
      <c r="E46" s="12" t="n">
        <v>0.484</v>
      </c>
    </row>
    <row r="47" customFormat="false" ht="14.25" hidden="false" customHeight="false" outlineLevel="0" collapsed="false">
      <c r="A47" s="7" t="s">
        <v>2344</v>
      </c>
      <c r="B47" s="7" t="s">
        <v>45</v>
      </c>
      <c r="C47" s="7" t="s">
        <v>2351</v>
      </c>
      <c r="D47" s="7" t="s">
        <v>2393</v>
      </c>
      <c r="E47" s="12" t="n">
        <v>0.382</v>
      </c>
    </row>
    <row r="48" customFormat="false" ht="14.25" hidden="false" customHeight="false" outlineLevel="0" collapsed="false">
      <c r="A48" s="7" t="s">
        <v>2344</v>
      </c>
      <c r="B48" s="7" t="s">
        <v>46</v>
      </c>
      <c r="C48" s="7" t="s">
        <v>2351</v>
      </c>
      <c r="D48" s="7" t="s">
        <v>2394</v>
      </c>
      <c r="E48" s="12" t="n">
        <v>0.382</v>
      </c>
    </row>
    <row r="49" customFormat="false" ht="14.25" hidden="false" customHeight="false" outlineLevel="0" collapsed="false">
      <c r="A49" s="7" t="s">
        <v>2344</v>
      </c>
      <c r="B49" s="7" t="s">
        <v>47</v>
      </c>
      <c r="C49" s="7" t="s">
        <v>2351</v>
      </c>
      <c r="D49" s="7" t="s">
        <v>2395</v>
      </c>
      <c r="E49" s="12" t="n">
        <v>0.387</v>
      </c>
    </row>
    <row r="50" customFormat="false" ht="14.25" hidden="false" customHeight="false" outlineLevel="0" collapsed="false">
      <c r="A50" s="7" t="s">
        <v>2344</v>
      </c>
      <c r="B50" s="7" t="s">
        <v>48</v>
      </c>
      <c r="C50" s="7" t="s">
        <v>2351</v>
      </c>
      <c r="D50" s="7" t="s">
        <v>2396</v>
      </c>
      <c r="E50" s="12" t="n">
        <v>0.009</v>
      </c>
    </row>
    <row r="51" customFormat="false" ht="14.25" hidden="false" customHeight="false" outlineLevel="0" collapsed="false">
      <c r="A51" s="7" t="s">
        <v>2344</v>
      </c>
      <c r="B51" s="7" t="s">
        <v>49</v>
      </c>
      <c r="C51" s="7" t="s">
        <v>2351</v>
      </c>
      <c r="D51" s="7" t="s">
        <v>2397</v>
      </c>
      <c r="E51" s="12" t="n">
        <v>1</v>
      </c>
    </row>
    <row r="52" customFormat="false" ht="14.25" hidden="false" customHeight="false" outlineLevel="0" collapsed="false">
      <c r="A52" s="7" t="s">
        <v>2344</v>
      </c>
      <c r="B52" s="7" t="s">
        <v>50</v>
      </c>
      <c r="C52" s="7" t="s">
        <v>2351</v>
      </c>
      <c r="D52" s="7" t="s">
        <v>2398</v>
      </c>
      <c r="E52" s="12" t="n">
        <v>1</v>
      </c>
    </row>
    <row r="53" customFormat="false" ht="14.25" hidden="false" customHeight="false" outlineLevel="0" collapsed="false">
      <c r="A53" s="7" t="s">
        <v>2344</v>
      </c>
      <c r="B53" s="7" t="s">
        <v>51</v>
      </c>
      <c r="C53" s="7" t="s">
        <v>2347</v>
      </c>
      <c r="D53" s="7" t="s">
        <v>2399</v>
      </c>
      <c r="E53" s="12" t="n">
        <v>0.613</v>
      </c>
    </row>
    <row r="54" customFormat="false" ht="14.25" hidden="false" customHeight="false" outlineLevel="0" collapsed="false">
      <c r="A54" s="7" t="s">
        <v>2344</v>
      </c>
      <c r="B54" s="7" t="s">
        <v>52</v>
      </c>
      <c r="C54" s="7" t="s">
        <v>2351</v>
      </c>
      <c r="D54" s="7" t="s">
        <v>2400</v>
      </c>
      <c r="E54" s="12" t="n">
        <v>0.604</v>
      </c>
    </row>
    <row r="55" customFormat="false" ht="14.25" hidden="false" customHeight="false" outlineLevel="0" collapsed="false">
      <c r="A55" s="7" t="s">
        <v>2344</v>
      </c>
      <c r="B55" s="7" t="s">
        <v>53</v>
      </c>
      <c r="C55" s="7" t="s">
        <v>2351</v>
      </c>
      <c r="D55" s="7" t="s">
        <v>2401</v>
      </c>
      <c r="E55" s="12" t="n">
        <v>0.622</v>
      </c>
    </row>
    <row r="56" customFormat="false" ht="14.25" hidden="false" customHeight="false" outlineLevel="0" collapsed="false">
      <c r="A56" s="7" t="s">
        <v>2344</v>
      </c>
      <c r="B56" s="7" t="s">
        <v>54</v>
      </c>
      <c r="C56" s="7" t="s">
        <v>2351</v>
      </c>
      <c r="D56" s="7" t="s">
        <v>2402</v>
      </c>
      <c r="E56" s="12" t="n">
        <v>0.978</v>
      </c>
    </row>
    <row r="57" customFormat="false" ht="14.25" hidden="false" customHeight="false" outlineLevel="0" collapsed="false">
      <c r="A57" s="7" t="s">
        <v>2344</v>
      </c>
      <c r="B57" s="7" t="s">
        <v>55</v>
      </c>
      <c r="C57" s="7" t="s">
        <v>2351</v>
      </c>
      <c r="D57" s="7" t="s">
        <v>2403</v>
      </c>
      <c r="E57" s="12" t="n">
        <v>0.133</v>
      </c>
    </row>
    <row r="58" customFormat="false" ht="14.25" hidden="false" customHeight="false" outlineLevel="0" collapsed="false">
      <c r="A58" s="7" t="s">
        <v>2344</v>
      </c>
      <c r="B58" s="7" t="s">
        <v>56</v>
      </c>
      <c r="C58" s="7" t="s">
        <v>2351</v>
      </c>
      <c r="D58" s="7" t="s">
        <v>2404</v>
      </c>
      <c r="E58" s="12" t="n">
        <v>0.009</v>
      </c>
    </row>
    <row r="59" customFormat="false" ht="14.25" hidden="false" customHeight="false" outlineLevel="0" collapsed="false">
      <c r="A59" s="7" t="s">
        <v>2344</v>
      </c>
      <c r="B59" s="7" t="s">
        <v>57</v>
      </c>
      <c r="C59" s="7" t="s">
        <v>2360</v>
      </c>
      <c r="D59" s="7" t="s">
        <v>2405</v>
      </c>
      <c r="E59" s="12" t="n">
        <v>0.996</v>
      </c>
    </row>
    <row r="60" customFormat="false" ht="14.25" hidden="false" customHeight="false" outlineLevel="0" collapsed="false">
      <c r="A60" s="7" t="s">
        <v>2344</v>
      </c>
      <c r="B60" s="7" t="s">
        <v>58</v>
      </c>
      <c r="C60" s="7" t="s">
        <v>2351</v>
      </c>
      <c r="D60" s="7" t="s">
        <v>2406</v>
      </c>
      <c r="E60" s="12" t="n">
        <v>0.831</v>
      </c>
    </row>
    <row r="61" customFormat="false" ht="14.25" hidden="false" customHeight="false" outlineLevel="0" collapsed="false">
      <c r="A61" s="7" t="s">
        <v>2344</v>
      </c>
      <c r="B61" s="7" t="s">
        <v>59</v>
      </c>
      <c r="C61" s="7" t="s">
        <v>2351</v>
      </c>
      <c r="D61" s="7" t="s">
        <v>2407</v>
      </c>
      <c r="E61" s="12" t="n">
        <v>0.449</v>
      </c>
    </row>
    <row r="62" customFormat="false" ht="14.25" hidden="false" customHeight="false" outlineLevel="0" collapsed="false">
      <c r="A62" s="7" t="s">
        <v>2344</v>
      </c>
      <c r="B62" s="7" t="s">
        <v>60</v>
      </c>
      <c r="C62" s="7" t="s">
        <v>2351</v>
      </c>
      <c r="D62" s="7" t="s">
        <v>2408</v>
      </c>
      <c r="E62" s="12" t="n">
        <v>0.52</v>
      </c>
    </row>
    <row r="63" customFormat="false" ht="14.25" hidden="false" customHeight="false" outlineLevel="0" collapsed="false">
      <c r="A63" s="7" t="s">
        <v>2344</v>
      </c>
      <c r="B63" s="7" t="s">
        <v>61</v>
      </c>
      <c r="C63" s="7" t="s">
        <v>2351</v>
      </c>
      <c r="D63" s="7" t="s">
        <v>2409</v>
      </c>
      <c r="E63" s="12" t="n">
        <v>0.187</v>
      </c>
    </row>
    <row r="64" customFormat="false" ht="14.25" hidden="false" customHeight="false" outlineLevel="0" collapsed="false">
      <c r="A64" s="7" t="s">
        <v>2344</v>
      </c>
      <c r="B64" s="7" t="s">
        <v>62</v>
      </c>
      <c r="C64" s="7" t="s">
        <v>2351</v>
      </c>
      <c r="D64" s="7" t="s">
        <v>2410</v>
      </c>
      <c r="E64" s="12" t="n">
        <v>0.938</v>
      </c>
    </row>
    <row r="65" customFormat="false" ht="14.25" hidden="false" customHeight="false" outlineLevel="0" collapsed="false">
      <c r="A65" s="7" t="s">
        <v>2344</v>
      </c>
      <c r="B65" s="7" t="s">
        <v>63</v>
      </c>
      <c r="C65" s="7" t="s">
        <v>2360</v>
      </c>
      <c r="D65" s="7" t="s">
        <v>2411</v>
      </c>
      <c r="E65" s="12" t="n">
        <v>0.622</v>
      </c>
    </row>
    <row r="66" customFormat="false" ht="14.25" hidden="false" customHeight="false" outlineLevel="0" collapsed="false">
      <c r="A66" s="7" t="s">
        <v>2344</v>
      </c>
      <c r="B66" s="7" t="s">
        <v>64</v>
      </c>
      <c r="C66" s="7" t="s">
        <v>2360</v>
      </c>
      <c r="D66" s="7" t="s">
        <v>2412</v>
      </c>
      <c r="E66" s="12" t="n">
        <v>0.622</v>
      </c>
    </row>
    <row r="67" customFormat="false" ht="14.25" hidden="false" customHeight="false" outlineLevel="0" collapsed="false">
      <c r="A67" s="7" t="s">
        <v>2344</v>
      </c>
      <c r="B67" s="7" t="s">
        <v>65</v>
      </c>
      <c r="C67" s="7" t="s">
        <v>2360</v>
      </c>
      <c r="D67" s="7" t="s">
        <v>2413</v>
      </c>
      <c r="E67" s="12" t="n">
        <v>0.622</v>
      </c>
    </row>
    <row r="68" customFormat="false" ht="14.25" hidden="false" customHeight="false" outlineLevel="0" collapsed="false">
      <c r="A68" s="7" t="s">
        <v>2344</v>
      </c>
      <c r="B68" s="7" t="s">
        <v>66</v>
      </c>
      <c r="C68" s="7" t="s">
        <v>2360</v>
      </c>
      <c r="D68" s="7" t="s">
        <v>2413</v>
      </c>
      <c r="E68" s="12" t="n">
        <v>0.622</v>
      </c>
    </row>
    <row r="69" customFormat="false" ht="14.25" hidden="false" customHeight="false" outlineLevel="0" collapsed="false">
      <c r="A69" s="7" t="s">
        <v>2344</v>
      </c>
      <c r="B69" s="7" t="s">
        <v>67</v>
      </c>
      <c r="C69" s="7" t="s">
        <v>2360</v>
      </c>
      <c r="D69" s="7" t="s">
        <v>2413</v>
      </c>
      <c r="E69" s="12" t="n">
        <v>0.622</v>
      </c>
    </row>
    <row r="70" customFormat="false" ht="14.25" hidden="false" customHeight="false" outlineLevel="0" collapsed="false">
      <c r="A70" s="7" t="s">
        <v>2344</v>
      </c>
      <c r="B70" s="7" t="s">
        <v>68</v>
      </c>
      <c r="C70" s="7" t="s">
        <v>2360</v>
      </c>
      <c r="D70" s="7" t="s">
        <v>2413</v>
      </c>
      <c r="E70" s="12" t="n">
        <v>0.622</v>
      </c>
    </row>
    <row r="71" customFormat="false" ht="14.25" hidden="false" customHeight="false" outlineLevel="0" collapsed="false">
      <c r="A71" s="7" t="s">
        <v>2344</v>
      </c>
      <c r="B71" s="7" t="s">
        <v>69</v>
      </c>
      <c r="C71" s="7" t="s">
        <v>2360</v>
      </c>
      <c r="D71" s="7" t="s">
        <v>2414</v>
      </c>
      <c r="E71" s="12" t="n">
        <v>0.622</v>
      </c>
    </row>
    <row r="72" customFormat="false" ht="14.25" hidden="false" customHeight="false" outlineLevel="0" collapsed="false">
      <c r="A72" s="7" t="s">
        <v>2344</v>
      </c>
      <c r="B72" s="7" t="s">
        <v>70</v>
      </c>
      <c r="C72" s="7" t="s">
        <v>2351</v>
      </c>
      <c r="D72" s="7" t="s">
        <v>2415</v>
      </c>
      <c r="E72" s="12" t="n">
        <v>0.027</v>
      </c>
    </row>
    <row r="73" customFormat="false" ht="14.25" hidden="false" customHeight="false" outlineLevel="0" collapsed="false">
      <c r="A73" s="7" t="s">
        <v>2344</v>
      </c>
      <c r="B73" s="7" t="s">
        <v>71</v>
      </c>
      <c r="C73" s="7" t="s">
        <v>2351</v>
      </c>
      <c r="D73" s="7" t="s">
        <v>2416</v>
      </c>
      <c r="E73" s="12" t="n">
        <v>0.107</v>
      </c>
    </row>
    <row r="74" customFormat="false" ht="14.25" hidden="false" customHeight="false" outlineLevel="0" collapsed="false">
      <c r="A74" s="7" t="s">
        <v>2344</v>
      </c>
      <c r="B74" s="7" t="s">
        <v>72</v>
      </c>
      <c r="C74" s="7" t="s">
        <v>2351</v>
      </c>
      <c r="D74" s="7" t="s">
        <v>2417</v>
      </c>
      <c r="E74" s="12" t="n">
        <v>0.084</v>
      </c>
    </row>
    <row r="75" customFormat="false" ht="14.25" hidden="false" customHeight="false" outlineLevel="0" collapsed="false">
      <c r="A75" s="7" t="s">
        <v>2344</v>
      </c>
      <c r="B75" s="7" t="s">
        <v>73</v>
      </c>
      <c r="C75" s="7" t="s">
        <v>2351</v>
      </c>
      <c r="D75" s="7" t="s">
        <v>2418</v>
      </c>
      <c r="E75" s="12" t="n">
        <v>0.173</v>
      </c>
    </row>
    <row r="76" customFormat="false" ht="14.25" hidden="false" customHeight="false" outlineLevel="0" collapsed="false">
      <c r="A76" s="7" t="s">
        <v>2344</v>
      </c>
      <c r="B76" s="7" t="s">
        <v>74</v>
      </c>
      <c r="C76" s="7" t="s">
        <v>2351</v>
      </c>
      <c r="D76" s="7" t="s">
        <v>2419</v>
      </c>
      <c r="E76" s="12" t="n">
        <v>0.173</v>
      </c>
    </row>
    <row r="77" customFormat="false" ht="14.25" hidden="false" customHeight="false" outlineLevel="0" collapsed="false">
      <c r="A77" s="7" t="s">
        <v>2344</v>
      </c>
      <c r="B77" s="7" t="s">
        <v>75</v>
      </c>
      <c r="C77" s="7" t="s">
        <v>2351</v>
      </c>
      <c r="D77" s="7" t="s">
        <v>2420</v>
      </c>
      <c r="E77" s="12" t="n">
        <v>0.173</v>
      </c>
    </row>
    <row r="78" customFormat="false" ht="14.25" hidden="false" customHeight="false" outlineLevel="0" collapsed="false">
      <c r="A78" s="7" t="s">
        <v>2344</v>
      </c>
      <c r="B78" s="7" t="s">
        <v>76</v>
      </c>
      <c r="C78" s="7" t="s">
        <v>2351</v>
      </c>
      <c r="D78" s="7" t="s">
        <v>2421</v>
      </c>
      <c r="E78" s="12" t="n">
        <v>0.053</v>
      </c>
    </row>
    <row r="79" customFormat="false" ht="14.25" hidden="false" customHeight="false" outlineLevel="0" collapsed="false">
      <c r="A79" s="7" t="s">
        <v>2344</v>
      </c>
      <c r="B79" s="7" t="s">
        <v>77</v>
      </c>
      <c r="C79" s="7" t="s">
        <v>2351</v>
      </c>
      <c r="D79" s="7" t="s">
        <v>2422</v>
      </c>
      <c r="E79" s="12" t="n">
        <v>0.076</v>
      </c>
    </row>
    <row r="80" customFormat="false" ht="14.25" hidden="false" customHeight="false" outlineLevel="0" collapsed="false">
      <c r="A80" s="7" t="s">
        <v>2344</v>
      </c>
      <c r="B80" s="7" t="s">
        <v>78</v>
      </c>
      <c r="C80" s="7" t="s">
        <v>2351</v>
      </c>
      <c r="D80" s="7" t="s">
        <v>2423</v>
      </c>
      <c r="E80" s="12" t="n">
        <v>0.44</v>
      </c>
    </row>
    <row r="81" customFormat="false" ht="14.25" hidden="false" customHeight="false" outlineLevel="0" collapsed="false">
      <c r="A81" s="7" t="s">
        <v>2344</v>
      </c>
      <c r="B81" s="7" t="s">
        <v>79</v>
      </c>
      <c r="C81" s="7" t="s">
        <v>2351</v>
      </c>
      <c r="D81" s="7" t="s">
        <v>2424</v>
      </c>
      <c r="E81" s="12" t="n">
        <v>0.173</v>
      </c>
    </row>
    <row r="82" customFormat="false" ht="14.25" hidden="false" customHeight="false" outlineLevel="0" collapsed="false">
      <c r="A82" s="7" t="s">
        <v>2344</v>
      </c>
      <c r="B82" s="7" t="s">
        <v>80</v>
      </c>
      <c r="C82" s="7" t="s">
        <v>2360</v>
      </c>
      <c r="D82" s="7" t="s">
        <v>2425</v>
      </c>
      <c r="E82" s="12" t="n">
        <v>0.987</v>
      </c>
    </row>
    <row r="83" customFormat="false" ht="14.25" hidden="false" customHeight="false" outlineLevel="0" collapsed="false">
      <c r="A83" s="7" t="s">
        <v>2344</v>
      </c>
      <c r="B83" s="7" t="s">
        <v>81</v>
      </c>
      <c r="C83" s="7" t="s">
        <v>2360</v>
      </c>
      <c r="D83" s="7" t="s">
        <v>2426</v>
      </c>
      <c r="E83" s="12" t="n">
        <v>0.987</v>
      </c>
    </row>
    <row r="84" customFormat="false" ht="14.25" hidden="false" customHeight="false" outlineLevel="0" collapsed="false">
      <c r="A84" s="7" t="s">
        <v>2344</v>
      </c>
      <c r="B84" s="7" t="s">
        <v>82</v>
      </c>
      <c r="C84" s="7" t="s">
        <v>2360</v>
      </c>
      <c r="D84" s="7" t="s">
        <v>2427</v>
      </c>
      <c r="E84" s="12" t="n">
        <v>0.44</v>
      </c>
    </row>
    <row r="85" customFormat="false" ht="14.25" hidden="false" customHeight="false" outlineLevel="0" collapsed="false">
      <c r="A85" s="7" t="s">
        <v>2344</v>
      </c>
      <c r="B85" s="7" t="s">
        <v>83</v>
      </c>
      <c r="C85" s="7" t="s">
        <v>2360</v>
      </c>
      <c r="D85" s="7" t="s">
        <v>2426</v>
      </c>
      <c r="E85" s="12" t="n">
        <v>0.44</v>
      </c>
    </row>
    <row r="86" customFormat="false" ht="14.25" hidden="false" customHeight="false" outlineLevel="0" collapsed="false">
      <c r="A86" s="7" t="s">
        <v>2344</v>
      </c>
      <c r="B86" s="7" t="s">
        <v>84</v>
      </c>
      <c r="C86" s="7" t="s">
        <v>2351</v>
      </c>
      <c r="D86" s="7" t="s">
        <v>2428</v>
      </c>
      <c r="E86" s="12" t="n">
        <v>1</v>
      </c>
    </row>
    <row r="87" customFormat="false" ht="14.25" hidden="false" customHeight="false" outlineLevel="0" collapsed="false">
      <c r="A87" s="7" t="s">
        <v>2429</v>
      </c>
      <c r="B87" s="7" t="s">
        <v>2430</v>
      </c>
      <c r="C87" s="7" t="s">
        <v>2431</v>
      </c>
      <c r="D87" s="7" t="s">
        <v>2432</v>
      </c>
      <c r="E87" s="7"/>
    </row>
    <row r="88" customFormat="false" ht="14.25" hidden="false" customHeight="false" outlineLevel="0" collapsed="false">
      <c r="A88" s="7" t="s">
        <v>2433</v>
      </c>
      <c r="B88" s="7" t="s">
        <v>0</v>
      </c>
      <c r="C88" s="7" t="s">
        <v>2434</v>
      </c>
      <c r="D88" s="7"/>
      <c r="E88" s="7"/>
    </row>
    <row r="89" customFormat="false" ht="14.25" hidden="false" customHeight="false" outlineLevel="0" collapsed="false">
      <c r="A89" s="7" t="s">
        <v>2433</v>
      </c>
      <c r="B89" s="7" t="s">
        <v>1320</v>
      </c>
      <c r="C89" s="7" t="s">
        <v>2434</v>
      </c>
      <c r="D89" s="7"/>
      <c r="E89" s="7"/>
    </row>
    <row r="90" customFormat="false" ht="14.25" hidden="false" customHeight="false" outlineLevel="0" collapsed="false">
      <c r="A90" s="7" t="s">
        <v>2433</v>
      </c>
      <c r="B90" s="7" t="s">
        <v>1321</v>
      </c>
      <c r="C90" s="7" t="s">
        <v>2434</v>
      </c>
      <c r="D90" s="7" t="s">
        <v>2435</v>
      </c>
      <c r="E90" s="7"/>
    </row>
    <row r="91" customFormat="false" ht="14.25" hidden="false" customHeight="false" outlineLevel="0" collapsed="false">
      <c r="A91" s="7" t="s">
        <v>2433</v>
      </c>
      <c r="B91" s="7" t="s">
        <v>1322</v>
      </c>
      <c r="C91" s="7" t="s">
        <v>2434</v>
      </c>
      <c r="D91" s="7" t="s">
        <v>2436</v>
      </c>
      <c r="E91" s="7"/>
    </row>
    <row r="92" customFormat="false" ht="14.25" hidden="false" customHeight="false" outlineLevel="0" collapsed="false">
      <c r="A92" s="7" t="s">
        <v>2433</v>
      </c>
      <c r="B92" s="7" t="s">
        <v>1323</v>
      </c>
      <c r="C92" s="7" t="s">
        <v>2434</v>
      </c>
      <c r="D92" s="7" t="s">
        <v>2437</v>
      </c>
      <c r="E92" s="7"/>
    </row>
    <row r="93" customFormat="false" ht="14.25" hidden="false" customHeight="false" outlineLevel="0" collapsed="false">
      <c r="A93" s="7" t="s">
        <v>2433</v>
      </c>
      <c r="B93" s="7" t="s">
        <v>1324</v>
      </c>
      <c r="C93" s="7" t="s">
        <v>2434</v>
      </c>
      <c r="D93" s="7" t="s">
        <v>2438</v>
      </c>
      <c r="E93" s="7"/>
    </row>
    <row r="94" customFormat="false" ht="14.25" hidden="false" customHeight="false" outlineLevel="0" collapsed="false">
      <c r="A94" s="7" t="s">
        <v>2433</v>
      </c>
      <c r="B94" s="7" t="s">
        <v>1325</v>
      </c>
      <c r="C94" s="7" t="s">
        <v>2434</v>
      </c>
      <c r="D94" s="7"/>
      <c r="E94" s="7"/>
    </row>
    <row r="95" customFormat="false" ht="14.25" hidden="false" customHeight="false" outlineLevel="0" collapsed="false">
      <c r="A95" s="7" t="s">
        <v>2433</v>
      </c>
      <c r="B95" s="7" t="s">
        <v>1326</v>
      </c>
      <c r="C95" s="7" t="s">
        <v>2434</v>
      </c>
      <c r="D95" s="7" t="s">
        <v>2439</v>
      </c>
      <c r="E95" s="7"/>
    </row>
    <row r="96" customFormat="false" ht="14.25" hidden="false" customHeight="false" outlineLevel="0" collapsed="false">
      <c r="A96" s="7" t="s">
        <v>2433</v>
      </c>
      <c r="B96" s="7" t="s">
        <v>1327</v>
      </c>
      <c r="C96" s="7" t="s">
        <v>2434</v>
      </c>
      <c r="D96" s="7"/>
      <c r="E96" s="7"/>
    </row>
    <row r="97" customFormat="false" ht="14.25" hidden="false" customHeight="false" outlineLevel="0" collapsed="false">
      <c r="A97" s="7" t="s">
        <v>2433</v>
      </c>
      <c r="B97" s="7" t="s">
        <v>1328</v>
      </c>
      <c r="C97" s="7" t="s">
        <v>2434</v>
      </c>
      <c r="D97" s="7"/>
      <c r="E97" s="7"/>
    </row>
    <row r="98" customFormat="false" ht="14.25" hidden="false" customHeight="false" outlineLevel="0" collapsed="false">
      <c r="A98" s="7" t="s">
        <v>2433</v>
      </c>
      <c r="B98" s="7" t="s">
        <v>1329</v>
      </c>
      <c r="C98" s="7" t="s">
        <v>2434</v>
      </c>
      <c r="D98" s="7"/>
      <c r="E98" s="7"/>
    </row>
    <row r="99" customFormat="false" ht="14.25" hidden="false" customHeight="false" outlineLevel="0" collapsed="false">
      <c r="A99" s="7" t="s">
        <v>2433</v>
      </c>
      <c r="B99" s="7" t="s">
        <v>1330</v>
      </c>
      <c r="C99" s="7" t="s">
        <v>2434</v>
      </c>
      <c r="D99" s="7"/>
      <c r="E99" s="7"/>
    </row>
    <row r="100" customFormat="false" ht="14.25" hidden="false" customHeight="false" outlineLevel="0" collapsed="false">
      <c r="A100" s="7" t="s">
        <v>2433</v>
      </c>
      <c r="B100" s="7" t="s">
        <v>1331</v>
      </c>
      <c r="C100" s="7" t="s">
        <v>2434</v>
      </c>
      <c r="D100" s="7" t="s">
        <v>2440</v>
      </c>
      <c r="E100" s="7"/>
    </row>
    <row r="101" customFormat="false" ht="14.25" hidden="false" customHeight="false" outlineLevel="0" collapsed="false">
      <c r="A101" s="7" t="s">
        <v>2433</v>
      </c>
      <c r="B101" s="7" t="s">
        <v>1332</v>
      </c>
      <c r="C101" s="7" t="s">
        <v>2434</v>
      </c>
      <c r="D101" s="7"/>
      <c r="E101" s="7"/>
    </row>
    <row r="102" customFormat="false" ht="14.25" hidden="false" customHeight="false" outlineLevel="0" collapsed="false">
      <c r="A102" s="7" t="s">
        <v>2433</v>
      </c>
      <c r="B102" s="7" t="s">
        <v>45</v>
      </c>
      <c r="C102" s="7" t="s">
        <v>2434</v>
      </c>
      <c r="D102" s="7" t="s">
        <v>2441</v>
      </c>
      <c r="E102" s="7"/>
    </row>
    <row r="103" customFormat="false" ht="14.25" hidden="false" customHeight="false" outlineLevel="0" collapsed="false">
      <c r="A103" s="7" t="s">
        <v>2433</v>
      </c>
      <c r="B103" s="7" t="s">
        <v>1333</v>
      </c>
      <c r="C103" s="7" t="s">
        <v>2434</v>
      </c>
      <c r="D103" s="7"/>
      <c r="E103" s="7"/>
    </row>
    <row r="104" customFormat="false" ht="14.25" hidden="false" customHeight="false" outlineLevel="0" collapsed="false">
      <c r="A104" s="7" t="s">
        <v>2433</v>
      </c>
      <c r="B104" s="7" t="s">
        <v>1334</v>
      </c>
      <c r="C104" s="7" t="s">
        <v>2434</v>
      </c>
      <c r="D104" s="7"/>
      <c r="E104" s="7"/>
    </row>
    <row r="105" customFormat="false" ht="14.25" hidden="false" customHeight="false" outlineLevel="0" collapsed="false">
      <c r="A105" s="7" t="s">
        <v>2433</v>
      </c>
      <c r="B105" s="7" t="s">
        <v>1335</v>
      </c>
      <c r="C105" s="7" t="s">
        <v>2434</v>
      </c>
      <c r="D105" s="7"/>
      <c r="E105" s="7"/>
    </row>
    <row r="106" customFormat="false" ht="14.25" hidden="false" customHeight="false" outlineLevel="0" collapsed="false">
      <c r="A106" s="7" t="s">
        <v>2442</v>
      </c>
      <c r="B106" s="7" t="s">
        <v>0</v>
      </c>
      <c r="C106" s="7" t="s">
        <v>2434</v>
      </c>
      <c r="D106" s="7"/>
      <c r="E106" s="7"/>
    </row>
    <row r="107" customFormat="false" ht="14.25" hidden="false" customHeight="false" outlineLevel="0" collapsed="false">
      <c r="A107" s="7" t="s">
        <v>2442</v>
      </c>
      <c r="B107" s="7" t="s">
        <v>1993</v>
      </c>
      <c r="C107" s="7" t="s">
        <v>2434</v>
      </c>
      <c r="D107" s="7"/>
      <c r="E107" s="7"/>
    </row>
    <row r="108" customFormat="false" ht="14.25" hidden="false" customHeight="false" outlineLevel="0" collapsed="false">
      <c r="A108" s="7" t="s">
        <v>2442</v>
      </c>
      <c r="B108" s="7" t="s">
        <v>1994</v>
      </c>
      <c r="C108" s="7" t="s">
        <v>2434</v>
      </c>
      <c r="D108" s="7"/>
      <c r="E108" s="7"/>
    </row>
    <row r="109" customFormat="false" ht="14.25" hidden="false" customHeight="false" outlineLevel="0" collapsed="false">
      <c r="A109" s="7" t="s">
        <v>2442</v>
      </c>
      <c r="B109" s="7" t="s">
        <v>1995</v>
      </c>
      <c r="C109" s="7" t="s">
        <v>2434</v>
      </c>
      <c r="D109" s="7" t="s">
        <v>2443</v>
      </c>
      <c r="E109" s="7"/>
    </row>
    <row r="110" customFormat="false" ht="14.25" hidden="false" customHeight="false" outlineLevel="0" collapsed="false">
      <c r="A110" s="7" t="s">
        <v>2442</v>
      </c>
      <c r="B110" s="7" t="s">
        <v>1996</v>
      </c>
      <c r="C110" s="7" t="s">
        <v>2434</v>
      </c>
      <c r="D110" s="7" t="s">
        <v>2444</v>
      </c>
      <c r="E110" s="7"/>
    </row>
    <row r="111" customFormat="false" ht="14.25" hidden="false" customHeight="false" outlineLevel="0" collapsed="false">
      <c r="A111" s="7" t="s">
        <v>2442</v>
      </c>
      <c r="B111" s="7" t="s">
        <v>1997</v>
      </c>
      <c r="C111" s="7" t="s">
        <v>2434</v>
      </c>
      <c r="D111" s="7" t="s">
        <v>2445</v>
      </c>
      <c r="E111" s="7"/>
    </row>
    <row r="112" customFormat="false" ht="14.25" hidden="false" customHeight="false" outlineLevel="0" collapsed="false">
      <c r="A112" s="7" t="s">
        <v>2442</v>
      </c>
      <c r="B112" s="7" t="s">
        <v>1998</v>
      </c>
      <c r="C112" s="7" t="s">
        <v>2434</v>
      </c>
      <c r="D112" s="7" t="s">
        <v>2446</v>
      </c>
      <c r="E112" s="7"/>
    </row>
    <row r="113" customFormat="false" ht="14.25" hidden="false" customHeight="false" outlineLevel="0" collapsed="false">
      <c r="A113" s="7" t="s">
        <v>2442</v>
      </c>
      <c r="B113" s="7" t="s">
        <v>1999</v>
      </c>
      <c r="C113" s="7" t="s">
        <v>2434</v>
      </c>
      <c r="D113" s="7" t="s">
        <v>2447</v>
      </c>
      <c r="E113" s="7"/>
    </row>
    <row r="114" customFormat="false" ht="14.25" hidden="false" customHeight="false" outlineLevel="0" collapsed="false">
      <c r="A114" s="7" t="s">
        <v>2442</v>
      </c>
      <c r="B114" s="7" t="s">
        <v>2000</v>
      </c>
      <c r="C114" s="7" t="s">
        <v>2434</v>
      </c>
      <c r="D114" s="7" t="s">
        <v>2448</v>
      </c>
      <c r="E114" s="7"/>
    </row>
    <row r="115" customFormat="false" ht="14.25" hidden="false" customHeight="false" outlineLevel="0" collapsed="false">
      <c r="A115" s="7" t="s">
        <v>2442</v>
      </c>
      <c r="B115" s="7" t="s">
        <v>2001</v>
      </c>
      <c r="C115" s="7" t="s">
        <v>2434</v>
      </c>
      <c r="D115" s="7"/>
      <c r="E115" s="7"/>
    </row>
    <row r="116" customFormat="false" ht="14.25" hidden="false" customHeight="false" outlineLevel="0" collapsed="false">
      <c r="A116" s="7" t="s">
        <v>2442</v>
      </c>
      <c r="B116" s="7" t="s">
        <v>2002</v>
      </c>
      <c r="C116" s="7" t="s">
        <v>2434</v>
      </c>
      <c r="D116" s="7"/>
      <c r="E116" s="7"/>
    </row>
    <row r="117" customFormat="false" ht="14.25" hidden="false" customHeight="false" outlineLevel="0" collapsed="false">
      <c r="A117" s="7" t="s">
        <v>2442</v>
      </c>
      <c r="B117" s="7" t="s">
        <v>2003</v>
      </c>
      <c r="C117" s="7" t="s">
        <v>2434</v>
      </c>
      <c r="D117" s="7"/>
      <c r="E117" s="7"/>
    </row>
    <row r="118" customFormat="false" ht="14.25" hidden="false" customHeight="false" outlineLevel="0" collapsed="false">
      <c r="A118" s="7" t="s">
        <v>2442</v>
      </c>
      <c r="B118" s="7" t="s">
        <v>2004</v>
      </c>
      <c r="C118" s="7" t="s">
        <v>2434</v>
      </c>
      <c r="D118" s="7"/>
      <c r="E118" s="7"/>
    </row>
    <row r="119" customFormat="false" ht="14.25" hidden="false" customHeight="false" outlineLevel="0" collapsed="false">
      <c r="A119" s="7" t="s">
        <v>2442</v>
      </c>
      <c r="B119" s="7" t="s">
        <v>2005</v>
      </c>
      <c r="C119" s="7" t="s">
        <v>2434</v>
      </c>
      <c r="D119" s="7"/>
      <c r="E119" s="7"/>
    </row>
    <row r="120" customFormat="false" ht="14.25" hidden="false" customHeight="false" outlineLevel="0" collapsed="false">
      <c r="A120" s="7" t="s">
        <v>2442</v>
      </c>
      <c r="B120" s="7" t="s">
        <v>2006</v>
      </c>
      <c r="C120" s="7" t="s">
        <v>2434</v>
      </c>
      <c r="D120" s="7"/>
      <c r="E120" s="7"/>
    </row>
    <row r="121" customFormat="false" ht="14.25" hidden="false" customHeight="false" outlineLevel="0" collapsed="false">
      <c r="A121" s="7" t="s">
        <v>2442</v>
      </c>
      <c r="B121" s="7" t="s">
        <v>2007</v>
      </c>
      <c r="C121" s="7" t="s">
        <v>2434</v>
      </c>
      <c r="D121" s="7" t="s">
        <v>2449</v>
      </c>
      <c r="E121" s="7"/>
    </row>
    <row r="122" customFormat="false" ht="14.25" hidden="false" customHeight="false" outlineLevel="0" collapsed="false">
      <c r="A122" s="7" t="s">
        <v>2442</v>
      </c>
      <c r="B122" s="7" t="s">
        <v>2008</v>
      </c>
      <c r="C122" s="7" t="s">
        <v>2434</v>
      </c>
      <c r="D122" s="7" t="s">
        <v>2450</v>
      </c>
      <c r="E122" s="7"/>
    </row>
    <row r="123" customFormat="false" ht="14.25" hidden="false" customHeight="false" outlineLevel="0" collapsed="false">
      <c r="A123" s="7" t="s">
        <v>2442</v>
      </c>
      <c r="B123" s="7" t="s">
        <v>2009</v>
      </c>
      <c r="C123" s="7" t="s">
        <v>2434</v>
      </c>
      <c r="D123" s="7"/>
      <c r="E123" s="7"/>
    </row>
    <row r="124" customFormat="false" ht="14.25" hidden="false" customHeight="false" outlineLevel="0" collapsed="false">
      <c r="A124" s="7" t="s">
        <v>2442</v>
      </c>
      <c r="B124" s="7" t="s">
        <v>2010</v>
      </c>
      <c r="C124" s="7" t="s">
        <v>2434</v>
      </c>
      <c r="D124" s="7"/>
      <c r="E124" s="7"/>
    </row>
    <row r="125" customFormat="false" ht="14.25" hidden="false" customHeight="false" outlineLevel="0" collapsed="false">
      <c r="A125" s="7" t="s">
        <v>2442</v>
      </c>
      <c r="B125" s="7" t="s">
        <v>2011</v>
      </c>
      <c r="C125" s="7" t="s">
        <v>2434</v>
      </c>
      <c r="D125" s="7"/>
      <c r="E125" s="7"/>
    </row>
    <row r="126" customFormat="false" ht="14.25" hidden="false" customHeight="false" outlineLevel="0" collapsed="false">
      <c r="A126" s="7" t="s">
        <v>2442</v>
      </c>
      <c r="B126" s="7" t="s">
        <v>70</v>
      </c>
      <c r="C126" s="7" t="s">
        <v>2434</v>
      </c>
      <c r="D126" s="7" t="s">
        <v>2451</v>
      </c>
      <c r="E126" s="7"/>
    </row>
    <row r="127" customFormat="false" ht="14.25" hidden="false" customHeight="false" outlineLevel="0" collapsed="false">
      <c r="A127" s="7" t="s">
        <v>2442</v>
      </c>
      <c r="B127" s="7" t="s">
        <v>2012</v>
      </c>
      <c r="C127" s="7" t="s">
        <v>2434</v>
      </c>
      <c r="D127" s="7"/>
      <c r="E127" s="7"/>
    </row>
    <row r="128" customFormat="false" ht="14.25" hidden="false" customHeight="false" outlineLevel="0" collapsed="false">
      <c r="A128" s="7" t="s">
        <v>2442</v>
      </c>
      <c r="B128" s="7" t="s">
        <v>2013</v>
      </c>
      <c r="C128" s="7" t="s">
        <v>2434</v>
      </c>
      <c r="D128" s="7" t="s">
        <v>2452</v>
      </c>
      <c r="E128" s="7"/>
    </row>
    <row r="129" customFormat="false" ht="14.25" hidden="false" customHeight="false" outlineLevel="0" collapsed="false">
      <c r="A129" s="7" t="s">
        <v>2442</v>
      </c>
      <c r="B129" s="7" t="s">
        <v>2014</v>
      </c>
      <c r="C129" s="7" t="s">
        <v>2434</v>
      </c>
      <c r="D129" s="7"/>
      <c r="E129" s="7"/>
    </row>
    <row r="130" customFormat="false" ht="14.25" hidden="false" customHeight="false" outlineLevel="0" collapsed="false">
      <c r="A130" s="7" t="s">
        <v>2442</v>
      </c>
      <c r="B130" s="7" t="s">
        <v>2015</v>
      </c>
      <c r="C130" s="7" t="s">
        <v>2434</v>
      </c>
      <c r="D130" s="7"/>
      <c r="E130" s="7"/>
    </row>
    <row r="131" customFormat="false" ht="14.25" hidden="false" customHeight="false" outlineLevel="0" collapsed="false">
      <c r="A131" s="7" t="s">
        <v>2442</v>
      </c>
      <c r="B131" s="7" t="s">
        <v>2016</v>
      </c>
      <c r="C131" s="7" t="s">
        <v>2434</v>
      </c>
      <c r="D131" s="7"/>
      <c r="E131" s="7"/>
    </row>
    <row r="132" customFormat="false" ht="14.25" hidden="false" customHeight="false" outlineLevel="0" collapsed="false">
      <c r="A132" s="0" t="s">
        <v>2344</v>
      </c>
      <c r="B132" s="0" t="s">
        <v>85</v>
      </c>
      <c r="C132" s="0" t="s">
        <v>2453</v>
      </c>
      <c r="D132" s="0" t="s">
        <v>2454</v>
      </c>
      <c r="E132" s="0" t="n">
        <v>1</v>
      </c>
    </row>
    <row r="133" customFormat="false" ht="14.25" hidden="false" customHeight="false" outlineLevel="0" collapsed="false">
      <c r="A133" s="0" t="s">
        <v>2344</v>
      </c>
      <c r="B133" s="0" t="s">
        <v>86</v>
      </c>
      <c r="C133" s="0" t="s">
        <v>2455</v>
      </c>
      <c r="D133" s="0" t="s">
        <v>2456</v>
      </c>
      <c r="E133" s="0" t="n">
        <v>1</v>
      </c>
    </row>
    <row r="134" customFormat="false" ht="14.25" hidden="false" customHeight="false" outlineLevel="0" collapsed="false">
      <c r="A134" s="0" t="s">
        <v>2457</v>
      </c>
      <c r="B134" s="0" t="s">
        <v>2318</v>
      </c>
      <c r="C134" s="0" t="s">
        <v>2453</v>
      </c>
      <c r="D134" s="0" t="s">
        <v>2458</v>
      </c>
      <c r="E134" s="0" t="n">
        <v>1</v>
      </c>
    </row>
  </sheetData>
  <autoFilter ref="A1:E13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4" min="1" style="0" width="22"/>
  </cols>
  <sheetData>
    <row r="1" customFormat="false" ht="14.25" hidden="false" customHeight="false" outlineLevel="0" collapsed="false">
      <c r="A1" s="10" t="s">
        <v>2459</v>
      </c>
    </row>
    <row r="2" customFormat="false" ht="42" hidden="false" customHeight="true" outlineLevel="0" collapsed="false">
      <c r="A2" s="5" t="s">
        <v>0</v>
      </c>
      <c r="B2" s="5" t="s">
        <v>1</v>
      </c>
      <c r="C2" s="5" t="s">
        <v>8</v>
      </c>
      <c r="D2" s="5" t="s">
        <v>15</v>
      </c>
      <c r="E2" s="5" t="s">
        <v>1993</v>
      </c>
      <c r="F2" s="5" t="s">
        <v>1995</v>
      </c>
      <c r="G2" s="5" t="s">
        <v>2001</v>
      </c>
      <c r="H2" s="5" t="s">
        <v>2460</v>
      </c>
      <c r="I2" s="5" t="s">
        <v>2003</v>
      </c>
      <c r="J2" s="5" t="s">
        <v>2004</v>
      </c>
      <c r="K2" s="5" t="s">
        <v>70</v>
      </c>
      <c r="L2" s="5" t="s">
        <v>2461</v>
      </c>
      <c r="M2" s="5" t="s">
        <v>85</v>
      </c>
      <c r="N2" s="5" t="s">
        <v>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28"/>
    <col collapsed="false" customWidth="true" hidden="false" outlineLevel="0" max="2" min="2" style="0" width="120"/>
  </cols>
  <sheetData>
    <row r="1" customFormat="false" ht="42" hidden="false" customHeight="true" outlineLevel="0" collapsed="false">
      <c r="A1" s="5" t="s">
        <v>2462</v>
      </c>
      <c r="B1" s="5" t="s">
        <v>2463</v>
      </c>
    </row>
    <row r="2" customFormat="false" ht="14.25" hidden="false" customHeight="false" outlineLevel="0" collapsed="false">
      <c r="A2" s="7" t="s">
        <v>2464</v>
      </c>
      <c r="B2" s="7" t="s">
        <v>2465</v>
      </c>
    </row>
    <row r="3" customFormat="false" ht="14.25" hidden="false" customHeight="false" outlineLevel="0" collapsed="false">
      <c r="A3" s="7" t="s">
        <v>2466</v>
      </c>
      <c r="B3" s="7" t="s">
        <v>2467</v>
      </c>
    </row>
    <row r="4" customFormat="false" ht="14.25" hidden="false" customHeight="false" outlineLevel="0" collapsed="false">
      <c r="A4" s="7" t="s">
        <v>2468</v>
      </c>
      <c r="B4" s="7" t="s">
        <v>2469</v>
      </c>
    </row>
    <row r="5" customFormat="false" ht="14.25" hidden="false" customHeight="false" outlineLevel="0" collapsed="false">
      <c r="A5" s="7" t="s">
        <v>2470</v>
      </c>
      <c r="B5" s="7" t="s">
        <v>105</v>
      </c>
    </row>
    <row r="6" customFormat="false" ht="14.25" hidden="false" customHeight="false" outlineLevel="0" collapsed="false">
      <c r="A6" s="7" t="s">
        <v>2471</v>
      </c>
      <c r="B6" s="7" t="s">
        <v>2472</v>
      </c>
    </row>
    <row r="7" customFormat="false" ht="14.25" hidden="false" customHeight="false" outlineLevel="0" collapsed="false">
      <c r="A7" s="7" t="s">
        <v>2473</v>
      </c>
      <c r="B7" s="7" t="s">
        <v>2474</v>
      </c>
    </row>
    <row r="8" customFormat="false" ht="14.25" hidden="false" customHeight="false" outlineLevel="0" collapsed="false">
      <c r="A8" s="7" t="s">
        <v>2475</v>
      </c>
      <c r="B8" s="7" t="s">
        <v>2476</v>
      </c>
    </row>
    <row r="9" customFormat="false" ht="14.25" hidden="false" customHeight="false" outlineLevel="0" collapsed="false">
      <c r="A9" s="0" t="s">
        <v>2477</v>
      </c>
      <c r="B9" s="0" t="s">
        <v>568</v>
      </c>
    </row>
    <row r="10" customFormat="false" ht="14.25" hidden="false" customHeight="false" outlineLevel="0" collapsed="false">
      <c r="A10" s="0" t="s">
        <v>2478</v>
      </c>
      <c r="B10" s="0" t="s">
        <v>2479</v>
      </c>
    </row>
    <row r="11" customFormat="false" ht="14.25" hidden="false" customHeight="false" outlineLevel="0" collapsed="false">
      <c r="A11" s="0" t="s">
        <v>2480</v>
      </c>
      <c r="B11" s="0" t="s">
        <v>2481</v>
      </c>
    </row>
    <row r="12" customFormat="false" ht="14.25" hidden="false" customHeight="false" outlineLevel="0" collapsed="false">
      <c r="A12" s="0" t="s">
        <v>2482</v>
      </c>
      <c r="B12" s="0" t="s">
        <v>2483</v>
      </c>
    </row>
    <row r="13" customFormat="false" ht="14.25" hidden="false" customHeight="false" outlineLevel="0" collapsed="false">
      <c r="A13" s="0" t="s">
        <v>2484</v>
      </c>
      <c r="B13" s="0" t="s">
        <v>1040</v>
      </c>
    </row>
    <row r="14" customFormat="false" ht="14.25" hidden="false" customHeight="false" outlineLevel="0" collapsed="false">
      <c r="A14" s="0" t="s">
        <v>2485</v>
      </c>
      <c r="B14" s="0" t="s">
        <v>2486</v>
      </c>
    </row>
    <row r="15" customFormat="false" ht="14.25" hidden="false" customHeight="false" outlineLevel="0" collapsed="false">
      <c r="A15" s="0" t="s">
        <v>2487</v>
      </c>
      <c r="B15" s="0" t="s">
        <v>2488</v>
      </c>
    </row>
    <row r="16" customFormat="false" ht="14.25" hidden="false" customHeight="false" outlineLevel="0" collapsed="false">
      <c r="A16" s="0" t="s">
        <v>2489</v>
      </c>
      <c r="B16" s="0" t="s">
        <v>2490</v>
      </c>
    </row>
  </sheetData>
  <autoFilter ref="A1:B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4" min="3" style="0" width="22"/>
    <col collapsed="false" customWidth="true" hidden="false" outlineLevel="0" max="6" min="5" style="0" width="30"/>
    <col collapsed="false" customWidth="true" hidden="false" outlineLevel="0" max="7" min="7" style="0" width="40"/>
    <col collapsed="false" customWidth="true" hidden="false" outlineLevel="0" max="8" min="8" style="0" width="18"/>
  </cols>
  <sheetData>
    <row r="1" customFormat="false" ht="15" hidden="false" customHeight="false" outlineLevel="0" collapsed="false">
      <c r="A1" s="1" t="s">
        <v>2491</v>
      </c>
      <c r="B1" s="1" t="s">
        <v>2492</v>
      </c>
      <c r="C1" s="1" t="s">
        <v>0</v>
      </c>
      <c r="D1" s="1" t="s">
        <v>2493</v>
      </c>
      <c r="E1" s="1" t="s">
        <v>2494</v>
      </c>
      <c r="F1" s="1" t="s">
        <v>2495</v>
      </c>
      <c r="G1" s="1" t="s">
        <v>2496</v>
      </c>
      <c r="H1" s="1" t="s">
        <v>2497</v>
      </c>
    </row>
    <row r="2" customFormat="false" ht="15" hidden="false" customHeight="false" outlineLevel="0" collapsed="false">
      <c r="A2" s="0" t="s">
        <v>2498</v>
      </c>
      <c r="B2" s="0" t="s">
        <v>568</v>
      </c>
      <c r="C2" s="0" t="s">
        <v>1319</v>
      </c>
      <c r="D2" s="0" t="s">
        <v>2499</v>
      </c>
      <c r="E2" s="0" t="s">
        <v>2500</v>
      </c>
      <c r="F2" s="0" t="s">
        <v>2501</v>
      </c>
      <c r="G2" s="0" t="s">
        <v>2502</v>
      </c>
      <c r="H2" s="0" t="s">
        <v>2503</v>
      </c>
    </row>
    <row r="3" customFormat="false" ht="15" hidden="false" customHeight="false" outlineLevel="0" collapsed="false">
      <c r="A3" s="0" t="s">
        <v>2504</v>
      </c>
      <c r="B3" s="0" t="s">
        <v>568</v>
      </c>
      <c r="C3" s="0" t="s">
        <v>2505</v>
      </c>
      <c r="D3" s="0" t="s">
        <v>84</v>
      </c>
      <c r="E3" s="0" t="s">
        <v>2506</v>
      </c>
      <c r="F3" s="0" t="s">
        <v>2507</v>
      </c>
      <c r="G3" s="0" t="s">
        <v>2508</v>
      </c>
      <c r="H3" s="0" t="s">
        <v>2503</v>
      </c>
    </row>
    <row r="4" customFormat="false" ht="15" hidden="false" customHeight="false" outlineLevel="0" collapsed="false">
      <c r="A4" s="0" t="s">
        <v>2509</v>
      </c>
      <c r="B4" s="0" t="s">
        <v>568</v>
      </c>
      <c r="C4" s="0" t="s">
        <v>2510</v>
      </c>
      <c r="D4" s="0" t="s">
        <v>2511</v>
      </c>
      <c r="E4" s="0" t="s">
        <v>2512</v>
      </c>
      <c r="F4" s="0" t="s">
        <v>2513</v>
      </c>
      <c r="G4" s="0" t="s">
        <v>2514</v>
      </c>
      <c r="H4" s="0" t="s">
        <v>2503</v>
      </c>
    </row>
    <row r="5" customFormat="false" ht="15" hidden="false" customHeight="false" outlineLevel="0" collapsed="false">
      <c r="A5" s="0" t="s">
        <v>2515</v>
      </c>
      <c r="B5" s="0" t="s">
        <v>568</v>
      </c>
      <c r="C5" s="0" t="s">
        <v>2505</v>
      </c>
      <c r="D5" s="0" t="s">
        <v>2516</v>
      </c>
      <c r="E5" s="0" t="s">
        <v>2512</v>
      </c>
      <c r="F5" s="0" t="s">
        <v>2517</v>
      </c>
      <c r="G5" s="0" t="s">
        <v>2518</v>
      </c>
      <c r="H5" s="0" t="s">
        <v>2503</v>
      </c>
    </row>
    <row r="6" customFormat="false" ht="15" hidden="false" customHeight="false" outlineLevel="0" collapsed="false">
      <c r="A6" s="0" t="s">
        <v>2519</v>
      </c>
      <c r="B6" s="0" t="s">
        <v>1040</v>
      </c>
      <c r="C6" s="0" t="s">
        <v>2520</v>
      </c>
      <c r="D6" s="0" t="s">
        <v>2499</v>
      </c>
      <c r="E6" s="0" t="s">
        <v>2521</v>
      </c>
      <c r="F6" s="0" t="s">
        <v>2522</v>
      </c>
      <c r="G6" s="0" t="s">
        <v>2523</v>
      </c>
      <c r="H6" s="0" t="s">
        <v>2524</v>
      </c>
    </row>
    <row r="7" customFormat="false" ht="15" hidden="false" customHeight="false" outlineLevel="0" collapsed="false">
      <c r="A7" s="0" t="s">
        <v>2525</v>
      </c>
      <c r="B7" s="0" t="s">
        <v>1040</v>
      </c>
      <c r="C7" s="0" t="s">
        <v>2526</v>
      </c>
      <c r="D7" s="0" t="s">
        <v>2527</v>
      </c>
      <c r="E7" s="0" t="s">
        <v>2528</v>
      </c>
      <c r="F7" s="0" t="s">
        <v>2529</v>
      </c>
      <c r="G7" s="0" t="s">
        <v>2530</v>
      </c>
      <c r="H7" s="0" t="s">
        <v>2503</v>
      </c>
    </row>
    <row r="8" customFormat="false" ht="15" hidden="false" customHeight="false" outlineLevel="0" collapsed="false">
      <c r="A8" s="0" t="s">
        <v>2531</v>
      </c>
      <c r="B8" s="0" t="s">
        <v>1040</v>
      </c>
      <c r="C8" s="0" t="s">
        <v>2532</v>
      </c>
      <c r="D8" s="0" t="s">
        <v>2533</v>
      </c>
      <c r="E8" s="0" t="s">
        <v>2512</v>
      </c>
      <c r="F8" s="0" t="s">
        <v>2534</v>
      </c>
      <c r="G8" s="0" t="s">
        <v>2535</v>
      </c>
      <c r="H8" s="0" t="s">
        <v>2524</v>
      </c>
    </row>
    <row r="9" customFormat="false" ht="15" hidden="false" customHeight="false" outlineLevel="0" collapsed="false">
      <c r="A9" s="0" t="s">
        <v>2536</v>
      </c>
      <c r="B9" s="0" t="s">
        <v>1040</v>
      </c>
      <c r="C9" s="0" t="s">
        <v>2526</v>
      </c>
      <c r="D9" s="0" t="s">
        <v>2516</v>
      </c>
      <c r="E9" s="0" t="s">
        <v>2512</v>
      </c>
      <c r="F9" s="0" t="s">
        <v>2537</v>
      </c>
      <c r="G9" s="0" t="s">
        <v>2530</v>
      </c>
      <c r="H9" s="0" t="s">
        <v>2503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45"/>
    <col collapsed="false" customWidth="true" hidden="false" outlineLevel="0" max="4" min="4" style="0" width="40"/>
    <col collapsed="false" customWidth="true" hidden="false" outlineLevel="0" max="5" min="5" style="0" width="18"/>
    <col collapsed="false" customWidth="true" hidden="false" outlineLevel="0" max="6" min="6" style="0" width="10"/>
    <col collapsed="false" customWidth="true" hidden="false" outlineLevel="0" max="7" min="7" style="0" width="14"/>
    <col collapsed="false" customWidth="true" hidden="false" outlineLevel="0" max="8" min="8" style="0" width="45"/>
  </cols>
  <sheetData>
    <row r="1" customFormat="false" ht="15" hidden="false" customHeight="false" outlineLevel="0" collapsed="false">
      <c r="A1" s="1" t="s">
        <v>2318</v>
      </c>
      <c r="B1" s="1" t="s">
        <v>2538</v>
      </c>
      <c r="C1" s="1" t="s">
        <v>2539</v>
      </c>
      <c r="D1" s="1" t="s">
        <v>2540</v>
      </c>
      <c r="E1" s="1" t="s">
        <v>2541</v>
      </c>
      <c r="F1" s="1" t="s">
        <v>2542</v>
      </c>
      <c r="G1" s="1" t="s">
        <v>86</v>
      </c>
      <c r="H1" s="1" t="s">
        <v>2543</v>
      </c>
    </row>
    <row r="2" customFormat="false" ht="15" hidden="false" customHeight="false" outlineLevel="0" collapsed="false">
      <c r="A2" s="0" t="s">
        <v>89</v>
      </c>
      <c r="B2" s="0" t="s">
        <v>2544</v>
      </c>
      <c r="C2" s="0" t="s">
        <v>2545</v>
      </c>
      <c r="D2" s="0" t="s">
        <v>2546</v>
      </c>
      <c r="E2" s="0" t="s">
        <v>2547</v>
      </c>
      <c r="F2" s="0" t="n">
        <v>99</v>
      </c>
      <c r="G2" s="0" t="s">
        <v>105</v>
      </c>
      <c r="H2" s="0" t="s">
        <v>2548</v>
      </c>
    </row>
    <row r="3" customFormat="false" ht="15" hidden="false" customHeight="false" outlineLevel="0" collapsed="false">
      <c r="A3" s="0" t="s">
        <v>560</v>
      </c>
      <c r="B3" s="0" t="s">
        <v>2549</v>
      </c>
      <c r="C3" s="0" t="s">
        <v>2550</v>
      </c>
      <c r="D3" s="0" t="s">
        <v>2551</v>
      </c>
      <c r="E3" s="0" t="s">
        <v>2552</v>
      </c>
      <c r="F3" s="0" t="n">
        <v>46</v>
      </c>
      <c r="G3" s="0" t="s">
        <v>568</v>
      </c>
      <c r="H3" s="0" t="s">
        <v>2553</v>
      </c>
    </row>
    <row r="4" customFormat="false" ht="15" hidden="false" customHeight="false" outlineLevel="0" collapsed="false">
      <c r="A4" s="0" t="s">
        <v>843</v>
      </c>
      <c r="B4" s="0" t="s">
        <v>2554</v>
      </c>
      <c r="C4" s="0" t="s">
        <v>2555</v>
      </c>
      <c r="D4" s="0" t="s">
        <v>2551</v>
      </c>
      <c r="E4" s="0" t="s">
        <v>2552</v>
      </c>
      <c r="F4" s="0" t="n">
        <v>39</v>
      </c>
      <c r="G4" s="0" t="s">
        <v>568</v>
      </c>
      <c r="H4" s="0" t="s">
        <v>2556</v>
      </c>
    </row>
    <row r="5" customFormat="false" ht="15" hidden="false" customHeight="false" outlineLevel="0" collapsed="false">
      <c r="A5" s="0" t="s">
        <v>2557</v>
      </c>
      <c r="B5" s="0" t="s">
        <v>2558</v>
      </c>
      <c r="C5" s="0" t="s">
        <v>2559</v>
      </c>
      <c r="D5" s="0" t="s">
        <v>2560</v>
      </c>
      <c r="E5" s="0" t="s">
        <v>2552</v>
      </c>
      <c r="F5" s="0" t="n">
        <v>14</v>
      </c>
      <c r="G5" s="0" t="s">
        <v>1040</v>
      </c>
      <c r="H5" s="0" t="s">
        <v>2561</v>
      </c>
    </row>
    <row r="6" customFormat="false" ht="15" hidden="false" customHeight="false" outlineLevel="0" collapsed="false">
      <c r="A6" s="0" t="s">
        <v>2562</v>
      </c>
      <c r="B6" s="0" t="s">
        <v>2558</v>
      </c>
      <c r="C6" s="0" t="s">
        <v>2563</v>
      </c>
      <c r="D6" s="0" t="s">
        <v>2564</v>
      </c>
      <c r="E6" s="0" t="s">
        <v>2552</v>
      </c>
      <c r="F6" s="0" t="n">
        <v>15</v>
      </c>
      <c r="G6" s="0" t="s">
        <v>1040</v>
      </c>
      <c r="H6" s="0" t="s">
        <v>2565</v>
      </c>
    </row>
    <row r="7" customFormat="false" ht="15" hidden="false" customHeight="false" outlineLevel="0" collapsed="false">
      <c r="A7" s="0" t="s">
        <v>2566</v>
      </c>
      <c r="B7" s="0" t="s">
        <v>2558</v>
      </c>
      <c r="C7" s="0" t="s">
        <v>2567</v>
      </c>
      <c r="D7" s="0" t="s">
        <v>2568</v>
      </c>
      <c r="E7" s="0" t="s">
        <v>2552</v>
      </c>
      <c r="F7" s="0" t="n">
        <v>12</v>
      </c>
      <c r="G7" s="0" t="s">
        <v>1040</v>
      </c>
      <c r="H7" s="0" t="s">
        <v>2569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110"/>
  </cols>
  <sheetData>
    <row r="1" customFormat="false" ht="15" hidden="false" customHeight="false" outlineLevel="0" collapsed="false">
      <c r="A1" s="1" t="s">
        <v>2570</v>
      </c>
      <c r="B1" s="1" t="s">
        <v>2462</v>
      </c>
      <c r="C1" s="1" t="s">
        <v>2463</v>
      </c>
    </row>
    <row r="2" customFormat="false" ht="15" hidden="false" customHeight="false" outlineLevel="0" collapsed="false">
      <c r="A2" s="0" t="s">
        <v>2571</v>
      </c>
      <c r="B2" s="0" t="s">
        <v>2572</v>
      </c>
      <c r="C2" s="0" t="s">
        <v>2573</v>
      </c>
    </row>
    <row r="3" customFormat="false" ht="15" hidden="false" customHeight="false" outlineLevel="0" collapsed="false">
      <c r="A3" s="0" t="s">
        <v>2571</v>
      </c>
      <c r="B3" s="0" t="s">
        <v>2574</v>
      </c>
      <c r="C3" s="0" t="s">
        <v>2575</v>
      </c>
    </row>
    <row r="4" customFormat="false" ht="15" hidden="false" customHeight="false" outlineLevel="0" collapsed="false">
      <c r="A4" s="0" t="s">
        <v>2571</v>
      </c>
      <c r="B4" s="0" t="s">
        <v>2576</v>
      </c>
      <c r="C4" s="0" t="s">
        <v>2577</v>
      </c>
    </row>
    <row r="5" customFormat="false" ht="15" hidden="false" customHeight="false" outlineLevel="0" collapsed="false">
      <c r="A5" s="0" t="s">
        <v>2571</v>
      </c>
      <c r="B5" s="0" t="s">
        <v>2578</v>
      </c>
      <c r="C5" s="0" t="s">
        <v>2579</v>
      </c>
    </row>
    <row r="6" customFormat="false" ht="15" hidden="false" customHeight="false" outlineLevel="0" collapsed="false">
      <c r="A6" s="0" t="s">
        <v>2571</v>
      </c>
      <c r="B6" s="0" t="s">
        <v>2580</v>
      </c>
      <c r="C6" s="0" t="s">
        <v>2581</v>
      </c>
    </row>
    <row r="7" customFormat="false" ht="15" hidden="false" customHeight="false" outlineLevel="0" collapsed="false">
      <c r="A7" s="0" t="s">
        <v>2582</v>
      </c>
      <c r="B7" s="0" t="s">
        <v>2583</v>
      </c>
      <c r="C7" s="0" t="s">
        <v>2584</v>
      </c>
    </row>
    <row r="8" customFormat="false" ht="15" hidden="false" customHeight="false" outlineLevel="0" collapsed="false">
      <c r="A8" s="0" t="s">
        <v>2582</v>
      </c>
      <c r="B8" s="0" t="s">
        <v>2585</v>
      </c>
      <c r="C8" s="0" t="s">
        <v>2586</v>
      </c>
    </row>
    <row r="9" customFormat="false" ht="15" hidden="false" customHeight="false" outlineLevel="0" collapsed="false">
      <c r="A9" s="0" t="s">
        <v>2582</v>
      </c>
      <c r="B9" s="0" t="s">
        <v>2587</v>
      </c>
      <c r="C9" s="0" t="s">
        <v>2588</v>
      </c>
    </row>
    <row r="10" customFormat="false" ht="15" hidden="false" customHeight="false" outlineLevel="0" collapsed="false">
      <c r="A10" s="0" t="s">
        <v>2589</v>
      </c>
      <c r="B10" s="0" t="s">
        <v>2590</v>
      </c>
      <c r="C10" s="0" t="s">
        <v>2591</v>
      </c>
    </row>
    <row r="11" customFormat="false" ht="15" hidden="false" customHeight="false" outlineLevel="0" collapsed="false">
      <c r="A11" s="0" t="s">
        <v>2592</v>
      </c>
      <c r="B11" s="0" t="s">
        <v>2590</v>
      </c>
      <c r="C11" s="0" t="s">
        <v>2593</v>
      </c>
    </row>
    <row r="12" customFormat="false" ht="15" hidden="false" customHeight="false" outlineLevel="0" collapsed="false">
      <c r="A12" s="0" t="s">
        <v>2594</v>
      </c>
      <c r="B12" s="0" t="s">
        <v>2590</v>
      </c>
      <c r="C12" s="0" t="s">
        <v>2595</v>
      </c>
    </row>
    <row r="13" customFormat="false" ht="15" hidden="false" customHeight="false" outlineLevel="0" collapsed="false">
      <c r="A13" s="0" t="s">
        <v>2596</v>
      </c>
      <c r="B13" s="0" t="s">
        <v>2590</v>
      </c>
      <c r="C13" s="0" t="s">
        <v>2597</v>
      </c>
    </row>
    <row r="14" customFormat="false" ht="15" hidden="false" customHeight="false" outlineLevel="0" collapsed="false">
      <c r="A14" s="0" t="s">
        <v>2598</v>
      </c>
      <c r="B14" s="0" t="s">
        <v>2599</v>
      </c>
      <c r="C14" s="0" t="s">
        <v>2600</v>
      </c>
    </row>
    <row r="15" customFormat="false" ht="15" hidden="false" customHeight="false" outlineLevel="0" collapsed="false">
      <c r="A15" s="0" t="s">
        <v>2598</v>
      </c>
      <c r="B15" s="0" t="s">
        <v>2601</v>
      </c>
      <c r="C15" s="0" t="s">
        <v>2602</v>
      </c>
    </row>
    <row r="16" customFormat="false" ht="15" hidden="false" customHeight="false" outlineLevel="0" collapsed="false">
      <c r="A16" s="0" t="s">
        <v>2598</v>
      </c>
      <c r="B16" s="0" t="s">
        <v>2603</v>
      </c>
      <c r="C16" s="0" t="s">
        <v>2604</v>
      </c>
    </row>
    <row r="17" customFormat="false" ht="15" hidden="false" customHeight="false" outlineLevel="0" collapsed="false">
      <c r="A17" s="0" t="s">
        <v>2598</v>
      </c>
      <c r="B17" s="0" t="s">
        <v>2605</v>
      </c>
      <c r="C17" s="0" t="s">
        <v>2606</v>
      </c>
    </row>
    <row r="18" customFormat="false" ht="15" hidden="false" customHeight="false" outlineLevel="0" collapsed="false">
      <c r="A18" s="0" t="s">
        <v>2598</v>
      </c>
      <c r="B18" s="0" t="s">
        <v>2607</v>
      </c>
      <c r="C18" s="0" t="s">
        <v>2608</v>
      </c>
    </row>
    <row r="19" customFormat="false" ht="15" hidden="false" customHeight="false" outlineLevel="0" collapsed="false">
      <c r="A19" s="0" t="s">
        <v>2609</v>
      </c>
      <c r="B19" s="0" t="s">
        <v>2610</v>
      </c>
      <c r="C19" s="0" t="s">
        <v>2611</v>
      </c>
    </row>
    <row r="20" customFormat="false" ht="15" hidden="false" customHeight="false" outlineLevel="0" collapsed="false">
      <c r="A20" s="0" t="s">
        <v>2598</v>
      </c>
      <c r="B20" s="0" t="s">
        <v>2612</v>
      </c>
      <c r="C20" s="0" t="s">
        <v>2613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2026-10-05T23:46:08Z</dcterms:created>
  <dc:creator>openpyxl</dc:creator>
  <dc:description/>
  <dc:language>en-US</dc:language>
  <cp:lastModifiedBy>Abul Hosen</cp:lastModifiedBy>
  <dcterms:modified xsi:type="dcterms:W3CDTF">2026-10-20T15:00:15Z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